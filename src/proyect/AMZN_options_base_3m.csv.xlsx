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so01-my.sharepoint.com/personal/rigoberto_martinez_iteso_mx/Documents/06.sexto_semestre/finanzas_cuantitatvias/04.proyecto/"/>
    </mc:Choice>
  </mc:AlternateContent>
  <xr:revisionPtr revIDLastSave="18" documentId="13_ncr:1_{80D6E9F4-78C3-2143-9CB0-48D49767D20D}" xr6:coauthVersionLast="47" xr6:coauthVersionMax="47" xr10:uidLastSave="{81B7E655-FD4A-4FF5-B063-CDC7AC11B5A0}"/>
  <bookViews>
    <workbookView xWindow="-120" yWindow="-120" windowWidth="29040" windowHeight="15720" xr2:uid="{F50422B6-72F0-40C1-A336-5751E291B334}"/>
  </bookViews>
  <sheets>
    <sheet name="Sheet1" sheetId="1" r:id="rId1"/>
  </sheets>
  <definedNames>
    <definedName name="_xlnm._FilterDatabase" localSheetId="0" hidden="1">Sheet1!$A$1:$Q$1400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00" i="1" l="1"/>
  <c r="C1400" i="1"/>
  <c r="B1400" i="1"/>
  <c r="D1399" i="1"/>
  <c r="C1399" i="1"/>
  <c r="B1399" i="1"/>
  <c r="D1398" i="1"/>
  <c r="C1398" i="1"/>
  <c r="B1398" i="1"/>
  <c r="D1397" i="1"/>
  <c r="C1397" i="1"/>
  <c r="B1397" i="1"/>
  <c r="D1396" i="1"/>
  <c r="C1396" i="1"/>
  <c r="B1396" i="1"/>
  <c r="D1395" i="1"/>
  <c r="C1395" i="1"/>
  <c r="B1395" i="1"/>
  <c r="D1394" i="1"/>
  <c r="C1394" i="1"/>
  <c r="B1394" i="1"/>
  <c r="D1393" i="1"/>
  <c r="C1393" i="1"/>
  <c r="B1393" i="1"/>
  <c r="D1392" i="1"/>
  <c r="C1392" i="1"/>
  <c r="B1392" i="1"/>
  <c r="D1391" i="1"/>
  <c r="C1391" i="1"/>
  <c r="B1391" i="1"/>
  <c r="D1390" i="1"/>
  <c r="C1390" i="1"/>
  <c r="B1390" i="1"/>
  <c r="D1389" i="1"/>
  <c r="C1389" i="1"/>
  <c r="B1389" i="1"/>
  <c r="D1388" i="1"/>
  <c r="C1388" i="1"/>
  <c r="B1388" i="1"/>
  <c r="D1387" i="1"/>
  <c r="C1387" i="1"/>
  <c r="B1387" i="1"/>
  <c r="D1386" i="1"/>
  <c r="C1386" i="1"/>
  <c r="B1386" i="1"/>
  <c r="D1385" i="1"/>
  <c r="C1385" i="1"/>
  <c r="B1385" i="1"/>
  <c r="D1384" i="1"/>
  <c r="C1384" i="1"/>
  <c r="B1384" i="1"/>
  <c r="D1383" i="1"/>
  <c r="C1383" i="1"/>
  <c r="B1383" i="1"/>
  <c r="D1382" i="1"/>
  <c r="C1382" i="1"/>
  <c r="B1382" i="1"/>
  <c r="D1381" i="1"/>
  <c r="C1381" i="1"/>
  <c r="B1381" i="1"/>
  <c r="D1380" i="1"/>
  <c r="C1380" i="1"/>
  <c r="B1380" i="1"/>
  <c r="D1379" i="1"/>
  <c r="C1379" i="1"/>
  <c r="B1379" i="1"/>
  <c r="D1378" i="1"/>
  <c r="C1378" i="1"/>
  <c r="B1378" i="1"/>
  <c r="D1377" i="1"/>
  <c r="C1377" i="1"/>
  <c r="B1377" i="1"/>
  <c r="D1376" i="1"/>
  <c r="C1376" i="1"/>
  <c r="B1376" i="1"/>
  <c r="D1375" i="1"/>
  <c r="C1375" i="1"/>
  <c r="B1375" i="1"/>
  <c r="D1374" i="1"/>
  <c r="C1374" i="1"/>
  <c r="B1374" i="1"/>
  <c r="D1373" i="1"/>
  <c r="C1373" i="1"/>
  <c r="B1373" i="1"/>
  <c r="D1372" i="1"/>
  <c r="C1372" i="1"/>
  <c r="B1372" i="1"/>
  <c r="D1371" i="1"/>
  <c r="C1371" i="1"/>
  <c r="B1371" i="1"/>
  <c r="D1370" i="1"/>
  <c r="C1370" i="1"/>
  <c r="B1370" i="1"/>
  <c r="D1369" i="1"/>
  <c r="C1369" i="1"/>
  <c r="B1369" i="1"/>
  <c r="D1368" i="1"/>
  <c r="C1368" i="1"/>
  <c r="B1368" i="1"/>
  <c r="D1367" i="1"/>
  <c r="C1367" i="1"/>
  <c r="B1367" i="1"/>
  <c r="D1366" i="1"/>
  <c r="C1366" i="1"/>
  <c r="B1366" i="1"/>
  <c r="D1365" i="1"/>
  <c r="C1365" i="1"/>
  <c r="B1365" i="1"/>
  <c r="D1364" i="1"/>
  <c r="C1364" i="1"/>
  <c r="B1364" i="1"/>
  <c r="D1363" i="1"/>
  <c r="C1363" i="1"/>
  <c r="B1363" i="1"/>
  <c r="D1362" i="1"/>
  <c r="C1362" i="1"/>
  <c r="B1362" i="1"/>
  <c r="D1361" i="1"/>
  <c r="C1361" i="1"/>
  <c r="B1361" i="1"/>
  <c r="D1360" i="1"/>
  <c r="C1360" i="1"/>
  <c r="B1360" i="1"/>
  <c r="D1359" i="1"/>
  <c r="C1359" i="1"/>
  <c r="B1359" i="1"/>
  <c r="D1358" i="1"/>
  <c r="C1358" i="1"/>
  <c r="B1358" i="1"/>
  <c r="D1357" i="1"/>
  <c r="C1357" i="1"/>
  <c r="B1357" i="1"/>
  <c r="D1356" i="1"/>
  <c r="C1356" i="1"/>
  <c r="B1356" i="1"/>
  <c r="D1355" i="1"/>
  <c r="C1355" i="1"/>
  <c r="B1355" i="1"/>
  <c r="D1354" i="1"/>
  <c r="C1354" i="1"/>
  <c r="B1354" i="1"/>
  <c r="D1353" i="1"/>
  <c r="C1353" i="1"/>
  <c r="B1353" i="1"/>
  <c r="D1352" i="1"/>
  <c r="C1352" i="1"/>
  <c r="B1352" i="1"/>
  <c r="D1351" i="1"/>
  <c r="C1351" i="1"/>
  <c r="B1351" i="1"/>
  <c r="D1350" i="1"/>
  <c r="C1350" i="1"/>
  <c r="B1350" i="1"/>
  <c r="D1349" i="1"/>
  <c r="C1349" i="1"/>
  <c r="B1349" i="1"/>
  <c r="D1348" i="1"/>
  <c r="C1348" i="1"/>
  <c r="B1348" i="1"/>
  <c r="D1347" i="1"/>
  <c r="C1347" i="1"/>
  <c r="B1347" i="1"/>
  <c r="D1346" i="1"/>
  <c r="C1346" i="1"/>
  <c r="B1346" i="1"/>
  <c r="D1345" i="1"/>
  <c r="C1345" i="1"/>
  <c r="B1345" i="1"/>
  <c r="D1344" i="1"/>
  <c r="C1344" i="1"/>
  <c r="B1344" i="1"/>
  <c r="D1343" i="1"/>
  <c r="C1343" i="1"/>
  <c r="B1343" i="1"/>
  <c r="D1342" i="1"/>
  <c r="C1342" i="1"/>
  <c r="B1342" i="1"/>
  <c r="D1341" i="1"/>
  <c r="C1341" i="1"/>
  <c r="B1341" i="1"/>
  <c r="D1340" i="1"/>
  <c r="C1340" i="1"/>
  <c r="B1340" i="1"/>
  <c r="D1339" i="1"/>
  <c r="C1339" i="1"/>
  <c r="B1339" i="1"/>
  <c r="D1338" i="1"/>
  <c r="C1338" i="1"/>
  <c r="B1338" i="1"/>
  <c r="D1337" i="1"/>
  <c r="C1337" i="1"/>
  <c r="B1337" i="1"/>
  <c r="D1336" i="1"/>
  <c r="C1336" i="1"/>
  <c r="B1336" i="1"/>
  <c r="D1335" i="1"/>
  <c r="C1335" i="1"/>
  <c r="B1335" i="1"/>
  <c r="D1334" i="1"/>
  <c r="C1334" i="1"/>
  <c r="B1334" i="1"/>
  <c r="D1333" i="1"/>
  <c r="C1333" i="1"/>
  <c r="B1333" i="1"/>
  <c r="D1332" i="1"/>
  <c r="C1332" i="1"/>
  <c r="B1332" i="1"/>
  <c r="D1331" i="1"/>
  <c r="C1331" i="1"/>
  <c r="B1331" i="1"/>
  <c r="D1330" i="1"/>
  <c r="C1330" i="1"/>
  <c r="B1330" i="1"/>
  <c r="D1329" i="1"/>
  <c r="C1329" i="1"/>
  <c r="B1329" i="1"/>
  <c r="D1328" i="1"/>
  <c r="C1328" i="1"/>
  <c r="B1328" i="1"/>
  <c r="D1327" i="1"/>
  <c r="C1327" i="1"/>
  <c r="B1327" i="1"/>
  <c r="D1326" i="1"/>
  <c r="C1326" i="1"/>
  <c r="B1326" i="1"/>
  <c r="D1325" i="1"/>
  <c r="C1325" i="1"/>
  <c r="B1325" i="1"/>
  <c r="D1324" i="1"/>
  <c r="C1324" i="1"/>
  <c r="B1324" i="1"/>
  <c r="D1323" i="1"/>
  <c r="C1323" i="1"/>
  <c r="B1323" i="1"/>
  <c r="D1322" i="1"/>
  <c r="C1322" i="1"/>
  <c r="B1322" i="1"/>
  <c r="D1321" i="1"/>
  <c r="C1321" i="1"/>
  <c r="B1321" i="1"/>
  <c r="D1320" i="1"/>
  <c r="C1320" i="1"/>
  <c r="B1320" i="1"/>
  <c r="D1319" i="1"/>
  <c r="C1319" i="1"/>
  <c r="B1319" i="1"/>
  <c r="D1318" i="1"/>
  <c r="C1318" i="1"/>
  <c r="B1318" i="1"/>
  <c r="D1317" i="1"/>
  <c r="C1317" i="1"/>
  <c r="B1317" i="1"/>
  <c r="D1316" i="1"/>
  <c r="C1316" i="1"/>
  <c r="B1316" i="1"/>
  <c r="D1315" i="1"/>
  <c r="C1315" i="1"/>
  <c r="B1315" i="1"/>
  <c r="D1314" i="1"/>
  <c r="C1314" i="1"/>
  <c r="B1314" i="1"/>
  <c r="D1313" i="1"/>
  <c r="C1313" i="1"/>
  <c r="B1313" i="1"/>
  <c r="D1312" i="1"/>
  <c r="C1312" i="1"/>
  <c r="B1312" i="1"/>
  <c r="D1311" i="1"/>
  <c r="C1311" i="1"/>
  <c r="B1311" i="1"/>
  <c r="D1310" i="1"/>
  <c r="C1310" i="1"/>
  <c r="B1310" i="1"/>
  <c r="D1309" i="1"/>
  <c r="C1309" i="1"/>
  <c r="B1309" i="1"/>
  <c r="D1308" i="1"/>
  <c r="C1308" i="1"/>
  <c r="B1308" i="1"/>
  <c r="D1307" i="1"/>
  <c r="C1307" i="1"/>
  <c r="B1307" i="1"/>
  <c r="D1306" i="1"/>
  <c r="C1306" i="1"/>
  <c r="B1306" i="1"/>
  <c r="D1305" i="1"/>
  <c r="C1305" i="1"/>
  <c r="B1305" i="1"/>
  <c r="D1304" i="1"/>
  <c r="C1304" i="1"/>
  <c r="B1304" i="1"/>
  <c r="D1303" i="1"/>
  <c r="C1303" i="1"/>
  <c r="B1303" i="1"/>
  <c r="D1302" i="1"/>
  <c r="C1302" i="1"/>
  <c r="B1302" i="1"/>
  <c r="D1301" i="1"/>
  <c r="C1301" i="1"/>
  <c r="B1301" i="1"/>
  <c r="D1300" i="1"/>
  <c r="C1300" i="1"/>
  <c r="B1300" i="1"/>
  <c r="D1299" i="1"/>
  <c r="C1299" i="1"/>
  <c r="B1299" i="1"/>
  <c r="D1298" i="1"/>
  <c r="C1298" i="1"/>
  <c r="B1298" i="1"/>
  <c r="D1297" i="1"/>
  <c r="C1297" i="1"/>
  <c r="B1297" i="1"/>
  <c r="D1296" i="1"/>
  <c r="C1296" i="1"/>
  <c r="B1296" i="1"/>
  <c r="D1295" i="1"/>
  <c r="C1295" i="1"/>
  <c r="B1295" i="1"/>
  <c r="D1294" i="1"/>
  <c r="C1294" i="1"/>
  <c r="B1294" i="1"/>
  <c r="D1293" i="1"/>
  <c r="C1293" i="1"/>
  <c r="B1293" i="1"/>
  <c r="D1292" i="1"/>
  <c r="C1292" i="1"/>
  <c r="B1292" i="1"/>
  <c r="D1291" i="1"/>
  <c r="C1291" i="1"/>
  <c r="B1291" i="1"/>
  <c r="D1290" i="1"/>
  <c r="C1290" i="1"/>
  <c r="B1290" i="1"/>
  <c r="D1289" i="1"/>
  <c r="C1289" i="1"/>
  <c r="B1289" i="1"/>
  <c r="D1288" i="1"/>
  <c r="C1288" i="1"/>
  <c r="B1288" i="1"/>
  <c r="D1287" i="1"/>
  <c r="C1287" i="1"/>
  <c r="B1287" i="1"/>
  <c r="D1286" i="1"/>
  <c r="C1286" i="1"/>
  <c r="B1286" i="1"/>
  <c r="D1285" i="1"/>
  <c r="C1285" i="1"/>
  <c r="B1285" i="1"/>
  <c r="D1284" i="1"/>
  <c r="C1284" i="1"/>
  <c r="B1284" i="1"/>
  <c r="D1283" i="1"/>
  <c r="C1283" i="1"/>
  <c r="B1283" i="1"/>
  <c r="D1282" i="1"/>
  <c r="C1282" i="1"/>
  <c r="B1282" i="1"/>
  <c r="D1281" i="1"/>
  <c r="C1281" i="1"/>
  <c r="B1281" i="1"/>
  <c r="D1280" i="1"/>
  <c r="C1280" i="1"/>
  <c r="B1280" i="1"/>
  <c r="D1279" i="1"/>
  <c r="C1279" i="1"/>
  <c r="B1279" i="1"/>
  <c r="D1278" i="1"/>
  <c r="C1278" i="1"/>
  <c r="B1278" i="1"/>
  <c r="D1277" i="1"/>
  <c r="C1277" i="1"/>
  <c r="B1277" i="1"/>
  <c r="D1276" i="1"/>
  <c r="C1276" i="1"/>
  <c r="B1276" i="1"/>
  <c r="D1275" i="1"/>
  <c r="C1275" i="1"/>
  <c r="B1275" i="1"/>
  <c r="D1274" i="1"/>
  <c r="C1274" i="1"/>
  <c r="B1274" i="1"/>
  <c r="D1273" i="1"/>
  <c r="C1273" i="1"/>
  <c r="B1273" i="1"/>
  <c r="D1272" i="1"/>
  <c r="C1272" i="1"/>
  <c r="B1272" i="1"/>
  <c r="D1271" i="1"/>
  <c r="C1271" i="1"/>
  <c r="B1271" i="1"/>
  <c r="D1270" i="1"/>
  <c r="C1270" i="1"/>
  <c r="B1270" i="1"/>
  <c r="D1269" i="1"/>
  <c r="C1269" i="1"/>
  <c r="B1269" i="1"/>
  <c r="D1268" i="1"/>
  <c r="C1268" i="1"/>
  <c r="B1268" i="1"/>
  <c r="D1267" i="1"/>
  <c r="C1267" i="1"/>
  <c r="B1267" i="1"/>
  <c r="D1266" i="1"/>
  <c r="C1266" i="1"/>
  <c r="B1266" i="1"/>
  <c r="D1265" i="1"/>
  <c r="C1265" i="1"/>
  <c r="B1265" i="1"/>
  <c r="D1264" i="1"/>
  <c r="C1264" i="1"/>
  <c r="B1264" i="1"/>
  <c r="D1263" i="1"/>
  <c r="C1263" i="1"/>
  <c r="B1263" i="1"/>
  <c r="D1262" i="1"/>
  <c r="C1262" i="1"/>
  <c r="B1262" i="1"/>
  <c r="D1261" i="1"/>
  <c r="C1261" i="1"/>
  <c r="B1261" i="1"/>
  <c r="D1260" i="1"/>
  <c r="C1260" i="1"/>
  <c r="B1260" i="1"/>
  <c r="D1259" i="1"/>
  <c r="C1259" i="1"/>
  <c r="B1259" i="1"/>
  <c r="D1258" i="1"/>
  <c r="C1258" i="1"/>
  <c r="B1258" i="1"/>
  <c r="D1257" i="1"/>
  <c r="C1257" i="1"/>
  <c r="B1257" i="1"/>
  <c r="D1256" i="1"/>
  <c r="C1256" i="1"/>
  <c r="B1256" i="1"/>
  <c r="D1255" i="1"/>
  <c r="C1255" i="1"/>
  <c r="B1255" i="1"/>
  <c r="D1254" i="1"/>
  <c r="C1254" i="1"/>
  <c r="B1254" i="1"/>
  <c r="D1253" i="1"/>
  <c r="C1253" i="1"/>
  <c r="B1253" i="1"/>
  <c r="D1252" i="1"/>
  <c r="C1252" i="1"/>
  <c r="B1252" i="1"/>
  <c r="D1251" i="1"/>
  <c r="C1251" i="1"/>
  <c r="B1251" i="1"/>
  <c r="D1250" i="1"/>
  <c r="C1250" i="1"/>
  <c r="B1250" i="1"/>
  <c r="D1249" i="1"/>
  <c r="C1249" i="1"/>
  <c r="B1249" i="1"/>
  <c r="D1248" i="1"/>
  <c r="C1248" i="1"/>
  <c r="B1248" i="1"/>
  <c r="D1247" i="1"/>
  <c r="C1247" i="1"/>
  <c r="B1247" i="1"/>
  <c r="D1246" i="1"/>
  <c r="C1246" i="1"/>
  <c r="B1246" i="1"/>
  <c r="D1245" i="1"/>
  <c r="C1245" i="1"/>
  <c r="B1245" i="1"/>
  <c r="D1244" i="1"/>
  <c r="C1244" i="1"/>
  <c r="B1244" i="1"/>
  <c r="D1243" i="1"/>
  <c r="C1243" i="1"/>
  <c r="B1243" i="1"/>
  <c r="D1242" i="1"/>
  <c r="C1242" i="1"/>
  <c r="B1242" i="1"/>
  <c r="D1241" i="1"/>
  <c r="C1241" i="1"/>
  <c r="B1241" i="1"/>
  <c r="D1240" i="1"/>
  <c r="C1240" i="1"/>
  <c r="B1240" i="1"/>
  <c r="D1239" i="1"/>
  <c r="C1239" i="1"/>
  <c r="B1239" i="1"/>
  <c r="D1238" i="1"/>
  <c r="C1238" i="1"/>
  <c r="B1238" i="1"/>
  <c r="D1237" i="1"/>
  <c r="C1237" i="1"/>
  <c r="B1237" i="1"/>
  <c r="D1236" i="1"/>
  <c r="C1236" i="1"/>
  <c r="B1236" i="1"/>
  <c r="D1235" i="1"/>
  <c r="C1235" i="1"/>
  <c r="B1235" i="1"/>
  <c r="D1234" i="1"/>
  <c r="C1234" i="1"/>
  <c r="B1234" i="1"/>
  <c r="D1233" i="1"/>
  <c r="C1233" i="1"/>
  <c r="B1233" i="1"/>
  <c r="D1232" i="1"/>
  <c r="C1232" i="1"/>
  <c r="B1232" i="1"/>
  <c r="D1231" i="1"/>
  <c r="C1231" i="1"/>
  <c r="B1231" i="1"/>
  <c r="D1230" i="1"/>
  <c r="C1230" i="1"/>
  <c r="B1230" i="1"/>
  <c r="D1229" i="1"/>
  <c r="C1229" i="1"/>
  <c r="B1229" i="1"/>
  <c r="D1228" i="1"/>
  <c r="C1228" i="1"/>
  <c r="B1228" i="1"/>
  <c r="D1227" i="1"/>
  <c r="C1227" i="1"/>
  <c r="B1227" i="1"/>
  <c r="D1226" i="1"/>
  <c r="C1226" i="1"/>
  <c r="B1226" i="1"/>
  <c r="D1225" i="1"/>
  <c r="C1225" i="1"/>
  <c r="B1225" i="1"/>
  <c r="D1224" i="1"/>
  <c r="C1224" i="1"/>
  <c r="B1224" i="1"/>
  <c r="D1223" i="1"/>
  <c r="C1223" i="1"/>
  <c r="B1223" i="1"/>
  <c r="D1222" i="1"/>
  <c r="C1222" i="1"/>
  <c r="B1222" i="1"/>
  <c r="D1221" i="1"/>
  <c r="C1221" i="1"/>
  <c r="B1221" i="1"/>
  <c r="D1220" i="1"/>
  <c r="C1220" i="1"/>
  <c r="B1220" i="1"/>
  <c r="D1219" i="1"/>
  <c r="C1219" i="1"/>
  <c r="B1219" i="1"/>
  <c r="D1218" i="1"/>
  <c r="C1218" i="1"/>
  <c r="B1218" i="1"/>
  <c r="D1217" i="1"/>
  <c r="C1217" i="1"/>
  <c r="B1217" i="1"/>
  <c r="D1216" i="1"/>
  <c r="C1216" i="1"/>
  <c r="B1216" i="1"/>
  <c r="D1215" i="1"/>
  <c r="C1215" i="1"/>
  <c r="B1215" i="1"/>
  <c r="D1214" i="1"/>
  <c r="C1214" i="1"/>
  <c r="B1214" i="1"/>
  <c r="D1213" i="1"/>
  <c r="C1213" i="1"/>
  <c r="B1213" i="1"/>
  <c r="D1212" i="1"/>
  <c r="C1212" i="1"/>
  <c r="B1212" i="1"/>
  <c r="D1211" i="1"/>
  <c r="C1211" i="1"/>
  <c r="B1211" i="1"/>
  <c r="D1210" i="1"/>
  <c r="C1210" i="1"/>
  <c r="B1210" i="1"/>
  <c r="D1209" i="1"/>
  <c r="C1209" i="1"/>
  <c r="B1209" i="1"/>
  <c r="D1208" i="1"/>
  <c r="C1208" i="1"/>
  <c r="B1208" i="1"/>
  <c r="D1207" i="1"/>
  <c r="C1207" i="1"/>
  <c r="B1207" i="1"/>
  <c r="D1206" i="1"/>
  <c r="C1206" i="1"/>
  <c r="B1206" i="1"/>
  <c r="D1205" i="1"/>
  <c r="C1205" i="1"/>
  <c r="B1205" i="1"/>
  <c r="D1204" i="1"/>
  <c r="C1204" i="1"/>
  <c r="B1204" i="1"/>
  <c r="D1203" i="1"/>
  <c r="C1203" i="1"/>
  <c r="B1203" i="1"/>
  <c r="D1202" i="1"/>
  <c r="C1202" i="1"/>
  <c r="B1202" i="1"/>
  <c r="D1201" i="1"/>
  <c r="C1201" i="1"/>
  <c r="B1201" i="1"/>
  <c r="D1200" i="1"/>
  <c r="C1200" i="1"/>
  <c r="B1200" i="1"/>
  <c r="D1199" i="1"/>
  <c r="C1199" i="1"/>
  <c r="B1199" i="1"/>
  <c r="D1198" i="1"/>
  <c r="C1198" i="1"/>
  <c r="B1198" i="1"/>
  <c r="D1197" i="1"/>
  <c r="C1197" i="1"/>
  <c r="B1197" i="1"/>
  <c r="D1196" i="1"/>
  <c r="C1196" i="1"/>
  <c r="B1196" i="1"/>
  <c r="D1195" i="1"/>
  <c r="C1195" i="1"/>
  <c r="B1195" i="1"/>
  <c r="D1194" i="1"/>
  <c r="C1194" i="1"/>
  <c r="B1194" i="1"/>
  <c r="D1193" i="1"/>
  <c r="C1193" i="1"/>
  <c r="B1193" i="1"/>
  <c r="D1192" i="1"/>
  <c r="C1192" i="1"/>
  <c r="B1192" i="1"/>
  <c r="D1191" i="1"/>
  <c r="C1191" i="1"/>
  <c r="B1191" i="1"/>
  <c r="D1190" i="1"/>
  <c r="C1190" i="1"/>
  <c r="B1190" i="1"/>
  <c r="D1189" i="1"/>
  <c r="C1189" i="1"/>
  <c r="B1189" i="1"/>
  <c r="D1188" i="1"/>
  <c r="C1188" i="1"/>
  <c r="B1188" i="1"/>
  <c r="D1187" i="1"/>
  <c r="C1187" i="1"/>
  <c r="B1187" i="1"/>
  <c r="D1186" i="1"/>
  <c r="C1186" i="1"/>
  <c r="B1186" i="1"/>
  <c r="D1185" i="1"/>
  <c r="C1185" i="1"/>
  <c r="B1185" i="1"/>
  <c r="D1184" i="1"/>
  <c r="C1184" i="1"/>
  <c r="B1184" i="1"/>
  <c r="D1183" i="1"/>
  <c r="C1183" i="1"/>
  <c r="B1183" i="1"/>
  <c r="D1182" i="1"/>
  <c r="C1182" i="1"/>
  <c r="B1182" i="1"/>
  <c r="D1181" i="1"/>
  <c r="C1181" i="1"/>
  <c r="B1181" i="1"/>
  <c r="D1180" i="1"/>
  <c r="C1180" i="1"/>
  <c r="B1180" i="1"/>
  <c r="D1179" i="1"/>
  <c r="C1179" i="1"/>
  <c r="B1179" i="1"/>
  <c r="D1178" i="1"/>
  <c r="C1178" i="1"/>
  <c r="B1178" i="1"/>
  <c r="D1177" i="1"/>
  <c r="C1177" i="1"/>
  <c r="B1177" i="1"/>
  <c r="D1176" i="1"/>
  <c r="C1176" i="1"/>
  <c r="B1176" i="1"/>
  <c r="D1175" i="1"/>
  <c r="C1175" i="1"/>
  <c r="B1175" i="1"/>
  <c r="D1174" i="1"/>
  <c r="C1174" i="1"/>
  <c r="B1174" i="1"/>
  <c r="D1173" i="1"/>
  <c r="C1173" i="1"/>
  <c r="B1173" i="1"/>
  <c r="D1172" i="1"/>
  <c r="C1172" i="1"/>
  <c r="B1172" i="1"/>
  <c r="D1171" i="1"/>
  <c r="C1171" i="1"/>
  <c r="B1171" i="1"/>
  <c r="D1170" i="1"/>
  <c r="C1170" i="1"/>
  <c r="B1170" i="1"/>
  <c r="D1169" i="1"/>
  <c r="C1169" i="1"/>
  <c r="B1169" i="1"/>
  <c r="D1168" i="1"/>
  <c r="C1168" i="1"/>
  <c r="B1168" i="1"/>
  <c r="D1167" i="1"/>
  <c r="C1167" i="1"/>
  <c r="B1167" i="1"/>
  <c r="D1166" i="1"/>
  <c r="C1166" i="1"/>
  <c r="B1166" i="1"/>
  <c r="D1165" i="1"/>
  <c r="C1165" i="1"/>
  <c r="B1165" i="1"/>
  <c r="D1164" i="1"/>
  <c r="C1164" i="1"/>
  <c r="B1164" i="1"/>
  <c r="D1163" i="1"/>
  <c r="C1163" i="1"/>
  <c r="B1163" i="1"/>
  <c r="D1162" i="1"/>
  <c r="C1162" i="1"/>
  <c r="B1162" i="1"/>
  <c r="D1161" i="1"/>
  <c r="C1161" i="1"/>
  <c r="B1161" i="1"/>
  <c r="D1160" i="1"/>
  <c r="C1160" i="1"/>
  <c r="B1160" i="1"/>
  <c r="D1159" i="1"/>
  <c r="C1159" i="1"/>
  <c r="B1159" i="1"/>
  <c r="D1158" i="1"/>
  <c r="C1158" i="1"/>
  <c r="B1158" i="1"/>
  <c r="D1157" i="1"/>
  <c r="C1157" i="1"/>
  <c r="B1157" i="1"/>
  <c r="D1156" i="1"/>
  <c r="C1156" i="1"/>
  <c r="B1156" i="1"/>
  <c r="D1155" i="1"/>
  <c r="C1155" i="1"/>
  <c r="B1155" i="1"/>
  <c r="D1154" i="1"/>
  <c r="C1154" i="1"/>
  <c r="B1154" i="1"/>
  <c r="D1153" i="1"/>
  <c r="C1153" i="1"/>
  <c r="B1153" i="1"/>
  <c r="D1152" i="1"/>
  <c r="C1152" i="1"/>
  <c r="B1152" i="1"/>
  <c r="D1151" i="1"/>
  <c r="C1151" i="1"/>
  <c r="B1151" i="1"/>
  <c r="D1150" i="1"/>
  <c r="C1150" i="1"/>
  <c r="B1150" i="1"/>
  <c r="D1149" i="1"/>
  <c r="C1149" i="1"/>
  <c r="B1149" i="1"/>
  <c r="D1148" i="1"/>
  <c r="C1148" i="1"/>
  <c r="B1148" i="1"/>
  <c r="D1147" i="1"/>
  <c r="C1147" i="1"/>
  <c r="B1147" i="1"/>
  <c r="D1146" i="1"/>
  <c r="C1146" i="1"/>
  <c r="B1146" i="1"/>
  <c r="D1145" i="1"/>
  <c r="C1145" i="1"/>
  <c r="B1145" i="1"/>
  <c r="D1144" i="1"/>
  <c r="C1144" i="1"/>
  <c r="B1144" i="1"/>
  <c r="D1143" i="1"/>
  <c r="C1143" i="1"/>
  <c r="B1143" i="1"/>
  <c r="D1142" i="1"/>
  <c r="C1142" i="1"/>
  <c r="B1142" i="1"/>
  <c r="D1141" i="1"/>
  <c r="C1141" i="1"/>
  <c r="B1141" i="1"/>
  <c r="D1140" i="1"/>
  <c r="C1140" i="1"/>
  <c r="B1140" i="1"/>
  <c r="D1139" i="1"/>
  <c r="C1139" i="1"/>
  <c r="B1139" i="1"/>
  <c r="D1138" i="1"/>
  <c r="C1138" i="1"/>
  <c r="B1138" i="1"/>
  <c r="D1137" i="1"/>
  <c r="C1137" i="1"/>
  <c r="B1137" i="1"/>
  <c r="D1136" i="1"/>
  <c r="C1136" i="1"/>
  <c r="B1136" i="1"/>
  <c r="D1135" i="1"/>
  <c r="C1135" i="1"/>
  <c r="B1135" i="1"/>
  <c r="D1134" i="1"/>
  <c r="C1134" i="1"/>
  <c r="B1134" i="1"/>
  <c r="D1133" i="1"/>
  <c r="C1133" i="1"/>
  <c r="B1133" i="1"/>
  <c r="D1132" i="1"/>
  <c r="C1132" i="1"/>
  <c r="B1132" i="1"/>
  <c r="D1131" i="1"/>
  <c r="C1131" i="1"/>
  <c r="B1131" i="1"/>
  <c r="D1130" i="1"/>
  <c r="C1130" i="1"/>
  <c r="B1130" i="1"/>
  <c r="D1129" i="1"/>
  <c r="C1129" i="1"/>
  <c r="B1129" i="1"/>
  <c r="D1128" i="1"/>
  <c r="C1128" i="1"/>
  <c r="B1128" i="1"/>
  <c r="D1127" i="1"/>
  <c r="C1127" i="1"/>
  <c r="B1127" i="1"/>
  <c r="D1126" i="1"/>
  <c r="C1126" i="1"/>
  <c r="B1126" i="1"/>
  <c r="D1125" i="1"/>
  <c r="C1125" i="1"/>
  <c r="B1125" i="1"/>
  <c r="D1124" i="1"/>
  <c r="C1124" i="1"/>
  <c r="B1124" i="1"/>
  <c r="D1123" i="1"/>
  <c r="C1123" i="1"/>
  <c r="B1123" i="1"/>
  <c r="D1122" i="1"/>
  <c r="C1122" i="1"/>
  <c r="B1122" i="1"/>
  <c r="D1121" i="1"/>
  <c r="C1121" i="1"/>
  <c r="B1121" i="1"/>
  <c r="D1120" i="1"/>
  <c r="C1120" i="1"/>
  <c r="B1120" i="1"/>
  <c r="D1119" i="1"/>
  <c r="C1119" i="1"/>
  <c r="B1119" i="1"/>
  <c r="D1118" i="1"/>
  <c r="C1118" i="1"/>
  <c r="B1118" i="1"/>
  <c r="D1117" i="1"/>
  <c r="C1117" i="1"/>
  <c r="B1117" i="1"/>
  <c r="D1116" i="1"/>
  <c r="C1116" i="1"/>
  <c r="B1116" i="1"/>
  <c r="D1115" i="1"/>
  <c r="C1115" i="1"/>
  <c r="B1115" i="1"/>
  <c r="D1114" i="1"/>
  <c r="C1114" i="1"/>
  <c r="B1114" i="1"/>
  <c r="D1113" i="1"/>
  <c r="C1113" i="1"/>
  <c r="B1113" i="1"/>
  <c r="D1112" i="1"/>
  <c r="C1112" i="1"/>
  <c r="B1112" i="1"/>
  <c r="D1111" i="1"/>
  <c r="C1111" i="1"/>
  <c r="B1111" i="1"/>
  <c r="D1110" i="1"/>
  <c r="C1110" i="1"/>
  <c r="B1110" i="1"/>
  <c r="D1109" i="1"/>
  <c r="C1109" i="1"/>
  <c r="B1109" i="1"/>
  <c r="D1108" i="1"/>
  <c r="C1108" i="1"/>
  <c r="B1108" i="1"/>
  <c r="D1107" i="1"/>
  <c r="C1107" i="1"/>
  <c r="B1107" i="1"/>
  <c r="D1106" i="1"/>
  <c r="C1106" i="1"/>
  <c r="B1106" i="1"/>
  <c r="D1105" i="1"/>
  <c r="C1105" i="1"/>
  <c r="B1105" i="1"/>
  <c r="D1104" i="1"/>
  <c r="C1104" i="1"/>
  <c r="B1104" i="1"/>
  <c r="D1103" i="1"/>
  <c r="C1103" i="1"/>
  <c r="B1103" i="1"/>
  <c r="D1102" i="1"/>
  <c r="C1102" i="1"/>
  <c r="B1102" i="1"/>
  <c r="D1101" i="1"/>
  <c r="C1101" i="1"/>
  <c r="B1101" i="1"/>
  <c r="D1100" i="1"/>
  <c r="C1100" i="1"/>
  <c r="B1100" i="1"/>
  <c r="D1099" i="1"/>
  <c r="C1099" i="1"/>
  <c r="B1099" i="1"/>
  <c r="D1098" i="1"/>
  <c r="C1098" i="1"/>
  <c r="B1098" i="1"/>
  <c r="D1097" i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6" i="1"/>
  <c r="C1086" i="1"/>
  <c r="B1086" i="1"/>
  <c r="D1085" i="1"/>
  <c r="C1085" i="1"/>
  <c r="B1085" i="1"/>
  <c r="D1084" i="1"/>
  <c r="C1084" i="1"/>
  <c r="B1084" i="1"/>
  <c r="D1083" i="1"/>
  <c r="C1083" i="1"/>
  <c r="B1083" i="1"/>
  <c r="D1082" i="1"/>
  <c r="C1082" i="1"/>
  <c r="B1082" i="1"/>
  <c r="D1081" i="1"/>
  <c r="C1081" i="1"/>
  <c r="B1081" i="1"/>
  <c r="D1080" i="1"/>
  <c r="C1080" i="1"/>
  <c r="B1080" i="1"/>
  <c r="D1079" i="1"/>
  <c r="C1079" i="1"/>
  <c r="B1079" i="1"/>
  <c r="D1078" i="1"/>
  <c r="C1078" i="1"/>
  <c r="B1078" i="1"/>
  <c r="D1077" i="1"/>
  <c r="C1077" i="1"/>
  <c r="B1077" i="1"/>
  <c r="D1076" i="1"/>
  <c r="C1076" i="1"/>
  <c r="B1076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4" i="1"/>
  <c r="C1054" i="1"/>
  <c r="B1054" i="1"/>
  <c r="D1053" i="1"/>
  <c r="C1053" i="1"/>
  <c r="B1053" i="1"/>
  <c r="D1052" i="1"/>
  <c r="C1052" i="1"/>
  <c r="B1052" i="1"/>
  <c r="D1051" i="1"/>
  <c r="C1051" i="1"/>
  <c r="B1051" i="1"/>
  <c r="D1050" i="1"/>
  <c r="C1050" i="1"/>
  <c r="B1050" i="1"/>
  <c r="D1049" i="1"/>
  <c r="C1049" i="1"/>
  <c r="B1049" i="1"/>
  <c r="D1048" i="1"/>
  <c r="C1048" i="1"/>
  <c r="B1048" i="1"/>
  <c r="D1047" i="1"/>
  <c r="C1047" i="1"/>
  <c r="B1047" i="1"/>
  <c r="D1046" i="1"/>
  <c r="C1046" i="1"/>
  <c r="B1046" i="1"/>
  <c r="D1045" i="1"/>
  <c r="C1045" i="1"/>
  <c r="B1045" i="1"/>
  <c r="D1044" i="1"/>
  <c r="C1044" i="1"/>
  <c r="B1044" i="1"/>
  <c r="D1043" i="1"/>
  <c r="C1043" i="1"/>
  <c r="B1043" i="1"/>
  <c r="D1042" i="1"/>
  <c r="C1042" i="1"/>
  <c r="B1042" i="1"/>
  <c r="D1041" i="1"/>
  <c r="C1041" i="1"/>
  <c r="B1041" i="1"/>
  <c r="D1040" i="1"/>
  <c r="C1040" i="1"/>
  <c r="B1040" i="1"/>
  <c r="D1039" i="1"/>
  <c r="C1039" i="1"/>
  <c r="B1039" i="1"/>
  <c r="D1038" i="1"/>
  <c r="C1038" i="1"/>
  <c r="B1038" i="1"/>
  <c r="D1037" i="1"/>
  <c r="C1037" i="1"/>
  <c r="B1037" i="1"/>
  <c r="D1036" i="1"/>
  <c r="C1036" i="1"/>
  <c r="B1036" i="1"/>
  <c r="D1035" i="1"/>
  <c r="C1035" i="1"/>
  <c r="B1035" i="1"/>
  <c r="D1034" i="1"/>
  <c r="C1034" i="1"/>
  <c r="B1034" i="1"/>
  <c r="D1033" i="1"/>
  <c r="C1033" i="1"/>
  <c r="B1033" i="1"/>
  <c r="D1032" i="1"/>
  <c r="C1032" i="1"/>
  <c r="B1032" i="1"/>
  <c r="D1031" i="1"/>
  <c r="C1031" i="1"/>
  <c r="B1031" i="1"/>
  <c r="D1030" i="1"/>
  <c r="C1030" i="1"/>
  <c r="B1030" i="1"/>
  <c r="D1029" i="1"/>
  <c r="C1029" i="1"/>
  <c r="B1029" i="1"/>
  <c r="D1028" i="1"/>
  <c r="C1028" i="1"/>
  <c r="B1028" i="1"/>
  <c r="D1027" i="1"/>
  <c r="C1027" i="1"/>
  <c r="B1027" i="1"/>
  <c r="D1026" i="1"/>
  <c r="C1026" i="1"/>
  <c r="B1026" i="1"/>
  <c r="D1025" i="1"/>
  <c r="C1025" i="1"/>
  <c r="B1025" i="1"/>
  <c r="D1024" i="1"/>
  <c r="C1024" i="1"/>
  <c r="B1024" i="1"/>
  <c r="D1023" i="1"/>
  <c r="C1023" i="1"/>
  <c r="B1023" i="1"/>
  <c r="D1022" i="1"/>
  <c r="C1022" i="1"/>
  <c r="B1022" i="1"/>
  <c r="D1021" i="1"/>
  <c r="C1021" i="1"/>
  <c r="B1021" i="1"/>
  <c r="D1020" i="1"/>
  <c r="C1020" i="1"/>
  <c r="B1020" i="1"/>
  <c r="D1019" i="1"/>
  <c r="C1019" i="1"/>
  <c r="B1019" i="1"/>
  <c r="D1018" i="1"/>
  <c r="C1018" i="1"/>
  <c r="B1018" i="1"/>
  <c r="D1017" i="1"/>
  <c r="C1017" i="1"/>
  <c r="B1017" i="1"/>
  <c r="D1016" i="1"/>
  <c r="C1016" i="1"/>
  <c r="B1016" i="1"/>
  <c r="D1015" i="1"/>
  <c r="C1015" i="1"/>
  <c r="B1015" i="1"/>
  <c r="D1014" i="1"/>
  <c r="C1014" i="1"/>
  <c r="B1014" i="1"/>
  <c r="D1013" i="1"/>
  <c r="C1013" i="1"/>
  <c r="B1013" i="1"/>
  <c r="D1012" i="1"/>
  <c r="C1012" i="1"/>
  <c r="B1012" i="1"/>
  <c r="D1011" i="1"/>
  <c r="C1011" i="1"/>
  <c r="B1011" i="1"/>
  <c r="D1010" i="1"/>
  <c r="C1010" i="1"/>
  <c r="B1010" i="1"/>
  <c r="D1009" i="1"/>
  <c r="C1009" i="1"/>
  <c r="B1009" i="1"/>
  <c r="D1008" i="1"/>
  <c r="C1008" i="1"/>
  <c r="B1008" i="1"/>
  <c r="D1007" i="1"/>
  <c r="C1007" i="1"/>
  <c r="B1007" i="1"/>
  <c r="D1006" i="1"/>
  <c r="C1006" i="1"/>
  <c r="B1006" i="1"/>
  <c r="D1005" i="1"/>
  <c r="C1005" i="1"/>
  <c r="B1005" i="1"/>
  <c r="D1004" i="1"/>
  <c r="C1004" i="1"/>
  <c r="B1004" i="1"/>
  <c r="D1003" i="1"/>
  <c r="C1003" i="1"/>
  <c r="B1003" i="1"/>
  <c r="D1002" i="1"/>
  <c r="C1002" i="1"/>
  <c r="B1002" i="1"/>
  <c r="D1001" i="1"/>
  <c r="C1001" i="1"/>
  <c r="B1001" i="1"/>
  <c r="D1000" i="1"/>
  <c r="C1000" i="1"/>
  <c r="B1000" i="1"/>
  <c r="D999" i="1"/>
  <c r="C999" i="1"/>
  <c r="B999" i="1"/>
  <c r="D998" i="1"/>
  <c r="C998" i="1"/>
  <c r="B998" i="1"/>
  <c r="D997" i="1"/>
  <c r="C997" i="1"/>
  <c r="B997" i="1"/>
  <c r="D996" i="1"/>
  <c r="C996" i="1"/>
  <c r="B996" i="1"/>
  <c r="D995" i="1"/>
  <c r="C995" i="1"/>
  <c r="B995" i="1"/>
  <c r="D994" i="1"/>
  <c r="C994" i="1"/>
  <c r="B994" i="1"/>
  <c r="D993" i="1"/>
  <c r="C993" i="1"/>
  <c r="B993" i="1"/>
  <c r="D992" i="1"/>
  <c r="C992" i="1"/>
  <c r="B992" i="1"/>
  <c r="D991" i="1"/>
  <c r="C991" i="1"/>
  <c r="B991" i="1"/>
  <c r="D990" i="1"/>
  <c r="C990" i="1"/>
  <c r="B990" i="1"/>
  <c r="D989" i="1"/>
  <c r="C989" i="1"/>
  <c r="B989" i="1"/>
  <c r="D988" i="1"/>
  <c r="C988" i="1"/>
  <c r="B988" i="1"/>
  <c r="D987" i="1"/>
  <c r="C987" i="1"/>
  <c r="B987" i="1"/>
  <c r="D986" i="1"/>
  <c r="C986" i="1"/>
  <c r="B986" i="1"/>
  <c r="D985" i="1"/>
  <c r="C985" i="1"/>
  <c r="B985" i="1"/>
  <c r="D984" i="1"/>
  <c r="C984" i="1"/>
  <c r="B984" i="1"/>
  <c r="D983" i="1"/>
  <c r="C983" i="1"/>
  <c r="B983" i="1"/>
  <c r="D982" i="1"/>
  <c r="C982" i="1"/>
  <c r="B982" i="1"/>
  <c r="D981" i="1"/>
  <c r="C981" i="1"/>
  <c r="B981" i="1"/>
  <c r="D980" i="1"/>
  <c r="C980" i="1"/>
  <c r="B980" i="1"/>
  <c r="D979" i="1"/>
  <c r="C979" i="1"/>
  <c r="B979" i="1"/>
  <c r="D978" i="1"/>
  <c r="C978" i="1"/>
  <c r="B978" i="1"/>
  <c r="D977" i="1"/>
  <c r="C977" i="1"/>
  <c r="B977" i="1"/>
  <c r="D976" i="1"/>
  <c r="C976" i="1"/>
  <c r="B976" i="1"/>
  <c r="D975" i="1"/>
  <c r="C975" i="1"/>
  <c r="B975" i="1"/>
  <c r="D974" i="1"/>
  <c r="C974" i="1"/>
  <c r="B974" i="1"/>
  <c r="D973" i="1"/>
  <c r="C973" i="1"/>
  <c r="B973" i="1"/>
  <c r="D972" i="1"/>
  <c r="C972" i="1"/>
  <c r="B972" i="1"/>
  <c r="D971" i="1"/>
  <c r="C971" i="1"/>
  <c r="B971" i="1"/>
  <c r="D970" i="1"/>
  <c r="C970" i="1"/>
  <c r="B970" i="1"/>
  <c r="D969" i="1"/>
  <c r="C969" i="1"/>
  <c r="B969" i="1"/>
  <c r="D968" i="1"/>
  <c r="C968" i="1"/>
  <c r="B968" i="1"/>
  <c r="D967" i="1"/>
  <c r="C967" i="1"/>
  <c r="B967" i="1"/>
  <c r="D966" i="1"/>
  <c r="C966" i="1"/>
  <c r="B966" i="1"/>
  <c r="D965" i="1"/>
  <c r="C965" i="1"/>
  <c r="B965" i="1"/>
  <c r="D964" i="1"/>
  <c r="C964" i="1"/>
  <c r="B964" i="1"/>
  <c r="D963" i="1"/>
  <c r="C963" i="1"/>
  <c r="B963" i="1"/>
  <c r="D962" i="1"/>
  <c r="C962" i="1"/>
  <c r="B962" i="1"/>
  <c r="D961" i="1"/>
  <c r="C961" i="1"/>
  <c r="B961" i="1"/>
  <c r="D960" i="1"/>
  <c r="C960" i="1"/>
  <c r="B960" i="1"/>
  <c r="D959" i="1"/>
  <c r="C959" i="1"/>
  <c r="B959" i="1"/>
  <c r="D958" i="1"/>
  <c r="C958" i="1"/>
  <c r="B958" i="1"/>
  <c r="D957" i="1"/>
  <c r="C957" i="1"/>
  <c r="B957" i="1"/>
  <c r="D956" i="1"/>
  <c r="C956" i="1"/>
  <c r="B956" i="1"/>
  <c r="D955" i="1"/>
  <c r="C955" i="1"/>
  <c r="B955" i="1"/>
  <c r="D954" i="1"/>
  <c r="C954" i="1"/>
  <c r="B954" i="1"/>
  <c r="D953" i="1"/>
  <c r="C953" i="1"/>
  <c r="B953" i="1"/>
  <c r="D952" i="1"/>
  <c r="C952" i="1"/>
  <c r="B952" i="1"/>
  <c r="D951" i="1"/>
  <c r="C951" i="1"/>
  <c r="B951" i="1"/>
  <c r="D950" i="1"/>
  <c r="C950" i="1"/>
  <c r="B950" i="1"/>
  <c r="D949" i="1"/>
  <c r="C949" i="1"/>
  <c r="B949" i="1"/>
  <c r="D948" i="1"/>
  <c r="C948" i="1"/>
  <c r="B948" i="1"/>
  <c r="D947" i="1"/>
  <c r="C947" i="1"/>
  <c r="B947" i="1"/>
  <c r="D946" i="1"/>
  <c r="C946" i="1"/>
  <c r="B946" i="1"/>
  <c r="D945" i="1"/>
  <c r="C945" i="1"/>
  <c r="B945" i="1"/>
  <c r="D944" i="1"/>
  <c r="C944" i="1"/>
  <c r="B944" i="1"/>
  <c r="D943" i="1"/>
  <c r="C943" i="1"/>
  <c r="B943" i="1"/>
  <c r="D942" i="1"/>
  <c r="C942" i="1"/>
  <c r="B942" i="1"/>
  <c r="D941" i="1"/>
  <c r="C941" i="1"/>
  <c r="B941" i="1"/>
  <c r="D940" i="1"/>
  <c r="C940" i="1"/>
  <c r="B940" i="1"/>
  <c r="D939" i="1"/>
  <c r="C939" i="1"/>
  <c r="B939" i="1"/>
  <c r="D938" i="1"/>
  <c r="C938" i="1"/>
  <c r="B938" i="1"/>
  <c r="D937" i="1"/>
  <c r="C937" i="1"/>
  <c r="B937" i="1"/>
  <c r="D936" i="1"/>
  <c r="C936" i="1"/>
  <c r="B936" i="1"/>
  <c r="D935" i="1"/>
  <c r="C935" i="1"/>
  <c r="B935" i="1"/>
  <c r="D934" i="1"/>
  <c r="C934" i="1"/>
  <c r="B934" i="1"/>
  <c r="D933" i="1"/>
  <c r="C933" i="1"/>
  <c r="B933" i="1"/>
  <c r="D932" i="1"/>
  <c r="C932" i="1"/>
  <c r="B932" i="1"/>
  <c r="D931" i="1"/>
  <c r="C931" i="1"/>
  <c r="B931" i="1"/>
  <c r="D930" i="1"/>
  <c r="C930" i="1"/>
  <c r="B930" i="1"/>
  <c r="D929" i="1"/>
  <c r="C929" i="1"/>
  <c r="B929" i="1"/>
  <c r="D928" i="1"/>
  <c r="C928" i="1"/>
  <c r="B928" i="1"/>
  <c r="D927" i="1"/>
  <c r="C927" i="1"/>
  <c r="B927" i="1"/>
  <c r="D926" i="1"/>
  <c r="C926" i="1"/>
  <c r="B926" i="1"/>
  <c r="D925" i="1"/>
  <c r="C925" i="1"/>
  <c r="B925" i="1"/>
  <c r="D924" i="1"/>
  <c r="C924" i="1"/>
  <c r="B924" i="1"/>
  <c r="D923" i="1"/>
  <c r="C923" i="1"/>
  <c r="B923" i="1"/>
  <c r="D922" i="1"/>
  <c r="C922" i="1"/>
  <c r="B922" i="1"/>
  <c r="D921" i="1"/>
  <c r="C921" i="1"/>
  <c r="B921" i="1"/>
  <c r="D920" i="1"/>
  <c r="C920" i="1"/>
  <c r="B920" i="1"/>
  <c r="D919" i="1"/>
  <c r="C919" i="1"/>
  <c r="B919" i="1"/>
  <c r="D918" i="1"/>
  <c r="C918" i="1"/>
  <c r="B918" i="1"/>
  <c r="D917" i="1"/>
  <c r="C917" i="1"/>
  <c r="B917" i="1"/>
  <c r="D916" i="1"/>
  <c r="C916" i="1"/>
  <c r="B916" i="1"/>
  <c r="D915" i="1"/>
  <c r="C915" i="1"/>
  <c r="B915" i="1"/>
  <c r="D914" i="1"/>
  <c r="C914" i="1"/>
  <c r="B914" i="1"/>
  <c r="D913" i="1"/>
  <c r="C913" i="1"/>
  <c r="B913" i="1"/>
  <c r="D912" i="1"/>
  <c r="C912" i="1"/>
  <c r="B912" i="1"/>
  <c r="D911" i="1"/>
  <c r="C911" i="1"/>
  <c r="B911" i="1"/>
  <c r="D910" i="1"/>
  <c r="C910" i="1"/>
  <c r="B910" i="1"/>
  <c r="D909" i="1"/>
  <c r="C909" i="1"/>
  <c r="B909" i="1"/>
  <c r="D908" i="1"/>
  <c r="C908" i="1"/>
  <c r="B908" i="1"/>
  <c r="D907" i="1"/>
  <c r="C907" i="1"/>
  <c r="B907" i="1"/>
  <c r="D906" i="1"/>
  <c r="C906" i="1"/>
  <c r="B906" i="1"/>
  <c r="D905" i="1"/>
  <c r="C905" i="1"/>
  <c r="B905" i="1"/>
  <c r="D904" i="1"/>
  <c r="C904" i="1"/>
  <c r="B904" i="1"/>
  <c r="D903" i="1"/>
  <c r="C903" i="1"/>
  <c r="B903" i="1"/>
  <c r="D902" i="1"/>
  <c r="C902" i="1"/>
  <c r="B902" i="1"/>
  <c r="D901" i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D860" i="1"/>
  <c r="C860" i="1"/>
  <c r="B860" i="1"/>
  <c r="D859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D853" i="1"/>
  <c r="C853" i="1"/>
  <c r="B853" i="1"/>
  <c r="D852" i="1"/>
  <c r="C852" i="1"/>
  <c r="B852" i="1"/>
  <c r="D851" i="1"/>
  <c r="C851" i="1"/>
  <c r="B851" i="1"/>
  <c r="D850" i="1"/>
  <c r="C850" i="1"/>
  <c r="B850" i="1"/>
  <c r="D849" i="1"/>
  <c r="C849" i="1"/>
  <c r="B849" i="1"/>
  <c r="D848" i="1"/>
  <c r="C848" i="1"/>
  <c r="B848" i="1"/>
  <c r="D847" i="1"/>
  <c r="C847" i="1"/>
  <c r="B847" i="1"/>
  <c r="D846" i="1"/>
  <c r="C846" i="1"/>
  <c r="B846" i="1"/>
  <c r="D845" i="1"/>
  <c r="C845" i="1"/>
  <c r="B845" i="1"/>
  <c r="D844" i="1"/>
  <c r="C844" i="1"/>
  <c r="B844" i="1"/>
  <c r="D843" i="1"/>
  <c r="C843" i="1"/>
  <c r="B843" i="1"/>
  <c r="D842" i="1"/>
  <c r="C842" i="1"/>
  <c r="B842" i="1"/>
  <c r="D841" i="1"/>
  <c r="C841" i="1"/>
  <c r="B841" i="1"/>
  <c r="D840" i="1"/>
  <c r="C840" i="1"/>
  <c r="B840" i="1"/>
  <c r="D839" i="1"/>
  <c r="C839" i="1"/>
  <c r="B839" i="1"/>
  <c r="D838" i="1"/>
  <c r="C838" i="1"/>
  <c r="B838" i="1"/>
  <c r="D837" i="1"/>
  <c r="C837" i="1"/>
  <c r="B837" i="1"/>
  <c r="D836" i="1"/>
  <c r="C836" i="1"/>
  <c r="B836" i="1"/>
  <c r="D835" i="1"/>
  <c r="C835" i="1"/>
  <c r="B835" i="1"/>
  <c r="D834" i="1"/>
  <c r="C834" i="1"/>
  <c r="B834" i="1"/>
  <c r="D833" i="1"/>
  <c r="C833" i="1"/>
  <c r="B833" i="1"/>
  <c r="D832" i="1"/>
  <c r="C832" i="1"/>
  <c r="B832" i="1"/>
  <c r="D831" i="1"/>
  <c r="C831" i="1"/>
  <c r="B831" i="1"/>
  <c r="D830" i="1"/>
  <c r="C830" i="1"/>
  <c r="B830" i="1"/>
  <c r="D829" i="1"/>
  <c r="C829" i="1"/>
  <c r="B829" i="1"/>
  <c r="D828" i="1"/>
  <c r="C828" i="1"/>
  <c r="B828" i="1"/>
  <c r="D827" i="1"/>
  <c r="C827" i="1"/>
  <c r="B827" i="1"/>
  <c r="D826" i="1"/>
  <c r="C826" i="1"/>
  <c r="B826" i="1"/>
  <c r="D825" i="1"/>
  <c r="C825" i="1"/>
  <c r="B825" i="1"/>
  <c r="D824" i="1"/>
  <c r="C824" i="1"/>
  <c r="B824" i="1"/>
  <c r="D823" i="1"/>
  <c r="C823" i="1"/>
  <c r="B823" i="1"/>
  <c r="D822" i="1"/>
  <c r="C822" i="1"/>
  <c r="B822" i="1"/>
  <c r="D821" i="1"/>
  <c r="C821" i="1"/>
  <c r="B821" i="1"/>
  <c r="D820" i="1"/>
  <c r="C820" i="1"/>
  <c r="B820" i="1"/>
  <c r="D819" i="1"/>
  <c r="C819" i="1"/>
  <c r="B819" i="1"/>
  <c r="D818" i="1"/>
  <c r="C818" i="1"/>
  <c r="B818" i="1"/>
  <c r="D817" i="1"/>
  <c r="C817" i="1"/>
  <c r="B817" i="1"/>
  <c r="D816" i="1"/>
  <c r="C816" i="1"/>
  <c r="B816" i="1"/>
  <c r="D815" i="1"/>
  <c r="C815" i="1"/>
  <c r="B815" i="1"/>
  <c r="D814" i="1"/>
  <c r="C814" i="1"/>
  <c r="B814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8" i="1"/>
  <c r="C808" i="1"/>
  <c r="B808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802" i="1"/>
  <c r="C802" i="1"/>
  <c r="B802" i="1"/>
  <c r="D801" i="1"/>
  <c r="C801" i="1"/>
  <c r="B801" i="1"/>
  <c r="D800" i="1"/>
  <c r="C800" i="1"/>
  <c r="B800" i="1"/>
  <c r="D799" i="1"/>
  <c r="C799" i="1"/>
  <c r="B799" i="1"/>
  <c r="D798" i="1"/>
  <c r="C798" i="1"/>
  <c r="B798" i="1"/>
  <c r="D797" i="1"/>
  <c r="C797" i="1"/>
  <c r="B797" i="1"/>
  <c r="D796" i="1"/>
  <c r="C796" i="1"/>
  <c r="B796" i="1"/>
  <c r="D795" i="1"/>
  <c r="C795" i="1"/>
  <c r="B795" i="1"/>
  <c r="D794" i="1"/>
  <c r="C794" i="1"/>
  <c r="B794" i="1"/>
  <c r="D793" i="1"/>
  <c r="C793" i="1"/>
  <c r="B793" i="1"/>
  <c r="D792" i="1"/>
  <c r="C792" i="1"/>
  <c r="B792" i="1"/>
  <c r="D791" i="1"/>
  <c r="C791" i="1"/>
  <c r="B791" i="1"/>
  <c r="D790" i="1"/>
  <c r="C790" i="1"/>
  <c r="B790" i="1"/>
  <c r="D789" i="1"/>
  <c r="C789" i="1"/>
  <c r="B789" i="1"/>
  <c r="D788" i="1"/>
  <c r="C788" i="1"/>
  <c r="B788" i="1"/>
  <c r="D787" i="1"/>
  <c r="C787" i="1"/>
  <c r="B787" i="1"/>
  <c r="D786" i="1"/>
  <c r="C786" i="1"/>
  <c r="B786" i="1"/>
  <c r="D785" i="1"/>
  <c r="C785" i="1"/>
  <c r="B785" i="1"/>
  <c r="D784" i="1"/>
  <c r="C784" i="1"/>
  <c r="B784" i="1"/>
  <c r="D783" i="1"/>
  <c r="C783" i="1"/>
  <c r="B783" i="1"/>
  <c r="D782" i="1"/>
  <c r="C782" i="1"/>
  <c r="B782" i="1"/>
  <c r="D781" i="1"/>
  <c r="C781" i="1"/>
  <c r="B781" i="1"/>
  <c r="D780" i="1"/>
  <c r="C780" i="1"/>
  <c r="B780" i="1"/>
  <c r="D779" i="1"/>
  <c r="C779" i="1"/>
  <c r="B779" i="1"/>
  <c r="D778" i="1"/>
  <c r="C778" i="1"/>
  <c r="B778" i="1"/>
  <c r="D777" i="1"/>
  <c r="C777" i="1"/>
  <c r="B777" i="1"/>
  <c r="D776" i="1"/>
  <c r="C776" i="1"/>
  <c r="B776" i="1"/>
  <c r="D775" i="1"/>
  <c r="C775" i="1"/>
  <c r="B775" i="1"/>
  <c r="D774" i="1"/>
  <c r="C774" i="1"/>
  <c r="B774" i="1"/>
  <c r="D773" i="1"/>
  <c r="C773" i="1"/>
  <c r="B773" i="1"/>
  <c r="D772" i="1"/>
  <c r="C772" i="1"/>
  <c r="B772" i="1"/>
  <c r="D771" i="1"/>
  <c r="C771" i="1"/>
  <c r="B771" i="1"/>
  <c r="D770" i="1"/>
  <c r="C770" i="1"/>
  <c r="B770" i="1"/>
  <c r="D769" i="1"/>
  <c r="C769" i="1"/>
  <c r="B769" i="1"/>
  <c r="D768" i="1"/>
  <c r="C768" i="1"/>
  <c r="B768" i="1"/>
  <c r="D767" i="1"/>
  <c r="C767" i="1"/>
  <c r="B767" i="1"/>
  <c r="D766" i="1"/>
  <c r="C766" i="1"/>
  <c r="B766" i="1"/>
  <c r="D765" i="1"/>
  <c r="C765" i="1"/>
  <c r="B765" i="1"/>
  <c r="D764" i="1"/>
  <c r="C764" i="1"/>
  <c r="B764" i="1"/>
  <c r="D763" i="1"/>
  <c r="C763" i="1"/>
  <c r="B763" i="1"/>
  <c r="D762" i="1"/>
  <c r="C762" i="1"/>
  <c r="B762" i="1"/>
  <c r="D761" i="1"/>
  <c r="C761" i="1"/>
  <c r="B761" i="1"/>
  <c r="D760" i="1"/>
  <c r="C760" i="1"/>
  <c r="B760" i="1"/>
  <c r="D759" i="1"/>
  <c r="C759" i="1"/>
  <c r="B759" i="1"/>
  <c r="D758" i="1"/>
  <c r="C758" i="1"/>
  <c r="B758" i="1"/>
  <c r="D757" i="1"/>
  <c r="C757" i="1"/>
  <c r="B757" i="1"/>
  <c r="D756" i="1"/>
  <c r="C756" i="1"/>
  <c r="B756" i="1"/>
  <c r="D755" i="1"/>
  <c r="C755" i="1"/>
  <c r="B755" i="1"/>
  <c r="D754" i="1"/>
  <c r="C754" i="1"/>
  <c r="B754" i="1"/>
  <c r="D753" i="1"/>
  <c r="C753" i="1"/>
  <c r="B753" i="1"/>
  <c r="D752" i="1"/>
  <c r="C752" i="1"/>
  <c r="B752" i="1"/>
  <c r="D751" i="1"/>
  <c r="C751" i="1"/>
  <c r="B751" i="1"/>
  <c r="D750" i="1"/>
  <c r="C750" i="1"/>
  <c r="B750" i="1"/>
  <c r="D749" i="1"/>
  <c r="C749" i="1"/>
  <c r="B749" i="1"/>
  <c r="D748" i="1"/>
  <c r="C748" i="1"/>
  <c r="B748" i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D737" i="1"/>
  <c r="C737" i="1"/>
  <c r="B737" i="1"/>
  <c r="D736" i="1"/>
  <c r="C736" i="1"/>
  <c r="B736" i="1"/>
  <c r="D735" i="1"/>
  <c r="C735" i="1"/>
  <c r="B735" i="1"/>
  <c r="D734" i="1"/>
  <c r="C734" i="1"/>
  <c r="B734" i="1"/>
  <c r="D733" i="1"/>
  <c r="C733" i="1"/>
  <c r="B733" i="1"/>
  <c r="D732" i="1"/>
  <c r="C732" i="1"/>
  <c r="B732" i="1"/>
  <c r="D731" i="1"/>
  <c r="C731" i="1"/>
  <c r="B731" i="1"/>
  <c r="D730" i="1"/>
  <c r="C730" i="1"/>
  <c r="B730" i="1"/>
  <c r="D729" i="1"/>
  <c r="C729" i="1"/>
  <c r="B729" i="1"/>
  <c r="D728" i="1"/>
  <c r="C728" i="1"/>
  <c r="B728" i="1"/>
  <c r="D727" i="1"/>
  <c r="C727" i="1"/>
  <c r="B727" i="1"/>
  <c r="D726" i="1"/>
  <c r="C726" i="1"/>
  <c r="B726" i="1"/>
  <c r="D725" i="1"/>
  <c r="C725" i="1"/>
  <c r="B725" i="1"/>
  <c r="D724" i="1"/>
  <c r="C724" i="1"/>
  <c r="B724" i="1"/>
  <c r="D723" i="1"/>
  <c r="C723" i="1"/>
  <c r="B723" i="1"/>
  <c r="D722" i="1"/>
  <c r="C722" i="1"/>
  <c r="B722" i="1"/>
  <c r="D721" i="1"/>
  <c r="C721" i="1"/>
  <c r="B721" i="1"/>
  <c r="D720" i="1"/>
  <c r="C720" i="1"/>
  <c r="B720" i="1"/>
  <c r="D719" i="1"/>
  <c r="C719" i="1"/>
  <c r="B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D709" i="1"/>
  <c r="C709" i="1"/>
  <c r="B709" i="1"/>
  <c r="D708" i="1"/>
  <c r="C708" i="1"/>
  <c r="B708" i="1"/>
  <c r="D707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D660" i="1"/>
  <c r="C660" i="1"/>
  <c r="B660" i="1"/>
  <c r="D659" i="1"/>
  <c r="C659" i="1"/>
  <c r="B659" i="1"/>
  <c r="D658" i="1"/>
  <c r="C658" i="1"/>
  <c r="B658" i="1"/>
  <c r="D657" i="1"/>
  <c r="C657" i="1"/>
  <c r="B657" i="1"/>
  <c r="D656" i="1"/>
  <c r="C656" i="1"/>
  <c r="B656" i="1"/>
  <c r="D655" i="1"/>
  <c r="C655" i="1"/>
  <c r="B655" i="1"/>
  <c r="D654" i="1"/>
  <c r="C654" i="1"/>
  <c r="B654" i="1"/>
  <c r="D653" i="1"/>
  <c r="C653" i="1"/>
  <c r="B653" i="1"/>
  <c r="D652" i="1"/>
  <c r="C652" i="1"/>
  <c r="B652" i="1"/>
  <c r="D651" i="1"/>
  <c r="C651" i="1"/>
  <c r="B651" i="1"/>
  <c r="D650" i="1"/>
  <c r="C650" i="1"/>
  <c r="B650" i="1"/>
  <c r="D649" i="1"/>
  <c r="C649" i="1"/>
  <c r="B649" i="1"/>
  <c r="D648" i="1"/>
  <c r="C648" i="1"/>
  <c r="B648" i="1"/>
  <c r="D647" i="1"/>
  <c r="C647" i="1"/>
  <c r="B647" i="1"/>
  <c r="D646" i="1"/>
  <c r="C646" i="1"/>
  <c r="B646" i="1"/>
  <c r="D645" i="1"/>
  <c r="C645" i="1"/>
  <c r="B645" i="1"/>
  <c r="D644" i="1"/>
  <c r="C644" i="1"/>
  <c r="B644" i="1"/>
  <c r="D643" i="1"/>
  <c r="C643" i="1"/>
  <c r="B643" i="1"/>
  <c r="D642" i="1"/>
  <c r="C642" i="1"/>
  <c r="B642" i="1"/>
  <c r="D641" i="1"/>
  <c r="C641" i="1"/>
  <c r="B641" i="1"/>
  <c r="D640" i="1"/>
  <c r="C640" i="1"/>
  <c r="B640" i="1"/>
  <c r="D639" i="1"/>
  <c r="C639" i="1"/>
  <c r="B639" i="1"/>
  <c r="D638" i="1"/>
  <c r="C638" i="1"/>
  <c r="B638" i="1"/>
  <c r="D637" i="1"/>
  <c r="C637" i="1"/>
  <c r="B637" i="1"/>
  <c r="D636" i="1"/>
  <c r="C636" i="1"/>
  <c r="B636" i="1"/>
  <c r="D635" i="1"/>
  <c r="C635" i="1"/>
  <c r="B635" i="1"/>
  <c r="D634" i="1"/>
  <c r="C634" i="1"/>
  <c r="B634" i="1"/>
  <c r="D633" i="1"/>
  <c r="C633" i="1"/>
  <c r="B633" i="1"/>
  <c r="D632" i="1"/>
  <c r="C632" i="1"/>
  <c r="B632" i="1"/>
  <c r="D631" i="1"/>
  <c r="C631" i="1"/>
  <c r="B631" i="1"/>
  <c r="D630" i="1"/>
  <c r="C630" i="1"/>
  <c r="B630" i="1"/>
  <c r="D629" i="1"/>
  <c r="C629" i="1"/>
  <c r="B629" i="1"/>
  <c r="D628" i="1"/>
  <c r="C628" i="1"/>
  <c r="B628" i="1"/>
  <c r="D627" i="1"/>
  <c r="C627" i="1"/>
  <c r="B627" i="1"/>
  <c r="D626" i="1"/>
  <c r="C626" i="1"/>
  <c r="B626" i="1"/>
  <c r="D625" i="1"/>
  <c r="C625" i="1"/>
  <c r="B625" i="1"/>
  <c r="D624" i="1"/>
  <c r="C624" i="1"/>
  <c r="B624" i="1"/>
  <c r="D623" i="1"/>
  <c r="C623" i="1"/>
  <c r="B623" i="1"/>
  <c r="D622" i="1"/>
  <c r="C622" i="1"/>
  <c r="B622" i="1"/>
  <c r="D621" i="1"/>
  <c r="C621" i="1"/>
  <c r="B621" i="1"/>
  <c r="D620" i="1"/>
  <c r="C620" i="1"/>
  <c r="B620" i="1"/>
  <c r="D619" i="1"/>
  <c r="C619" i="1"/>
  <c r="B619" i="1"/>
  <c r="D618" i="1"/>
  <c r="C618" i="1"/>
  <c r="B618" i="1"/>
  <c r="D617" i="1"/>
  <c r="C617" i="1"/>
  <c r="B617" i="1"/>
  <c r="D616" i="1"/>
  <c r="C616" i="1"/>
  <c r="B616" i="1"/>
  <c r="D615" i="1"/>
  <c r="C615" i="1"/>
  <c r="B615" i="1"/>
  <c r="D614" i="1"/>
  <c r="C614" i="1"/>
  <c r="B614" i="1"/>
  <c r="D613" i="1"/>
  <c r="C613" i="1"/>
  <c r="B613" i="1"/>
  <c r="D612" i="1"/>
  <c r="C612" i="1"/>
  <c r="B612" i="1"/>
  <c r="D611" i="1"/>
  <c r="C611" i="1"/>
  <c r="B611" i="1"/>
  <c r="D610" i="1"/>
  <c r="C610" i="1"/>
  <c r="B610" i="1"/>
  <c r="D609" i="1"/>
  <c r="C609" i="1"/>
  <c r="B609" i="1"/>
  <c r="D608" i="1"/>
  <c r="C608" i="1"/>
  <c r="B608" i="1"/>
  <c r="D607" i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602" i="1"/>
  <c r="C602" i="1"/>
  <c r="B602" i="1"/>
  <c r="D601" i="1"/>
  <c r="C601" i="1"/>
  <c r="B601" i="1"/>
  <c r="D600" i="1"/>
  <c r="C600" i="1"/>
  <c r="B600" i="1"/>
  <c r="D599" i="1"/>
  <c r="C599" i="1"/>
  <c r="B599" i="1"/>
  <c r="D598" i="1"/>
  <c r="C598" i="1"/>
  <c r="B598" i="1"/>
  <c r="D597" i="1"/>
  <c r="C597" i="1"/>
  <c r="B597" i="1"/>
  <c r="D596" i="1"/>
  <c r="C596" i="1"/>
  <c r="B596" i="1"/>
  <c r="D595" i="1"/>
  <c r="C595" i="1"/>
  <c r="B595" i="1"/>
  <c r="D594" i="1"/>
  <c r="C594" i="1"/>
  <c r="B594" i="1"/>
  <c r="D593" i="1"/>
  <c r="C593" i="1"/>
  <c r="B593" i="1"/>
  <c r="D592" i="1"/>
  <c r="C592" i="1"/>
  <c r="B592" i="1"/>
  <c r="D591" i="1"/>
  <c r="C591" i="1"/>
  <c r="B591" i="1"/>
  <c r="D590" i="1"/>
  <c r="C590" i="1"/>
  <c r="B590" i="1"/>
  <c r="D589" i="1"/>
  <c r="C589" i="1"/>
  <c r="B589" i="1"/>
  <c r="D588" i="1"/>
  <c r="C588" i="1"/>
  <c r="B588" i="1"/>
  <c r="D587" i="1"/>
  <c r="C587" i="1"/>
  <c r="B587" i="1"/>
  <c r="D586" i="1"/>
  <c r="C586" i="1"/>
  <c r="B586" i="1"/>
  <c r="D585" i="1"/>
  <c r="C585" i="1"/>
  <c r="B585" i="1"/>
  <c r="D584" i="1"/>
  <c r="C584" i="1"/>
  <c r="B584" i="1"/>
  <c r="D583" i="1"/>
  <c r="C583" i="1"/>
  <c r="B583" i="1"/>
  <c r="D582" i="1"/>
  <c r="C582" i="1"/>
  <c r="B582" i="1"/>
  <c r="D581" i="1"/>
  <c r="C581" i="1"/>
  <c r="B581" i="1"/>
  <c r="D580" i="1"/>
  <c r="C580" i="1"/>
  <c r="B580" i="1"/>
  <c r="D579" i="1"/>
  <c r="C579" i="1"/>
  <c r="B579" i="1"/>
  <c r="D578" i="1"/>
  <c r="C578" i="1"/>
  <c r="B578" i="1"/>
  <c r="D577" i="1"/>
  <c r="C577" i="1"/>
  <c r="B577" i="1"/>
  <c r="D576" i="1"/>
  <c r="C576" i="1"/>
  <c r="B576" i="1"/>
  <c r="D575" i="1"/>
  <c r="C575" i="1"/>
  <c r="B575" i="1"/>
  <c r="D574" i="1"/>
  <c r="C574" i="1"/>
  <c r="B574" i="1"/>
  <c r="D573" i="1"/>
  <c r="C573" i="1"/>
  <c r="B573" i="1"/>
  <c r="D572" i="1"/>
  <c r="C572" i="1"/>
  <c r="B572" i="1"/>
  <c r="D571" i="1"/>
  <c r="C571" i="1"/>
  <c r="B571" i="1"/>
  <c r="D570" i="1"/>
  <c r="C570" i="1"/>
  <c r="B570" i="1"/>
  <c r="D569" i="1"/>
  <c r="C569" i="1"/>
  <c r="B569" i="1"/>
  <c r="D568" i="1"/>
  <c r="C568" i="1"/>
  <c r="B568" i="1"/>
  <c r="D567" i="1"/>
  <c r="C567" i="1"/>
  <c r="B567" i="1"/>
  <c r="D566" i="1"/>
  <c r="C566" i="1"/>
  <c r="B566" i="1"/>
  <c r="D565" i="1"/>
  <c r="C565" i="1"/>
  <c r="B565" i="1"/>
  <c r="D564" i="1"/>
  <c r="C564" i="1"/>
  <c r="B564" i="1"/>
  <c r="D563" i="1"/>
  <c r="C563" i="1"/>
  <c r="B563" i="1"/>
  <c r="D562" i="1"/>
  <c r="C562" i="1"/>
  <c r="B562" i="1"/>
  <c r="D561" i="1"/>
  <c r="C561" i="1"/>
  <c r="B561" i="1"/>
  <c r="D560" i="1"/>
  <c r="C560" i="1"/>
  <c r="B560" i="1"/>
  <c r="D559" i="1"/>
  <c r="C559" i="1"/>
  <c r="B559" i="1"/>
  <c r="D558" i="1"/>
  <c r="C558" i="1"/>
  <c r="B558" i="1"/>
  <c r="D557" i="1"/>
  <c r="C557" i="1"/>
  <c r="B557" i="1"/>
  <c r="D556" i="1"/>
  <c r="C556" i="1"/>
  <c r="B556" i="1"/>
  <c r="D555" i="1"/>
  <c r="C555" i="1"/>
  <c r="B555" i="1"/>
  <c r="D554" i="1"/>
  <c r="C554" i="1"/>
  <c r="B554" i="1"/>
  <c r="D553" i="1"/>
  <c r="C553" i="1"/>
  <c r="B553" i="1"/>
  <c r="D552" i="1"/>
  <c r="C552" i="1"/>
  <c r="B552" i="1"/>
  <c r="D551" i="1"/>
  <c r="C551" i="1"/>
  <c r="B551" i="1"/>
  <c r="D550" i="1"/>
  <c r="C550" i="1"/>
  <c r="B550" i="1"/>
  <c r="D549" i="1"/>
  <c r="C549" i="1"/>
  <c r="B549" i="1"/>
  <c r="D548" i="1"/>
  <c r="C548" i="1"/>
  <c r="B548" i="1"/>
  <c r="D547" i="1"/>
  <c r="C547" i="1"/>
  <c r="B547" i="1"/>
  <c r="D546" i="1"/>
  <c r="C546" i="1"/>
  <c r="B546" i="1"/>
  <c r="D545" i="1"/>
  <c r="C545" i="1"/>
  <c r="B545" i="1"/>
  <c r="D544" i="1"/>
  <c r="C544" i="1"/>
  <c r="B544" i="1"/>
  <c r="D543" i="1"/>
  <c r="C543" i="1"/>
  <c r="B543" i="1"/>
  <c r="D542" i="1"/>
  <c r="C542" i="1"/>
  <c r="B542" i="1"/>
  <c r="D541" i="1"/>
  <c r="C541" i="1"/>
  <c r="B541" i="1"/>
  <c r="D540" i="1"/>
  <c r="C540" i="1"/>
  <c r="B540" i="1"/>
  <c r="D539" i="1"/>
  <c r="C539" i="1"/>
  <c r="B539" i="1"/>
  <c r="D538" i="1"/>
  <c r="C538" i="1"/>
  <c r="B538" i="1"/>
  <c r="D537" i="1"/>
  <c r="C537" i="1"/>
  <c r="B537" i="1"/>
  <c r="D536" i="1"/>
  <c r="C536" i="1"/>
  <c r="B536" i="1"/>
  <c r="D535" i="1"/>
  <c r="C535" i="1"/>
  <c r="B535" i="1"/>
  <c r="D534" i="1"/>
  <c r="C534" i="1"/>
  <c r="B534" i="1"/>
  <c r="D533" i="1"/>
  <c r="C533" i="1"/>
  <c r="B533" i="1"/>
  <c r="D532" i="1"/>
  <c r="C532" i="1"/>
  <c r="B532" i="1"/>
  <c r="D531" i="1"/>
  <c r="C531" i="1"/>
  <c r="B531" i="1"/>
  <c r="D530" i="1"/>
  <c r="C530" i="1"/>
  <c r="B530" i="1"/>
  <c r="D529" i="1"/>
  <c r="C529" i="1"/>
  <c r="B529" i="1"/>
  <c r="D528" i="1"/>
  <c r="C528" i="1"/>
  <c r="B528" i="1"/>
  <c r="D527" i="1"/>
  <c r="C527" i="1"/>
  <c r="B527" i="1"/>
  <c r="D526" i="1"/>
  <c r="C526" i="1"/>
  <c r="B526" i="1"/>
  <c r="D525" i="1"/>
  <c r="C525" i="1"/>
  <c r="B525" i="1"/>
  <c r="D524" i="1"/>
  <c r="C524" i="1"/>
  <c r="B524" i="1"/>
  <c r="D523" i="1"/>
  <c r="C523" i="1"/>
  <c r="B523" i="1"/>
  <c r="D522" i="1"/>
  <c r="C522" i="1"/>
  <c r="B522" i="1"/>
  <c r="D521" i="1"/>
  <c r="C521" i="1"/>
  <c r="B521" i="1"/>
  <c r="D520" i="1"/>
  <c r="C520" i="1"/>
  <c r="B520" i="1"/>
  <c r="D519" i="1"/>
  <c r="C519" i="1"/>
  <c r="B519" i="1"/>
  <c r="D518" i="1"/>
  <c r="C518" i="1"/>
  <c r="B518" i="1"/>
  <c r="D517" i="1"/>
  <c r="C517" i="1"/>
  <c r="B517" i="1"/>
  <c r="D516" i="1"/>
  <c r="C516" i="1"/>
  <c r="B516" i="1"/>
  <c r="D515" i="1"/>
  <c r="C515" i="1"/>
  <c r="B515" i="1"/>
  <c r="D514" i="1"/>
  <c r="C514" i="1"/>
  <c r="B514" i="1"/>
  <c r="D513" i="1"/>
  <c r="C513" i="1"/>
  <c r="B513" i="1"/>
  <c r="D512" i="1"/>
  <c r="C512" i="1"/>
  <c r="B512" i="1"/>
  <c r="D511" i="1"/>
  <c r="C511" i="1"/>
  <c r="B511" i="1"/>
  <c r="D510" i="1"/>
  <c r="C510" i="1"/>
  <c r="B510" i="1"/>
  <c r="D509" i="1"/>
  <c r="C509" i="1"/>
  <c r="B509" i="1"/>
  <c r="D508" i="1"/>
  <c r="C508" i="1"/>
  <c r="B508" i="1"/>
  <c r="D507" i="1"/>
  <c r="C507" i="1"/>
  <c r="B507" i="1"/>
  <c r="D506" i="1"/>
  <c r="C506" i="1"/>
  <c r="B506" i="1"/>
  <c r="D505" i="1"/>
  <c r="C505" i="1"/>
  <c r="B505" i="1"/>
  <c r="D504" i="1"/>
  <c r="C504" i="1"/>
  <c r="B504" i="1"/>
  <c r="D503" i="1"/>
  <c r="C503" i="1"/>
  <c r="B503" i="1"/>
  <c r="D502" i="1"/>
  <c r="C502" i="1"/>
  <c r="B502" i="1"/>
  <c r="D501" i="1"/>
  <c r="C501" i="1"/>
  <c r="B501" i="1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3" i="1"/>
  <c r="Q4" i="1"/>
  <c r="Q5" i="1"/>
  <c r="Q6" i="1"/>
  <c r="Q7" i="1"/>
  <c r="Q2" i="1"/>
</calcChain>
</file>

<file path=xl/sharedStrings.xml><?xml version="1.0" encoding="utf-8"?>
<sst xmlns="http://schemas.openxmlformats.org/spreadsheetml/2006/main" count="3384" uniqueCount="1142">
  <si>
    <t>Contract Name</t>
  </si>
  <si>
    <t>Last Trade Date (EST)</t>
  </si>
  <si>
    <t>Strike</t>
  </si>
  <si>
    <t>Last Price</t>
  </si>
  <si>
    <t>Bid</t>
  </si>
  <si>
    <t>Ask</t>
  </si>
  <si>
    <t>Change</t>
  </si>
  <si>
    <t>% Change</t>
  </si>
  <si>
    <t>Volume</t>
  </si>
  <si>
    <t>Open Interest</t>
  </si>
  <si>
    <t>Implied Volatility</t>
  </si>
  <si>
    <t>AMZN260123C00125000</t>
  </si>
  <si>
    <t>AMZN260123C00130000</t>
  </si>
  <si>
    <t>AMZN260123C00135000</t>
  </si>
  <si>
    <t>AMZN260123C00140000</t>
  </si>
  <si>
    <t>AMZN260123C00145000</t>
  </si>
  <si>
    <t>AMZN260123C00150000</t>
  </si>
  <si>
    <t>AMZN260123C00155000</t>
  </si>
  <si>
    <t>AMZN260123C00160000</t>
  </si>
  <si>
    <t>AMZN260123C00165000</t>
  </si>
  <si>
    <t>AMZN260123C00170000</t>
  </si>
  <si>
    <t>AMZN260123C00175000</t>
  </si>
  <si>
    <t>AMZN260123C00180000</t>
  </si>
  <si>
    <t>AMZN260123C00185000</t>
  </si>
  <si>
    <t>AMZN260123C00190000</t>
  </si>
  <si>
    <t>AMZN260123C00195000</t>
  </si>
  <si>
    <t>AMZN260123C00200000</t>
  </si>
  <si>
    <t>AMZN260123C00205000</t>
  </si>
  <si>
    <t>AMZN260123C00207500</t>
  </si>
  <si>
    <t>AMZN260123C00210000</t>
  </si>
  <si>
    <t>AMZN260123C00212500</t>
  </si>
  <si>
    <t>AMZN260123C00215000</t>
  </si>
  <si>
    <t>AMZN260123C00217500</t>
  </si>
  <si>
    <t>AMZN260123C00220000</t>
  </si>
  <si>
    <t>AMZN260123C00222500</t>
  </si>
  <si>
    <t>AMZN260123C00225000</t>
  </si>
  <si>
    <t>AMZN260123C00227500</t>
  </si>
  <si>
    <t>AMZN260123C00230000</t>
  </si>
  <si>
    <t>AMZN260123C00232500</t>
  </si>
  <si>
    <t>AMZN260123C00235000</t>
  </si>
  <si>
    <t>AMZN260123C00237500</t>
  </si>
  <si>
    <t>AMZN260123C00240000</t>
  </si>
  <si>
    <t>AMZN260123C00242500</t>
  </si>
  <si>
    <t>AMZN260123C00245000</t>
  </si>
  <si>
    <t>AMZN260123C00247500</t>
  </si>
  <si>
    <t>AMZN260123C00250000</t>
  </si>
  <si>
    <t>AMZN260123C00252500</t>
  </si>
  <si>
    <t>AMZN260123C00255000</t>
  </si>
  <si>
    <t>AMZN260123C00257500</t>
  </si>
  <si>
    <t>AMZN260123C00260000</t>
  </si>
  <si>
    <t>AMZN260123C00262500</t>
  </si>
  <si>
    <t>AMZN260123C00265000</t>
  </si>
  <si>
    <t>AMZN260123C00267500</t>
  </si>
  <si>
    <t>AMZN260123C00270000</t>
  </si>
  <si>
    <t>AMZN260123C00275000</t>
  </si>
  <si>
    <t>AMZN260123C00280000</t>
  </si>
  <si>
    <t>AMZN260123C00285000</t>
  </si>
  <si>
    <t>AMZN260123C00290000</t>
  </si>
  <si>
    <t>AMZN260123C00295000</t>
  </si>
  <si>
    <t>AMZN260123C00300000</t>
  </si>
  <si>
    <t>AMZN260123C00305000</t>
  </si>
  <si>
    <t>Type</t>
  </si>
  <si>
    <t>Calls</t>
  </si>
  <si>
    <t>Data</t>
  </si>
  <si>
    <t>Stock price</t>
  </si>
  <si>
    <t>Puts</t>
  </si>
  <si>
    <t>AMZN260123P00125000</t>
  </si>
  <si>
    <t>AMZN260123P00130000</t>
  </si>
  <si>
    <t>AMZN260123P00135000</t>
  </si>
  <si>
    <t>AMZN260123P00140000</t>
  </si>
  <si>
    <t>AMZN260123P00145000</t>
  </si>
  <si>
    <t>AMZN260123P00150000</t>
  </si>
  <si>
    <t>AMZN260123P00155000</t>
  </si>
  <si>
    <t>AMZN260123P00160000</t>
  </si>
  <si>
    <t>AMZN260123P00165000</t>
  </si>
  <si>
    <t>AMZN260123P00170000</t>
  </si>
  <si>
    <t>AMZN260123P00175000</t>
  </si>
  <si>
    <t>AMZN260123P00180000</t>
  </si>
  <si>
    <t>AMZN260123P00185000</t>
  </si>
  <si>
    <t>AMZN260123P00190000</t>
  </si>
  <si>
    <t>AMZN260123P00195000</t>
  </si>
  <si>
    <t>AMZN260123P00200000</t>
  </si>
  <si>
    <t>AMZN260123P00205000</t>
  </si>
  <si>
    <t>AMZN260123P00207500</t>
  </si>
  <si>
    <t>AMZN260123P00210000</t>
  </si>
  <si>
    <t>AMZN260123P00212500</t>
  </si>
  <si>
    <t>AMZN260123P00215000</t>
  </si>
  <si>
    <t>AMZN260123P00217500</t>
  </si>
  <si>
    <t>AMZN260123P00220000</t>
  </si>
  <si>
    <t>AMZN260123P00222500</t>
  </si>
  <si>
    <t>AMZN260123P00225000</t>
  </si>
  <si>
    <t>AMZN260123P00227500</t>
  </si>
  <si>
    <t>AMZN260123P00230000</t>
  </si>
  <si>
    <t>AMZN260123P00232500</t>
  </si>
  <si>
    <t>AMZN260123P00235000</t>
  </si>
  <si>
    <t>AMZN260123P00237500</t>
  </si>
  <si>
    <t>AMZN260123P00240000</t>
  </si>
  <si>
    <t>AMZN260123P00242500</t>
  </si>
  <si>
    <t>AMZN260123P00245000</t>
  </si>
  <si>
    <t>AMZN260123P00247500</t>
  </si>
  <si>
    <t>AMZN260123P00250000</t>
  </si>
  <si>
    <t>AMZN260123P00252500</t>
  </si>
  <si>
    <t>AMZN260123P00255000</t>
  </si>
  <si>
    <t>AMZN260123P00257500</t>
  </si>
  <si>
    <t>AMZN260123P00260000</t>
  </si>
  <si>
    <t>AMZN260123P00262500</t>
  </si>
  <si>
    <t>AMZN260123P00265000</t>
  </si>
  <si>
    <t>AMZN260123P00267500</t>
  </si>
  <si>
    <t>AMZN260123P00270000</t>
  </si>
  <si>
    <t>AMZN260123P00290000</t>
  </si>
  <si>
    <t>AMZN260123P00340000</t>
  </si>
  <si>
    <t>AMZN260123P00345000</t>
  </si>
  <si>
    <t>AMZN260515P00340000</t>
  </si>
  <si>
    <t>-</t>
  </si>
  <si>
    <t>AMZN260515P00350000</t>
  </si>
  <si>
    <t>AMZN260515P00360000</t>
  </si>
  <si>
    <t>AMZN260515P00370000</t>
  </si>
  <si>
    <t>AMZN260515C00105000</t>
  </si>
  <si>
    <t>AMZN260515C00110000</t>
  </si>
  <si>
    <t>AMZN260515C00115000</t>
  </si>
  <si>
    <t>AMZN260515C00120000</t>
  </si>
  <si>
    <t>AMZN260515C00125000</t>
  </si>
  <si>
    <t>AMZN260515C00130000</t>
  </si>
  <si>
    <t>AMZN260515C00135000</t>
  </si>
  <si>
    <t>AMZN260515C00140000</t>
  </si>
  <si>
    <t>AMZN260515C00145000</t>
  </si>
  <si>
    <t>AMZN260515C00150000</t>
  </si>
  <si>
    <t>AMZN260515C00155000</t>
  </si>
  <si>
    <t>AMZN260515C00160000</t>
  </si>
  <si>
    <t>AMZN260515C00165000</t>
  </si>
  <si>
    <t>AMZN260515C00170000</t>
  </si>
  <si>
    <t>AMZN260515C00175000</t>
  </si>
  <si>
    <t>AMZN260515C00180000</t>
  </si>
  <si>
    <t>AMZN260515C00185000</t>
  </si>
  <si>
    <t>AMZN260515C00190000</t>
  </si>
  <si>
    <t>AMZN260515C00195000</t>
  </si>
  <si>
    <t>AMZN260515C00200000</t>
  </si>
  <si>
    <t>AMZN260515C00205000</t>
  </si>
  <si>
    <t>AMZN260515C00210000</t>
  </si>
  <si>
    <t>AMZN260515C00215000</t>
  </si>
  <si>
    <t>AMZN260515C00220000</t>
  </si>
  <si>
    <t>AMZN260515C00225000</t>
  </si>
  <si>
    <t>AMZN260515C00230000</t>
  </si>
  <si>
    <t>AMZN260515C00235000</t>
  </si>
  <si>
    <t>AMZN260515C00240000</t>
  </si>
  <si>
    <t>AMZN260515C00245000</t>
  </si>
  <si>
    <t>AMZN260515C00250000</t>
  </si>
  <si>
    <t>AMZN260515C00255000</t>
  </si>
  <si>
    <t>AMZN260515C00260000</t>
  </si>
  <si>
    <t>AMZN260515C00265000</t>
  </si>
  <si>
    <t>AMZN260515C00270000</t>
  </si>
  <si>
    <t>AMZN260515C00275000</t>
  </si>
  <si>
    <t>AMZN260515C00280000</t>
  </si>
  <si>
    <t>AMZN260515C00285000</t>
  </si>
  <si>
    <t>AMZN260515C00290000</t>
  </si>
  <si>
    <t>AMZN260515C00295000</t>
  </si>
  <si>
    <t>AMZN260515C00300000</t>
  </si>
  <si>
    <t>AMZN260515C00305000</t>
  </si>
  <si>
    <t>AMZN260515C00310000</t>
  </si>
  <si>
    <t>AMZN260515C00315000</t>
  </si>
  <si>
    <t>AMZN260515C00320000</t>
  </si>
  <si>
    <t>AMZN260515C00325000</t>
  </si>
  <si>
    <t>AMZN260515C00330000</t>
  </si>
  <si>
    <t>AMZN260515C00340000</t>
  </si>
  <si>
    <t>AMZN260515C00350000</t>
  </si>
  <si>
    <t>AMZN260515C00360000</t>
  </si>
  <si>
    <t>AMZN260515C00370000</t>
  </si>
  <si>
    <t>AMZN260515P00105000</t>
  </si>
  <si>
    <t>AMZN260515P00110000</t>
  </si>
  <si>
    <t>AMZN260515P00115000</t>
  </si>
  <si>
    <t>AMZN260515P00120000</t>
  </si>
  <si>
    <t>AMZN260515P00125000</t>
  </si>
  <si>
    <t>AMZN260515P00130000</t>
  </si>
  <si>
    <t>AMZN260515P00135000</t>
  </si>
  <si>
    <t>AMZN260515P00140000</t>
  </si>
  <si>
    <t>AMZN260515P00145000</t>
  </si>
  <si>
    <t>AMZN260515P00150000</t>
  </si>
  <si>
    <t>AMZN260515P00155000</t>
  </si>
  <si>
    <t>AMZN260515P00160000</t>
  </si>
  <si>
    <t>AMZN260515P00165000</t>
  </si>
  <si>
    <t>AMZN260515P00170000</t>
  </si>
  <si>
    <t>AMZN260515P00175000</t>
  </si>
  <si>
    <t>AMZN260515P00180000</t>
  </si>
  <si>
    <t>AMZN260515P00185000</t>
  </si>
  <si>
    <t>AMZN260515P00190000</t>
  </si>
  <si>
    <t>AMZN260515P00195000</t>
  </si>
  <si>
    <t>AMZN260515P00200000</t>
  </si>
  <si>
    <t>AMZN260515P00205000</t>
  </si>
  <si>
    <t>AMZN260515P00210000</t>
  </si>
  <si>
    <t>AMZN260515P00215000</t>
  </si>
  <si>
    <t>AMZN260515P00220000</t>
  </si>
  <si>
    <t>AMZN260515P00225000</t>
  </si>
  <si>
    <t>AMZN260515P00230000</t>
  </si>
  <si>
    <t>AMZN260515P00235000</t>
  </si>
  <si>
    <t>AMZN260515P00240000</t>
  </si>
  <si>
    <t>AMZN260515P00245000</t>
  </si>
  <si>
    <t>AMZN260515P00250000</t>
  </si>
  <si>
    <t>AMZN260515P00255000</t>
  </si>
  <si>
    <t>AMZN260515P00260000</t>
  </si>
  <si>
    <t>AMZN260515P00265000</t>
  </si>
  <si>
    <t>AMZN260515P00270000</t>
  </si>
  <si>
    <t>AMZN260515P00275000</t>
  </si>
  <si>
    <t>AMZN260515P00280000</t>
  </si>
  <si>
    <t>AMZN260515P00285000</t>
  </si>
  <si>
    <t>AMZN260515P00290000</t>
  </si>
  <si>
    <t>AMZN260515P00295000</t>
  </si>
  <si>
    <t>AMZN260515P00300000</t>
  </si>
  <si>
    <t>AMZN260515P00305000</t>
  </si>
  <si>
    <t>AMZN260515P00310000</t>
  </si>
  <si>
    <t>AMZN260515P00315000</t>
  </si>
  <si>
    <t>AMZN260515P00320000</t>
  </si>
  <si>
    <t>AMZN260515P00325000</t>
  </si>
  <si>
    <t>AMZN260515P00330000</t>
  </si>
  <si>
    <t>1/13/2026 10:11 AM</t>
  </si>
  <si>
    <t>1/21/2026 11:48 AM</t>
  </si>
  <si>
    <t>1/21/2026 2:27 PM</t>
  </si>
  <si>
    <t>1/26/2026 1:05 PM</t>
  </si>
  <si>
    <t>1/30/2026 10:16 AM</t>
  </si>
  <si>
    <t>12/30/2025 10:22 AM</t>
  </si>
  <si>
    <t>10/31/2025 12:15 PM</t>
  </si>
  <si>
    <t>1/29/2026 3:54 PM</t>
  </si>
  <si>
    <t>2/17/2026 2:37 PM</t>
  </si>
  <si>
    <t>2/13/2026 10:43 AM</t>
  </si>
  <si>
    <t>2/17/2026 11:16 AM</t>
  </si>
  <si>
    <t>2/17/2026 3:58 PM</t>
  </si>
  <si>
    <t>2/17/2026 2:43 PM</t>
  </si>
  <si>
    <t>2/17/2026 1:25 PM</t>
  </si>
  <si>
    <t>2/17/2026 1:56 PM</t>
  </si>
  <si>
    <t>2/17/2026 9:58 AM</t>
  </si>
  <si>
    <t>2/17/2026 2:24 PM</t>
  </si>
  <si>
    <t>2/17/2026 3:29 PM</t>
  </si>
  <si>
    <t>2/17/2026 3:54 PM</t>
  </si>
  <si>
    <t>2/17/2026 3:52 PM</t>
  </si>
  <si>
    <t>2/17/2026 3:59 PM</t>
  </si>
  <si>
    <t>2/17/2026 3:53 PM</t>
  </si>
  <si>
    <t>2/17/2026 3:44 PM</t>
  </si>
  <si>
    <t>2/17/2026 3:48 PM</t>
  </si>
  <si>
    <t>2/17/2026 3:49 PM</t>
  </si>
  <si>
    <t>2/17/2026 3:35 PM</t>
  </si>
  <si>
    <t>2/17/2026 2:49 PM</t>
  </si>
  <si>
    <t>2/17/2026 3:43 PM</t>
  </si>
  <si>
    <t>2/17/2026 3:23 PM</t>
  </si>
  <si>
    <t>2/17/2026 3:36 PM</t>
  </si>
  <si>
    <t>2/17/2026 3:32 PM</t>
  </si>
  <si>
    <t>2/17/2026 3:26 PM</t>
  </si>
  <si>
    <t>2/17/2026 11:33 AM</t>
  </si>
  <si>
    <t>2/17/2026 3:03 PM</t>
  </si>
  <si>
    <t>2/13/2026 3:57 PM</t>
  </si>
  <si>
    <t>2/17/2026 3:08 PM</t>
  </si>
  <si>
    <t>2/17/2026 2:22 PM</t>
  </si>
  <si>
    <t>2/17/2026 2:06 PM</t>
  </si>
  <si>
    <t>2/17/2026 2:20 PM</t>
  </si>
  <si>
    <t>2/17/2026 11:01 AM</t>
  </si>
  <si>
    <t>2/17/2026 10:13 AM</t>
  </si>
  <si>
    <t>2/17/2026 3:28 PM</t>
  </si>
  <si>
    <t>2/17/2026 10:20 AM</t>
  </si>
  <si>
    <t>2/17/2026 3:47 PM</t>
  </si>
  <si>
    <t>2/17/2026 3:34 PM</t>
  </si>
  <si>
    <t>2/17/2026 3:15 PM</t>
  </si>
  <si>
    <t>2/17/2026 2:35 PM</t>
  </si>
  <si>
    <t>2/17/2026 2:31 PM</t>
  </si>
  <si>
    <t>2/17/2026 3:42 PM</t>
  </si>
  <si>
    <t>2/17/2026 3:14 PM</t>
  </si>
  <si>
    <t>2/17/2026 2:32 PM</t>
  </si>
  <si>
    <t>2/13/2026 11:03 AM</t>
  </si>
  <si>
    <t>2/17/2026 2:17 PM</t>
  </si>
  <si>
    <t>2/13/2026 11:26 AM</t>
  </si>
  <si>
    <t>2/17/2026 3:24 PM</t>
  </si>
  <si>
    <t>2/13/2026 12:24 PM</t>
  </si>
  <si>
    <t>2/24/2026 3:06 PM</t>
  </si>
  <si>
    <t>2/18/2026 12:47 PM</t>
  </si>
  <si>
    <t>2/17/2026 9:45 AM</t>
  </si>
  <si>
    <t>2/23/2026 11:32 AM</t>
  </si>
  <si>
    <t>2/20/2026 11:10 AM</t>
  </si>
  <si>
    <t>2/23/2026 9:46 AM</t>
  </si>
  <si>
    <t>2/19/2026 10:30 AM</t>
  </si>
  <si>
    <t>2/18/2026 1:42 PM</t>
  </si>
  <si>
    <t>2/24/2026 2:46 PM</t>
  </si>
  <si>
    <t>2/24/2026 12:20 PM</t>
  </si>
  <si>
    <t>2/24/2026 3:43 PM</t>
  </si>
  <si>
    <t>2/24/2026 1:18 PM</t>
  </si>
  <si>
    <t>2/24/2026 1:40 PM</t>
  </si>
  <si>
    <t>2/24/2026 3:42 PM</t>
  </si>
  <si>
    <t>2/24/2026 3:54 PM</t>
  </si>
  <si>
    <t>2/24/2026 1:28 PM</t>
  </si>
  <si>
    <t>2/24/2026 3:38 PM</t>
  </si>
  <si>
    <t>2/24/2026 2:52 PM</t>
  </si>
  <si>
    <t>2/24/2026 3:56 PM</t>
  </si>
  <si>
    <t>2/24/2026 3:49 PM</t>
  </si>
  <si>
    <t>2/24/2026 3:59 PM</t>
  </si>
  <si>
    <t>2/24/2026 3:51 PM</t>
  </si>
  <si>
    <t>2/24/2026 3:52 PM</t>
  </si>
  <si>
    <t>2/24/2026 3:48 PM</t>
  </si>
  <si>
    <t>2/24/2026 3:44 PM</t>
  </si>
  <si>
    <t>2/24/2026 3:02 PM</t>
  </si>
  <si>
    <t>2/24/2026 3:21 PM</t>
  </si>
  <si>
    <t>2/24/2026 2:51 PM</t>
  </si>
  <si>
    <t>2/24/2026 3:36 PM</t>
  </si>
  <si>
    <t>2/24/2026 2:55 PM</t>
  </si>
  <si>
    <t>2/24/2026 3:41 PM</t>
  </si>
  <si>
    <t>2/24/2026 1:09 PM</t>
  </si>
  <si>
    <t>2/24/2026 11:50 AM</t>
  </si>
  <si>
    <t>2/24/2026 11:18 AM</t>
  </si>
  <si>
    <t>2/24/2026 2:17 PM</t>
  </si>
  <si>
    <t>2/24/2026 10:45 AM</t>
  </si>
  <si>
    <t>2/24/2026 2:15 PM</t>
  </si>
  <si>
    <t>2/24/2026 2:58 PM</t>
  </si>
  <si>
    <t>2/23/2026 11:26 AM</t>
  </si>
  <si>
    <t>2/23/2026 3:05 PM</t>
  </si>
  <si>
    <t>2/24/2026 10:26 AM</t>
  </si>
  <si>
    <t>2/23/2026 11:36 AM</t>
  </si>
  <si>
    <t>2/23/2026 2:27 PM</t>
  </si>
  <si>
    <t>2/23/2026 3:16 PM</t>
  </si>
  <si>
    <t>2/23/2026 12:14 PM</t>
  </si>
  <si>
    <t>2/24/2026 2:12 PM</t>
  </si>
  <si>
    <t>2/24/2026 3:47 PM</t>
  </si>
  <si>
    <t>2/24/2026 2:26 PM</t>
  </si>
  <si>
    <t>2/24/2026 3:58 PM</t>
  </si>
  <si>
    <t>2/24/2026 2:47 PM</t>
  </si>
  <si>
    <t>2/24/2026 2:34 PM</t>
  </si>
  <si>
    <t>2/24/2026 3:57 PM</t>
  </si>
  <si>
    <t>2/24/2026 3:12 PM</t>
  </si>
  <si>
    <t>2/24/2026 2:03 PM</t>
  </si>
  <si>
    <t>2/24/2026 3:31 PM</t>
  </si>
  <si>
    <t>2/24/2026 1:42 PM</t>
  </si>
  <si>
    <t>2/24/2026 12:10 PM</t>
  </si>
  <si>
    <t>2/24/2026 11:41 AM</t>
  </si>
  <si>
    <t>2/24/2026 3:11 PM</t>
  </si>
  <si>
    <t>2/24/2026 2:00 PM</t>
  </si>
  <si>
    <t>2/24/2026 11:22 AM</t>
  </si>
  <si>
    <t>2/20/2026 10:13 AM</t>
  </si>
  <si>
    <t>2/24/2026 3:34 PM</t>
  </si>
  <si>
    <t>2/23/2026 3:50 PM</t>
  </si>
  <si>
    <t>AMZN260227C00125000</t>
  </si>
  <si>
    <t>2/26/2026 3:50 PM</t>
  </si>
  <si>
    <t>AMZN260227C00135000</t>
  </si>
  <si>
    <t>2/26/2026 2:18 PM</t>
  </si>
  <si>
    <t>AMZN260227C00140000</t>
  </si>
  <si>
    <t>2/26/2026 2:47 PM</t>
  </si>
  <si>
    <t>AMZN260227C00145000</t>
  </si>
  <si>
    <t>2/26/2026 3:47 PM</t>
  </si>
  <si>
    <t>AMZN260227C00150000</t>
  </si>
  <si>
    <t>2/26/2026 3:16 PM</t>
  </si>
  <si>
    <t>AMZN260227C00155000</t>
  </si>
  <si>
    <t>2/26/2026 3:45 PM</t>
  </si>
  <si>
    <t>AMZN260227C00160000</t>
  </si>
  <si>
    <t>2/26/2026 3:03 PM</t>
  </si>
  <si>
    <t>AMZN260227C00165000</t>
  </si>
  <si>
    <t>2/26/2026 2:59 PM</t>
  </si>
  <si>
    <t>AMZN260227C00170000</t>
  </si>
  <si>
    <t>2/25/2026 3:24 PM</t>
  </si>
  <si>
    <t>AMZN260227C00175000</t>
  </si>
  <si>
    <t>2/26/2026 2:38 PM</t>
  </si>
  <si>
    <t>AMZN260227C00177500</t>
  </si>
  <si>
    <t>2/24/2026 11:03 AM</t>
  </si>
  <si>
    <t>AMZN260227C00180000</t>
  </si>
  <si>
    <t>2/26/2026 3:57 PM</t>
  </si>
  <si>
    <t>AMZN260227C00182500</t>
  </si>
  <si>
    <t>2/24/2026 11:55 AM</t>
  </si>
  <si>
    <t>AMZN260227C00185000</t>
  </si>
  <si>
    <t>2/26/2026 3:36 PM</t>
  </si>
  <si>
    <t>AMZN260227C00187500</t>
  </si>
  <si>
    <t>2/24/2026 1:38 PM</t>
  </si>
  <si>
    <t>AMZN260227C00190000</t>
  </si>
  <si>
    <t>2/26/2026 3:10 PM</t>
  </si>
  <si>
    <t>AMZN260227C00192500</t>
  </si>
  <si>
    <t>2/26/2026 12:38 PM</t>
  </si>
  <si>
    <t>AMZN260227C00195000</t>
  </si>
  <si>
    <t>AMZN260227C00197500</t>
  </si>
  <si>
    <t>2/26/2026 3:44 PM</t>
  </si>
  <si>
    <t>AMZN260227C00200000</t>
  </si>
  <si>
    <t>AMZN260227C00202500</t>
  </si>
  <si>
    <t>2/26/2026 3:58 PM</t>
  </si>
  <si>
    <t>AMZN260227C00205000</t>
  </si>
  <si>
    <t>2/26/2026 3:56 PM</t>
  </si>
  <si>
    <t>AMZN260227C00207500</t>
  </si>
  <si>
    <t>2/26/2026 3:59 PM</t>
  </si>
  <si>
    <t>AMZN260227C00210000</t>
  </si>
  <si>
    <t>AMZN260227C00212500</t>
  </si>
  <si>
    <t>AMZN260227C00215000</t>
  </si>
  <si>
    <t>AMZN260227C00217500</t>
  </si>
  <si>
    <t>AMZN260227C00220000</t>
  </si>
  <si>
    <t>AMZN260227C00222500</t>
  </si>
  <si>
    <t>2/26/2026 3:53 PM</t>
  </si>
  <si>
    <t>AMZN260227C00225000</t>
  </si>
  <si>
    <t>AMZN260227C00227500</t>
  </si>
  <si>
    <t>AMZN260227C00230000</t>
  </si>
  <si>
    <t>2/26/2026 3:49 PM</t>
  </si>
  <si>
    <t>AMZN260227C00232500</t>
  </si>
  <si>
    <t>2/25/2026 3:43 PM</t>
  </si>
  <si>
    <t>AMZN260227C00235000</t>
  </si>
  <si>
    <t>2/26/2026 3:13 PM</t>
  </si>
  <si>
    <t>AMZN260227C00240000</t>
  </si>
  <si>
    <t>2/26/2026 12:46 PM</t>
  </si>
  <si>
    <t>AMZN260227C00245000</t>
  </si>
  <si>
    <t>2/26/2026 1:55 PM</t>
  </si>
  <si>
    <t>AMZN260227C00250000</t>
  </si>
  <si>
    <t>2/26/2026 1:48 PM</t>
  </si>
  <si>
    <t>AMZN260227C00255000</t>
  </si>
  <si>
    <t>2/26/2026 3:22 PM</t>
  </si>
  <si>
    <t>AMZN260227C00260000</t>
  </si>
  <si>
    <t>2/26/2026 2:45 PM</t>
  </si>
  <si>
    <t>AMZN260227C00265000</t>
  </si>
  <si>
    <t>2/25/2026 2:57 PM</t>
  </si>
  <si>
    <t>AMZN260227C00270000</t>
  </si>
  <si>
    <t>2/26/2026 12:06 PM</t>
  </si>
  <si>
    <t>AMZN260227C00275000</t>
  </si>
  <si>
    <t>2/26/2026 2:13 PM</t>
  </si>
  <si>
    <t>AMZN260227C00280000</t>
  </si>
  <si>
    <t>2/26/2026 3:39 PM</t>
  </si>
  <si>
    <t>AMZN260227C00285000</t>
  </si>
  <si>
    <t>2/23/2026 1:20 PM</t>
  </si>
  <si>
    <t>AMZN260227C00290000</t>
  </si>
  <si>
    <t>AMZN260227C00295000</t>
  </si>
  <si>
    <t>2/23/2026 9:57 AM</t>
  </si>
  <si>
    <t>AMZN260227C00300000</t>
  </si>
  <si>
    <t>2/23/2026 10:00 AM</t>
  </si>
  <si>
    <t>AMZN260227C00305000</t>
  </si>
  <si>
    <t>AMZN260227C00310000</t>
  </si>
  <si>
    <t>2/25/2026 2:55 PM</t>
  </si>
  <si>
    <t>AMZN260227C00315000</t>
  </si>
  <si>
    <t>2/25/2026 3:50 PM</t>
  </si>
  <si>
    <t>AMZN260227C00320000</t>
  </si>
  <si>
    <t>AMZN260227C00325000</t>
  </si>
  <si>
    <t>2/23/2026 9:36 AM</t>
  </si>
  <si>
    <t>AMZN260227C00330000</t>
  </si>
  <si>
    <t>2/25/2026 3:39 PM</t>
  </si>
  <si>
    <t>AMZN260227C00335000</t>
  </si>
  <si>
    <t>2/24/2026 9:30 AM</t>
  </si>
  <si>
    <t>AMZN260227C00340000</t>
  </si>
  <si>
    <t>2/25/2026 3:53 PM</t>
  </si>
  <si>
    <t>AMZN260227C00345000</t>
  </si>
  <si>
    <t>AMZN260227P00125000</t>
  </si>
  <si>
    <t>2/23/2026 3:49 PM</t>
  </si>
  <si>
    <t>AMZN260227P00130000</t>
  </si>
  <si>
    <t>AMZN260227P00135000</t>
  </si>
  <si>
    <t>AMZN260227P00140000</t>
  </si>
  <si>
    <t>2/26/2026 9:50 AM</t>
  </si>
  <si>
    <t>AMZN260227P00145000</t>
  </si>
  <si>
    <t>2/25/2026 11:12 AM</t>
  </si>
  <si>
    <t>AMZN260227P00150000</t>
  </si>
  <si>
    <t>2/25/2026 3:25 PM</t>
  </si>
  <si>
    <t>AMZN260227P00155000</t>
  </si>
  <si>
    <t>2/25/2026 9:39 AM</t>
  </si>
  <si>
    <t>AMZN260227P00160000</t>
  </si>
  <si>
    <t>2/25/2026 3:05 PM</t>
  </si>
  <si>
    <t>AMZN260227P00165000</t>
  </si>
  <si>
    <t>2/26/2026 3:51 PM</t>
  </si>
  <si>
    <t>AMZN260227P00170000</t>
  </si>
  <si>
    <t>2/26/2026 3:52 PM</t>
  </si>
  <si>
    <t>AMZN260227P00172500</t>
  </si>
  <si>
    <t>AMZN260227P00175000</t>
  </si>
  <si>
    <t>2/26/2026 3:23 PM</t>
  </si>
  <si>
    <t>AMZN260227P00177500</t>
  </si>
  <si>
    <t>2/26/2026 11:30 AM</t>
  </si>
  <si>
    <t>AMZN260227P00180000</t>
  </si>
  <si>
    <t>AMZN260227P00182500</t>
  </si>
  <si>
    <t>2/26/2026 3:07 PM</t>
  </si>
  <si>
    <t>AMZN260227P00185000</t>
  </si>
  <si>
    <t>AMZN260227P00187500</t>
  </si>
  <si>
    <t>2/26/2026 3:54 PM</t>
  </si>
  <si>
    <t>AMZN260227P00190000</t>
  </si>
  <si>
    <t>AMZN260227P00192500</t>
  </si>
  <si>
    <t>AMZN260227P00195000</t>
  </si>
  <si>
    <t>AMZN260227P00197500</t>
  </si>
  <si>
    <t>AMZN260227P00200000</t>
  </si>
  <si>
    <t>AMZN260227P00202500</t>
  </si>
  <si>
    <t>AMZN260227P00205000</t>
  </si>
  <si>
    <t>AMZN260227P00207500</t>
  </si>
  <si>
    <t>AMZN260227P00210000</t>
  </si>
  <si>
    <t>AMZN260227P00212500</t>
  </si>
  <si>
    <t>AMZN260227P00215000</t>
  </si>
  <si>
    <t>AMZN260227P00217500</t>
  </si>
  <si>
    <t>AMZN260227P00220000</t>
  </si>
  <si>
    <t>AMZN260227P00222500</t>
  </si>
  <si>
    <t>2/26/2026 1:00 PM</t>
  </si>
  <si>
    <t>AMZN260227P00225000</t>
  </si>
  <si>
    <t>2/26/2026 12:23 PM</t>
  </si>
  <si>
    <t>AMZN260227P00227500</t>
  </si>
  <si>
    <t>2/26/2026 12:09 PM</t>
  </si>
  <si>
    <t>AMZN260227P00230000</t>
  </si>
  <si>
    <t>AMZN260227P00235000</t>
  </si>
  <si>
    <t>2/26/2026 3:28 PM</t>
  </si>
  <si>
    <t>AMZN260227P00240000</t>
  </si>
  <si>
    <t>AMZN260227P00245000</t>
  </si>
  <si>
    <t>AMZN260227P00250000</t>
  </si>
  <si>
    <t>AMZN260227P00255000</t>
  </si>
  <si>
    <t>AMZN260227P00260000</t>
  </si>
  <si>
    <t>2/19/2026 3:17 PM</t>
  </si>
  <si>
    <t>AMZN260227P00265000</t>
  </si>
  <si>
    <t>AMZN260227P00270000</t>
  </si>
  <si>
    <t>2/18/2026 3:23 PM</t>
  </si>
  <si>
    <t>AMZN260227P00275000</t>
  </si>
  <si>
    <t>AMZN260227P00280000</t>
  </si>
  <si>
    <t>AMZN260227P00290000</t>
  </si>
  <si>
    <t>AMZN260227P00310000</t>
  </si>
  <si>
    <t>1/22/2026 10:53 AM</t>
  </si>
  <si>
    <t>AMZN260227P00315000</t>
  </si>
  <si>
    <t>AMZN260306C00125000</t>
  </si>
  <si>
    <t>AMZN260306C00130000</t>
  </si>
  <si>
    <t>AMZN260306C00135000</t>
  </si>
  <si>
    <t>AMZN260306C00140000</t>
  </si>
  <si>
    <t>AMZN260306C00145000</t>
  </si>
  <si>
    <t>AMZN260306C00150000</t>
  </si>
  <si>
    <t>AMZN260306C00155000</t>
  </si>
  <si>
    <t>AMZN260306C00160000</t>
  </si>
  <si>
    <t>AMZN260306C00165000</t>
  </si>
  <si>
    <t>AMZN260306C00170000</t>
  </si>
  <si>
    <t>AMZN260306C00172500</t>
  </si>
  <si>
    <t>AMZN260306C00175000</t>
  </si>
  <si>
    <t>AMZN260306C00177500</t>
  </si>
  <si>
    <t>AMZN260306C00180000</t>
  </si>
  <si>
    <t>AMZN260306C00182500</t>
  </si>
  <si>
    <t>AMZN260306C00185000</t>
  </si>
  <si>
    <t>AMZN260306C00187500</t>
  </si>
  <si>
    <t>AMZN260306C00190000</t>
  </si>
  <si>
    <t>AMZN260306C00192500</t>
  </si>
  <si>
    <t>AMZN260306C00195000</t>
  </si>
  <si>
    <t>AMZN260306C00197500</t>
  </si>
  <si>
    <t>AMZN260306C00200000</t>
  </si>
  <si>
    <t>AMZN260306C00202500</t>
  </si>
  <si>
    <t>AMZN260306C00205000</t>
  </si>
  <si>
    <t>AMZN260306C00207500</t>
  </si>
  <si>
    <t>AMZN260306C00210000</t>
  </si>
  <si>
    <t>AMZN260306C00212500</t>
  </si>
  <si>
    <t>AMZN260306C00215000</t>
  </si>
  <si>
    <t>AMZN260306C00217500</t>
  </si>
  <si>
    <t>AMZN260306C00220000</t>
  </si>
  <si>
    <t>AMZN260306C00222500</t>
  </si>
  <si>
    <t>AMZN260306C00225000</t>
  </si>
  <si>
    <t>AMZN260306C00227500</t>
  </si>
  <si>
    <t>AMZN260306C00230000</t>
  </si>
  <si>
    <t>AMZN260306C00232500</t>
  </si>
  <si>
    <t>AMZN260306C00235000</t>
  </si>
  <si>
    <t>AMZN260306C00240000</t>
  </si>
  <si>
    <t>AMZN260306C00245000</t>
  </si>
  <si>
    <t>AMZN260306C00250000</t>
  </si>
  <si>
    <t>AMZN260306C00255000</t>
  </si>
  <si>
    <t>AMZN260306C00260000</t>
  </si>
  <si>
    <t>AMZN260306C00265000</t>
  </si>
  <si>
    <t>AMZN260306C00270000</t>
  </si>
  <si>
    <t>AMZN260306C00275000</t>
  </si>
  <si>
    <t>AMZN260306C00280000</t>
  </si>
  <si>
    <t>AMZN260306C00285000</t>
  </si>
  <si>
    <t>AMZN260306C00290000</t>
  </si>
  <si>
    <t>AMZN260306C00295000</t>
  </si>
  <si>
    <t>AMZN260306C00300000</t>
  </si>
  <si>
    <t>AMZN260306C00305000</t>
  </si>
  <si>
    <t>AMZN260306C00310000</t>
  </si>
  <si>
    <t>AMZN260306C00315000</t>
  </si>
  <si>
    <t>AMZN260306C00320000</t>
  </si>
  <si>
    <t>AMZN260306C00325000</t>
  </si>
  <si>
    <t>AMZN260306C00330000</t>
  </si>
  <si>
    <t>AMZN260306C00335000</t>
  </si>
  <si>
    <t>AMZN260306C00340000</t>
  </si>
  <si>
    <t>AMZN260306C00345000</t>
  </si>
  <si>
    <t>AMZN260306P00125000</t>
  </si>
  <si>
    <t>AMZN260306P00130000</t>
  </si>
  <si>
    <t>AMZN260306P00135000</t>
  </si>
  <si>
    <t>2/13/2026 3:13 PM</t>
  </si>
  <si>
    <t>AMZN260306P00140000</t>
  </si>
  <si>
    <t>AMZN260306P00145000</t>
  </si>
  <si>
    <t>AMZN260306P00150000</t>
  </si>
  <si>
    <t>AMZN260306P00155000</t>
  </si>
  <si>
    <t>AMZN260306P00160000</t>
  </si>
  <si>
    <t>AMZN260306P00165000</t>
  </si>
  <si>
    <t>AMZN260306P00170000</t>
  </si>
  <si>
    <t>AMZN260306P00172500</t>
  </si>
  <si>
    <t>AMZN260306P00175000</t>
  </si>
  <si>
    <t>AMZN260306P00177500</t>
  </si>
  <si>
    <t>AMZN260306P00180000</t>
  </si>
  <si>
    <t>AMZN260306P00182500</t>
  </si>
  <si>
    <t>AMZN260306P00185000</t>
  </si>
  <si>
    <t>AMZN260306P00187500</t>
  </si>
  <si>
    <t>AMZN260306P00190000</t>
  </si>
  <si>
    <t>AMZN260306P00192500</t>
  </si>
  <si>
    <t>AMZN260306P00195000</t>
  </si>
  <si>
    <t>AMZN260306P00197500</t>
  </si>
  <si>
    <t>AMZN260306P00200000</t>
  </si>
  <si>
    <t>AMZN260306P00202500</t>
  </si>
  <si>
    <t>AMZN260306P00205000</t>
  </si>
  <si>
    <t>AMZN260306P00207500</t>
  </si>
  <si>
    <t>AMZN260306P00210000</t>
  </si>
  <si>
    <t>AMZN260306P00212500</t>
  </si>
  <si>
    <t>AMZN260306P00215000</t>
  </si>
  <si>
    <t>AMZN260306P00217500</t>
  </si>
  <si>
    <t>AMZN260306P00220000</t>
  </si>
  <si>
    <t>AMZN260306P00222500</t>
  </si>
  <si>
    <t>AMZN260306P00225000</t>
  </si>
  <si>
    <t>AMZN260306P00227500</t>
  </si>
  <si>
    <t>AMZN260306P00230000</t>
  </si>
  <si>
    <t>AMZN260306P00235000</t>
  </si>
  <si>
    <t>AMZN260306P00240000</t>
  </si>
  <si>
    <t>AMZN260306P00245000</t>
  </si>
  <si>
    <t>2/27/2026 3:30 PM</t>
  </si>
  <si>
    <t>AMZN260306P00250000</t>
  </si>
  <si>
    <t>2/20/2026 12:11 PM</t>
  </si>
  <si>
    <t>AMZN260306P00255000</t>
  </si>
  <si>
    <t>2/17/2026 9:31 AM</t>
  </si>
  <si>
    <t>AMZN260306P00260000</t>
  </si>
  <si>
    <t>AMZN260306P00265000</t>
  </si>
  <si>
    <t>AMZN260306P00270000</t>
  </si>
  <si>
    <t>AMZN260306P00275000</t>
  </si>
  <si>
    <t>AMZN260306P00280000</t>
  </si>
  <si>
    <t>AMZN260306P00295000</t>
  </si>
  <si>
    <t>AMZN260306P00310000</t>
  </si>
  <si>
    <t>AMZN260318C00150000</t>
  </si>
  <si>
    <t>AMZN260318C00170000</t>
  </si>
  <si>
    <t>3/13/2026 1:43 PM</t>
  </si>
  <si>
    <t>AMZN260318C00175000</t>
  </si>
  <si>
    <t>AMZN260318C00180000</t>
  </si>
  <si>
    <t>3/17/2026 10:28 AM</t>
  </si>
  <si>
    <t>AMZN260318C00190000</t>
  </si>
  <si>
    <t>3/17/2026 10:44 AM</t>
  </si>
  <si>
    <t>AMZN260318C00192500</t>
  </si>
  <si>
    <t>3/17/2026 10:31 AM</t>
  </si>
  <si>
    <t>AMZN260318C00195000</t>
  </si>
  <si>
    <t>AMZN260318C00197500</t>
  </si>
  <si>
    <t>3/17/2026 9:39 AM</t>
  </si>
  <si>
    <t>AMZN260318C00200000</t>
  </si>
  <si>
    <t>3/17/2026 10:43 AM</t>
  </si>
  <si>
    <t>AMZN260318C00202500</t>
  </si>
  <si>
    <t>3/17/2026 10:06 AM</t>
  </si>
  <si>
    <t>AMZN260318C00205000</t>
  </si>
  <si>
    <t>3/17/2026 11:01 AM</t>
  </si>
  <si>
    <t>AMZN260318C00207500</t>
  </si>
  <si>
    <t>3/17/2026 11:02 AM</t>
  </si>
  <si>
    <t>AMZN260318C00210000</t>
  </si>
  <si>
    <t>3/17/2026 11:04 AM</t>
  </si>
  <si>
    <t>AMZN260318C00212500</t>
  </si>
  <si>
    <t>3/17/2026 11:08 AM</t>
  </si>
  <si>
    <t>AMZN260318C00215000</t>
  </si>
  <si>
    <t>3/17/2026 11:09 AM</t>
  </si>
  <si>
    <t>AMZN260318C00217500</t>
  </si>
  <si>
    <t>AMZN260318C00220000</t>
  </si>
  <si>
    <t>AMZN260318C00222500</t>
  </si>
  <si>
    <t>AMZN260318C00225000</t>
  </si>
  <si>
    <t>3/17/2026 10:56 AM</t>
  </si>
  <si>
    <t>AMZN260318C00227500</t>
  </si>
  <si>
    <t>AMZN260318C00230000</t>
  </si>
  <si>
    <t>3/17/2026 10:49 AM</t>
  </si>
  <si>
    <t>AMZN260318C00232500</t>
  </si>
  <si>
    <t>3/17/2026 10:11 AM</t>
  </si>
  <si>
    <t>AMZN260318C00235000</t>
  </si>
  <si>
    <t>3/17/2026 9:30 AM</t>
  </si>
  <si>
    <t>AMZN260318C00240000</t>
  </si>
  <si>
    <t>3/16/2026 2:36 PM</t>
  </si>
  <si>
    <t>AMZN260318C00245000</t>
  </si>
  <si>
    <t>AMZN260318C00250000</t>
  </si>
  <si>
    <t>3/17/2026 10:23 AM</t>
  </si>
  <si>
    <t>AMZN260318C00260000</t>
  </si>
  <si>
    <t>3/17/2026 11:05 AM</t>
  </si>
  <si>
    <t>AMZN260318C00265000</t>
  </si>
  <si>
    <t>AMZN260318C00270000</t>
  </si>
  <si>
    <t>AMZN260318C00275000</t>
  </si>
  <si>
    <t>3/17/2026 10:27 AM</t>
  </si>
  <si>
    <t>AMZN260318C00280000</t>
  </si>
  <si>
    <t>3/17/2026 10:33 AM</t>
  </si>
  <si>
    <t>AMZN260318C00285000</t>
  </si>
  <si>
    <t>3/17/2026 10:04 AM</t>
  </si>
  <si>
    <t>AMZN260318P00145000</t>
  </si>
  <si>
    <t>3/17/2026 10:12 AM</t>
  </si>
  <si>
    <t>AMZN260318P00150000</t>
  </si>
  <si>
    <t>AMZN260318P00155000</t>
  </si>
  <si>
    <t>3/16/2026 3:36 PM</t>
  </si>
  <si>
    <t>AMZN260318P00160000</t>
  </si>
  <si>
    <t>3/16/2026 9:45 AM</t>
  </si>
  <si>
    <t>AMZN260318P00165000</t>
  </si>
  <si>
    <t>AMZN260318P00167500</t>
  </si>
  <si>
    <t>AMZN260318P00170000</t>
  </si>
  <si>
    <t>AMZN260318P00172500</t>
  </si>
  <si>
    <t>3/16/2026 10:08 AM</t>
  </si>
  <si>
    <t>AMZN260318P00175000</t>
  </si>
  <si>
    <t>3/16/2026 1:41 PM</t>
  </si>
  <si>
    <t>AMZN260318P00177500</t>
  </si>
  <si>
    <t>3/17/2026 10:07 AM</t>
  </si>
  <si>
    <t>AMZN260318P00180000</t>
  </si>
  <si>
    <t>3/16/2026 3:50 PM</t>
  </si>
  <si>
    <t>AMZN260318P00182500</t>
  </si>
  <si>
    <t>3/17/2026 10:30 AM</t>
  </si>
  <si>
    <t>AMZN260318P00185000</t>
  </si>
  <si>
    <t>AMZN260318P00187500</t>
  </si>
  <si>
    <t>AMZN260318P00190000</t>
  </si>
  <si>
    <t>3/17/2026 10:36 AM</t>
  </si>
  <si>
    <t>AMZN260318P00192500</t>
  </si>
  <si>
    <t>3/17/2026 10:50 AM</t>
  </si>
  <si>
    <t>AMZN260318P00195000</t>
  </si>
  <si>
    <t>3/17/2026 10:57 AM</t>
  </si>
  <si>
    <t>AMZN260318P00197500</t>
  </si>
  <si>
    <t>3/17/2026 10:40 AM</t>
  </si>
  <si>
    <t>AMZN260318P00200000</t>
  </si>
  <si>
    <t>3/17/2026 11:07 AM</t>
  </si>
  <si>
    <t>AMZN260318P00202500</t>
  </si>
  <si>
    <t>AMZN260318P00205000</t>
  </si>
  <si>
    <t>AMZN260318P00207500</t>
  </si>
  <si>
    <t>AMZN260318P00210000</t>
  </si>
  <si>
    <t>AMZN260318P00212500</t>
  </si>
  <si>
    <t>AMZN260318P00215000</t>
  </si>
  <si>
    <t>AMZN260318P00217500</t>
  </si>
  <si>
    <t>AMZN260318P00220000</t>
  </si>
  <si>
    <t>AMZN260318P00222500</t>
  </si>
  <si>
    <t>3/17/2026 10:08 AM</t>
  </si>
  <si>
    <t>AMZN260318P00225000</t>
  </si>
  <si>
    <t>AMZN260318P00227500</t>
  </si>
  <si>
    <t>3/13/2026 11:32 AM</t>
  </si>
  <si>
    <t>AMZN260318P00230000</t>
  </si>
  <si>
    <t>AMZN260318P00235000</t>
  </si>
  <si>
    <t>AMZN260318P00245000</t>
  </si>
  <si>
    <t>AMZN260318P00260000</t>
  </si>
  <si>
    <t>AMZN260320C00085000</t>
  </si>
  <si>
    <t>AMZN260320C00090000</t>
  </si>
  <si>
    <t>AMZN260320C00095000</t>
  </si>
  <si>
    <t>AMZN260320C00100000</t>
  </si>
  <si>
    <t>AMZN260320C00105000</t>
  </si>
  <si>
    <t>AMZN260320C00110000</t>
  </si>
  <si>
    <t>AMZN260320C00115000</t>
  </si>
  <si>
    <t>AMZN260320C00120000</t>
  </si>
  <si>
    <t>AMZN260320C00125000</t>
  </si>
  <si>
    <t>AMZN260320C00130000</t>
  </si>
  <si>
    <t>AMZN260320C00135000</t>
  </si>
  <si>
    <t>AMZN260320C00140000</t>
  </si>
  <si>
    <t>AMZN260320C00145000</t>
  </si>
  <si>
    <t>AMZN260320C00150000</t>
  </si>
  <si>
    <t>AMZN260320C00155000</t>
  </si>
  <si>
    <t>AMZN260320C00160000</t>
  </si>
  <si>
    <t>AMZN260320C00165000</t>
  </si>
  <si>
    <t>AMZN260320C00170000</t>
  </si>
  <si>
    <t>AMZN260320C00175000</t>
  </si>
  <si>
    <t>AMZN260320C00180000</t>
  </si>
  <si>
    <t>AMZN260320C00185000</t>
  </si>
  <si>
    <t>AMZN260320C00187500</t>
  </si>
  <si>
    <t>AMZN260320C00190000</t>
  </si>
  <si>
    <t>AMZN260320C00192500</t>
  </si>
  <si>
    <t>AMZN260320C00195000</t>
  </si>
  <si>
    <t>AMZN260320C00197500</t>
  </si>
  <si>
    <t>AMZN260320C00200000</t>
  </si>
  <si>
    <t>AMZN260320C00202500</t>
  </si>
  <si>
    <t>AMZN260320C00205000</t>
  </si>
  <si>
    <t>AMZN260320C00207500</t>
  </si>
  <si>
    <t>AMZN260320C00210000</t>
  </si>
  <si>
    <t>AMZN260320C00212500</t>
  </si>
  <si>
    <t>AMZN260320C00215000</t>
  </si>
  <si>
    <t>AMZN260320C00217500</t>
  </si>
  <si>
    <t>AMZN260320C00220000</t>
  </si>
  <si>
    <t>AMZN260320C00222500</t>
  </si>
  <si>
    <t>AMZN260320C00225000</t>
  </si>
  <si>
    <t>AMZN260320C00227500</t>
  </si>
  <si>
    <t>AMZN260320C00230000</t>
  </si>
  <si>
    <t>AMZN260320C00232500</t>
  </si>
  <si>
    <t>AMZN260320C00235000</t>
  </si>
  <si>
    <t>AMZN260320C00237500</t>
  </si>
  <si>
    <t>AMZN260320C00240000</t>
  </si>
  <si>
    <t>AMZN260320C00245000</t>
  </si>
  <si>
    <t>AMZN260320C00250000</t>
  </si>
  <si>
    <t>AMZN260320C00255000</t>
  </si>
  <si>
    <t>AMZN260320C00260000</t>
  </si>
  <si>
    <t>AMZN260320C00265000</t>
  </si>
  <si>
    <t>AMZN260320C00270000</t>
  </si>
  <si>
    <t>AMZN260320C00275000</t>
  </si>
  <si>
    <t>AMZN260320C00280000</t>
  </si>
  <si>
    <t>AMZN260320C00285000</t>
  </si>
  <si>
    <t>AMZN260320C00290000</t>
  </si>
  <si>
    <t>AMZN260320C00295000</t>
  </si>
  <si>
    <t>AMZN260320C00300000</t>
  </si>
  <si>
    <t>AMZN260320C00305000</t>
  </si>
  <si>
    <t>AMZN260320C00310000</t>
  </si>
  <si>
    <t>AMZN260320C00315000</t>
  </si>
  <si>
    <t>AMZN260320C00320000</t>
  </si>
  <si>
    <t>AMZN260320C00325000</t>
  </si>
  <si>
    <t>AMZN260320C00330000</t>
  </si>
  <si>
    <t>AMZN260320C00335000</t>
  </si>
  <si>
    <t>AMZN260320C00340000</t>
  </si>
  <si>
    <t>AMZN260320C00345000</t>
  </si>
  <si>
    <t>AMZN260320C00350000</t>
  </si>
  <si>
    <t>AMZN260320C00355000</t>
  </si>
  <si>
    <t>AMZN260320C00360000</t>
  </si>
  <si>
    <t>AMZN260320C00370000</t>
  </si>
  <si>
    <t>AMZN260320P00085000</t>
  </si>
  <si>
    <t>AMZN260320P00090000</t>
  </si>
  <si>
    <t>AMZN260320P00095000</t>
  </si>
  <si>
    <t>AMZN260320P00100000</t>
  </si>
  <si>
    <t>AMZN260320P00105000</t>
  </si>
  <si>
    <t>AMZN260320P00110000</t>
  </si>
  <si>
    <t>AMZN260320P00115000</t>
  </si>
  <si>
    <t>AMZN260320P00120000</t>
  </si>
  <si>
    <t>AMZN260320P00125000</t>
  </si>
  <si>
    <t>AMZN260320P00130000</t>
  </si>
  <si>
    <t>AMZN260320P00135000</t>
  </si>
  <si>
    <t>AMZN260320P00140000</t>
  </si>
  <si>
    <t>AMZN260320P00145000</t>
  </si>
  <si>
    <t>AMZN260320P00150000</t>
  </si>
  <si>
    <t>AMZN260320P00155000</t>
  </si>
  <si>
    <t>AMZN260320P00160000</t>
  </si>
  <si>
    <t>AMZN260320P00165000</t>
  </si>
  <si>
    <t>AMZN260320P00170000</t>
  </si>
  <si>
    <t>AMZN260320P00175000</t>
  </si>
  <si>
    <t>AMZN260320P00180000</t>
  </si>
  <si>
    <t>AMZN260320P00185000</t>
  </si>
  <si>
    <t>AMZN260320P00187500</t>
  </si>
  <si>
    <t>AMZN260320P00190000</t>
  </si>
  <si>
    <t>AMZN260320P00192500</t>
  </si>
  <si>
    <t>AMZN260320P00195000</t>
  </si>
  <si>
    <t>AMZN260320P00197500</t>
  </si>
  <si>
    <t>AMZN260320P00200000</t>
  </si>
  <si>
    <t>AMZN260320P00202500</t>
  </si>
  <si>
    <t>AMZN260320P00205000</t>
  </si>
  <si>
    <t>AMZN260320P00207500</t>
  </si>
  <si>
    <t>AMZN260320P00210000</t>
  </si>
  <si>
    <t>AMZN260320P00212500</t>
  </si>
  <si>
    <t>AMZN260320P00215000</t>
  </si>
  <si>
    <t>AMZN260320P00217500</t>
  </si>
  <si>
    <t>AMZN260320P00220000</t>
  </si>
  <si>
    <t>AMZN260320P00222500</t>
  </si>
  <si>
    <t>AMZN260320P00225000</t>
  </si>
  <si>
    <t>AMZN260320P00227500</t>
  </si>
  <si>
    <t>AMZN260320P00230000</t>
  </si>
  <si>
    <t>AMZN260320P00232500</t>
  </si>
  <si>
    <t>AMZN260320P00235000</t>
  </si>
  <si>
    <t>AMZN260320P00240000</t>
  </si>
  <si>
    <t>AMZN260320P00245000</t>
  </si>
  <si>
    <t>AMZN260320P00250000</t>
  </si>
  <si>
    <t>AMZN260320P00255000</t>
  </si>
  <si>
    <t>AMZN260320P00260000</t>
  </si>
  <si>
    <t>AMZN260320P00265000</t>
  </si>
  <si>
    <t>AMZN260320P00270000</t>
  </si>
  <si>
    <t>AMZN260320P00275000</t>
  </si>
  <si>
    <t>AMZN260320P00280000</t>
  </si>
  <si>
    <t>AMZN260320P00285000</t>
  </si>
  <si>
    <t>AMZN260320P00290000</t>
  </si>
  <si>
    <t>AMZN260320P00295000</t>
  </si>
  <si>
    <t>AMZN260320P00300000</t>
  </si>
  <si>
    <t>AMZN260320P00305000</t>
  </si>
  <si>
    <t>AMZN260320P00310000</t>
  </si>
  <si>
    <t>AMZN260320P00315000</t>
  </si>
  <si>
    <t>AMZN260320P00320000</t>
  </si>
  <si>
    <t>AMZN260320P00325000</t>
  </si>
  <si>
    <t>AMZN260320P00330000</t>
  </si>
  <si>
    <t>AMZN260320P00335000</t>
  </si>
  <si>
    <t>AMZN260320P00340000</t>
  </si>
  <si>
    <t>AMZN260320P00345000</t>
  </si>
  <si>
    <t>AMZN260320P00350000</t>
  </si>
  <si>
    <t>AMZN260320P00355000</t>
  </si>
  <si>
    <t>AMZN260320P00360000</t>
  </si>
  <si>
    <t>AMZN260320P00370000</t>
  </si>
  <si>
    <t>AMZN260327C00125000</t>
  </si>
  <si>
    <t>3/25/2026 3:52 PM</t>
  </si>
  <si>
    <t>AMZN260327C00130000</t>
  </si>
  <si>
    <t>3/25/2026 1:01 PM</t>
  </si>
  <si>
    <t>AMZN260327C00135000</t>
  </si>
  <si>
    <t>3/25/2026 3:53 PM</t>
  </si>
  <si>
    <t>AMZN260327C00140000</t>
  </si>
  <si>
    <t>3/25/2026 1:56 PM</t>
  </si>
  <si>
    <t>AMZN260327C00145000</t>
  </si>
  <si>
    <t>AMZN260327C00150000</t>
  </si>
  <si>
    <t>3/25/2026 1:33 PM</t>
  </si>
  <si>
    <t>AMZN260327C00155000</t>
  </si>
  <si>
    <t>AMZN260327C00160000</t>
  </si>
  <si>
    <t>3/23/2026 11:21 AM</t>
  </si>
  <si>
    <t>AMZN260327C00165000</t>
  </si>
  <si>
    <t>3/25/2026 10:51 AM</t>
  </si>
  <si>
    <t>AMZN260327C00170000</t>
  </si>
  <si>
    <t>3/25/2026 10:53 AM</t>
  </si>
  <si>
    <t>AMZN260327C00175000</t>
  </si>
  <si>
    <t>3/23/2026 12:12 PM</t>
  </si>
  <si>
    <t>AMZN260327C00177500</t>
  </si>
  <si>
    <t>3/20/2026 1:58 PM</t>
  </si>
  <si>
    <t>AMZN260327C00180000</t>
  </si>
  <si>
    <t>3/25/2026 11:24 AM</t>
  </si>
  <si>
    <t>AMZN260327C00182500</t>
  </si>
  <si>
    <t>3/24/2026 1:36 PM</t>
  </si>
  <si>
    <t>AMZN260327C00185000</t>
  </si>
  <si>
    <t>3/25/2026 1:02 PM</t>
  </si>
  <si>
    <t>AMZN260327C00187500</t>
  </si>
  <si>
    <t>3/23/2026 2:01 PM</t>
  </si>
  <si>
    <t>AMZN260327C00190000</t>
  </si>
  <si>
    <t>3/25/2026 1:50 PM</t>
  </si>
  <si>
    <t>AMZN260327C00192500</t>
  </si>
  <si>
    <t>3/25/2026 12:54 PM</t>
  </si>
  <si>
    <t>AMZN260327C00195000</t>
  </si>
  <si>
    <t>3/25/2026 3:58 PM</t>
  </si>
  <si>
    <t>AMZN260327C00197500</t>
  </si>
  <si>
    <t>3/25/2026 3:48 PM</t>
  </si>
  <si>
    <t>AMZN260327C00200000</t>
  </si>
  <si>
    <t>3/25/2026 3:54 PM</t>
  </si>
  <si>
    <t>AMZN260327C00202500</t>
  </si>
  <si>
    <t>3/25/2026 3:40 PM</t>
  </si>
  <si>
    <t>AMZN260327C00205000</t>
  </si>
  <si>
    <t>AMZN260327C00207500</t>
  </si>
  <si>
    <t>3/25/2026 3:56 PM</t>
  </si>
  <si>
    <t>AMZN260327C00210000</t>
  </si>
  <si>
    <t>3/25/2026 3:59 PM</t>
  </si>
  <si>
    <t>AMZN260327C00212500</t>
  </si>
  <si>
    <t>AMZN260327C00215000</t>
  </si>
  <si>
    <t>AMZN260327C00217500</t>
  </si>
  <si>
    <t>AMZN260327C00220000</t>
  </si>
  <si>
    <t>AMZN260327C00222500</t>
  </si>
  <si>
    <t>AMZN260327C00225000</t>
  </si>
  <si>
    <t>AMZN260327C00227500</t>
  </si>
  <si>
    <t>3/25/2026 3:57 PM</t>
  </si>
  <si>
    <t>AMZN260327C00230000</t>
  </si>
  <si>
    <t>AMZN260327C00232500</t>
  </si>
  <si>
    <t>AMZN260327C00235000</t>
  </si>
  <si>
    <t>AMZN260327C00237500</t>
  </si>
  <si>
    <t>3/24/2026 3:40 PM</t>
  </si>
  <si>
    <t>AMZN260327C00240000</t>
  </si>
  <si>
    <t>3/25/2026 2:29 PM</t>
  </si>
  <si>
    <t>AMZN260327C00245000</t>
  </si>
  <si>
    <t>3/25/2026 9:52 AM</t>
  </si>
  <si>
    <t>AMZN260327C00250000</t>
  </si>
  <si>
    <t>3/25/2026 3:39 PM</t>
  </si>
  <si>
    <t>AMZN260327C00255000</t>
  </si>
  <si>
    <t>3/23/2026 3:05 PM</t>
  </si>
  <si>
    <t>AMZN260327C00260000</t>
  </si>
  <si>
    <t>3/25/2026 12:43 PM</t>
  </si>
  <si>
    <t>AMZN260327C00265000</t>
  </si>
  <si>
    <t>3/24/2026 2:02 PM</t>
  </si>
  <si>
    <t>AMZN260327C00270000</t>
  </si>
  <si>
    <t>3/24/2026 2:07 PM</t>
  </si>
  <si>
    <t>AMZN260327C00275000</t>
  </si>
  <si>
    <t>3/24/2026 1:20 PM</t>
  </si>
  <si>
    <t>AMZN260327C00280000</t>
  </si>
  <si>
    <t>3/24/2026 12:58 PM</t>
  </si>
  <si>
    <t>AMZN260327C00285000</t>
  </si>
  <si>
    <t>3/17/2026 3:43 PM</t>
  </si>
  <si>
    <t>AMZN260327C00290000</t>
  </si>
  <si>
    <t>3/25/2026 2:33 PM</t>
  </si>
  <si>
    <t>AMZN260327C00295000</t>
  </si>
  <si>
    <t>3/25/2026 1:48 PM</t>
  </si>
  <si>
    <t>AMZN260327C00300000</t>
  </si>
  <si>
    <t>3/25/2026 1:23 PM</t>
  </si>
  <si>
    <t>AMZN260327C00305000</t>
  </si>
  <si>
    <t>AMZN260327C00310000</t>
  </si>
  <si>
    <t>AMZN260327C00315000</t>
  </si>
  <si>
    <t>3/25/2026 12:35 PM</t>
  </si>
  <si>
    <t>AMZN260327C00320000</t>
  </si>
  <si>
    <t>3/25/2026 12:07 PM</t>
  </si>
  <si>
    <t>AMZN260327C00325000</t>
  </si>
  <si>
    <t>3/25/2026 11:38 AM</t>
  </si>
  <si>
    <t>AMZN260327C00330000</t>
  </si>
  <si>
    <t>3/24/2026 10:37 AM</t>
  </si>
  <si>
    <t>AMZN260327C00335000</t>
  </si>
  <si>
    <t>3/25/2026 12:57 PM</t>
  </si>
  <si>
    <t>AMZN260327P00125000</t>
  </si>
  <si>
    <t>3/24/2026 1:04 PM</t>
  </si>
  <si>
    <t>AMZN260327P00130000</t>
  </si>
  <si>
    <t>3/23/2026 10:25 AM</t>
  </si>
  <si>
    <t>AMZN260327P00135000</t>
  </si>
  <si>
    <t>AMZN260327P00140000</t>
  </si>
  <si>
    <t>AMZN260327P00145000</t>
  </si>
  <si>
    <t>3/24/2026 12:21 PM</t>
  </si>
  <si>
    <t>AMZN260327P00150000</t>
  </si>
  <si>
    <t>3/24/2026 2:27 PM</t>
  </si>
  <si>
    <t>AMZN260327P00155000</t>
  </si>
  <si>
    <t>3/23/2026 3:55 PM</t>
  </si>
  <si>
    <t>AMZN260327P00160000</t>
  </si>
  <si>
    <t>3/25/2026 2:28 PM</t>
  </si>
  <si>
    <t>AMZN260327P00165000</t>
  </si>
  <si>
    <t>3/25/2026 2:59 PM</t>
  </si>
  <si>
    <t>AMZN260327P00170000</t>
  </si>
  <si>
    <t>3/25/2026 3:12 PM</t>
  </si>
  <si>
    <t>AMZN260327P00175000</t>
  </si>
  <si>
    <t>AMZN260327P00177500</t>
  </si>
  <si>
    <t>AMZN260327P00180000</t>
  </si>
  <si>
    <t>3/25/2026 3:32 PM</t>
  </si>
  <si>
    <t>AMZN260327P00182500</t>
  </si>
  <si>
    <t>3/25/2026 11:46 AM</t>
  </si>
  <si>
    <t>AMZN260327P00185000</t>
  </si>
  <si>
    <t>3/25/2026 3:27 PM</t>
  </si>
  <si>
    <t>AMZN260327P00187500</t>
  </si>
  <si>
    <t>3/25/2026 3:24 PM</t>
  </si>
  <si>
    <t>AMZN260327P00190000</t>
  </si>
  <si>
    <t>AMZN260327P00192500</t>
  </si>
  <si>
    <t>AMZN260327P00195000</t>
  </si>
  <si>
    <t>3/25/2026 3:55 PM</t>
  </si>
  <si>
    <t>AMZN260327P00197500</t>
  </si>
  <si>
    <t>AMZN260327P00200000</t>
  </si>
  <si>
    <t>AMZN260327P00202500</t>
  </si>
  <si>
    <t>AMZN260327P00205000</t>
  </si>
  <si>
    <t>AMZN260327P00207500</t>
  </si>
  <si>
    <t>AMZN260327P00210000</t>
  </si>
  <si>
    <t>AMZN260327P00212500</t>
  </si>
  <si>
    <t>AMZN260327P00215000</t>
  </si>
  <si>
    <t>AMZN260327P00217500</t>
  </si>
  <si>
    <t>AMZN260327P00220000</t>
  </si>
  <si>
    <t>AMZN260327P00222500</t>
  </si>
  <si>
    <t>3/25/2026 12:48 PM</t>
  </si>
  <si>
    <t>AMZN260327P00225000</t>
  </si>
  <si>
    <t>3/25/2026 11:32 AM</t>
  </si>
  <si>
    <t>AMZN260327P00227500</t>
  </si>
  <si>
    <t>3/25/2026 12:19 PM</t>
  </si>
  <si>
    <t>AMZN260327P00230000</t>
  </si>
  <si>
    <t>3/25/2026 2:08 PM</t>
  </si>
  <si>
    <t>AMZN260327P00232500</t>
  </si>
  <si>
    <t>3/25/2026 11:15 AM</t>
  </si>
  <si>
    <t>AMZN260327P00235000</t>
  </si>
  <si>
    <t>3/20/2026 3:27 PM</t>
  </si>
  <si>
    <t>AMZN260327P00237500</t>
  </si>
  <si>
    <t>AMZN260327P00240000</t>
  </si>
  <si>
    <t>3/24/2026 10:32 AM</t>
  </si>
  <si>
    <t>AMZN260327P00245000</t>
  </si>
  <si>
    <t>AMZN260327P00250000</t>
  </si>
  <si>
    <t>3/17/2026 10:20 AM</t>
  </si>
  <si>
    <t>AMZN260327P00255000</t>
  </si>
  <si>
    <t>AMZN260327P00260000</t>
  </si>
  <si>
    <t>3/18/2026 12:53 PM</t>
  </si>
  <si>
    <t>AMZN260327P00265000</t>
  </si>
  <si>
    <t>3/18/2026 12:04 PM</t>
  </si>
  <si>
    <t>3/26/2026 3:43 PM</t>
  </si>
  <si>
    <t>3/26/2026 3:44 PM</t>
  </si>
  <si>
    <t>3/26/2026 3:09 PM</t>
  </si>
  <si>
    <t>3/26/2026 3:36 PM</t>
  </si>
  <si>
    <t>3/26/2026 12:02 PM</t>
  </si>
  <si>
    <t>3/26/2026 3:41 PM</t>
  </si>
  <si>
    <t>3/26/2026 11:50 AM</t>
  </si>
  <si>
    <t>3/26/2026 3:08 PM</t>
  </si>
  <si>
    <t>3/26/2026 3:42 PM</t>
  </si>
  <si>
    <t>3/26/2026 3:37 PM</t>
  </si>
  <si>
    <t>3/26/2026 3:57 PM</t>
  </si>
  <si>
    <t>3/26/2026 3:54 PM</t>
  </si>
  <si>
    <t>3/26/2026 3:59 PM</t>
  </si>
  <si>
    <t>3/26/2026 3:53 PM</t>
  </si>
  <si>
    <t>3/26/2026 3:55 PM</t>
  </si>
  <si>
    <t>3/26/2026 3:40 PM</t>
  </si>
  <si>
    <t>3/26/2026 3:33 PM</t>
  </si>
  <si>
    <t>3/26/2026 1:38 PM</t>
  </si>
  <si>
    <t>3/26/2026 3:47 PM</t>
  </si>
  <si>
    <t>3/26/2026 10:50 AM</t>
  </si>
  <si>
    <t>3/26/2026 3:05 PM</t>
  </si>
  <si>
    <t>3/26/2026 2:30 PM</t>
  </si>
  <si>
    <t>3/26/2026 9:52 AM</t>
  </si>
  <si>
    <t>3/26/2026 2:26 PM</t>
  </si>
  <si>
    <t>3/26/2026 3:58 PM</t>
  </si>
  <si>
    <t>3/26/2026 12:36 PM</t>
  </si>
  <si>
    <t>3/26/2026 9:49 AM</t>
  </si>
  <si>
    <t>3/25/2026 12:25 PM</t>
  </si>
  <si>
    <t>3/26/2026 9:57 AM</t>
  </si>
  <si>
    <t>3/26/2026 2:43 PM</t>
  </si>
  <si>
    <t>3/26/2026 2:51 PM</t>
  </si>
  <si>
    <t>3/26/2026 11:25 AM</t>
  </si>
  <si>
    <t>3/26/2026 3:24 PM</t>
  </si>
  <si>
    <t>3/26/2026 3:56 PM</t>
  </si>
  <si>
    <t>3/26/2026 3:32 PM</t>
  </si>
  <si>
    <t>3/26/2026 1:03 PM</t>
  </si>
  <si>
    <t>3/26/2026 12:40 PM</t>
  </si>
  <si>
    <t>3/26/2026 11:31 AM</t>
  </si>
  <si>
    <t>3/26/2026 2:12 PM</t>
  </si>
  <si>
    <t>3/26/2026 12:08 PM</t>
  </si>
  <si>
    <t>AMZN260410C00120000</t>
  </si>
  <si>
    <t>AMZN260410C00125000</t>
  </si>
  <si>
    <t>AMZN260410C00130000</t>
  </si>
  <si>
    <t>AMZN260410C00135000</t>
  </si>
  <si>
    <t>AMZN260410C00140000</t>
  </si>
  <si>
    <t>AMZN260410C00145000</t>
  </si>
  <si>
    <t>AMZN260410C00150000</t>
  </si>
  <si>
    <t>AMZN260410C00155000</t>
  </si>
  <si>
    <t>AMZN260410C00160000</t>
  </si>
  <si>
    <t>AMZN260410C00165000</t>
  </si>
  <si>
    <t>AMZN260410C00170000</t>
  </si>
  <si>
    <t>AMZN260410C00172500</t>
  </si>
  <si>
    <t>AMZN260410C00175000</t>
  </si>
  <si>
    <t>AMZN260410C00177500</t>
  </si>
  <si>
    <t>AMZN260410C00180000</t>
  </si>
  <si>
    <t>AMZN260410C00182500</t>
  </si>
  <si>
    <t>AMZN260410C00185000</t>
  </si>
  <si>
    <t>AMZN260410C00187500</t>
  </si>
  <si>
    <t>AMZN260410C00190000</t>
  </si>
  <si>
    <t>AMZN260410C00192500</t>
  </si>
  <si>
    <t>AMZN260410C00195000</t>
  </si>
  <si>
    <t>AMZN260410C00197500</t>
  </si>
  <si>
    <t>AMZN260410C00200000</t>
  </si>
  <si>
    <t>AMZN260410C00202500</t>
  </si>
  <si>
    <t>AMZN260410C00205000</t>
  </si>
  <si>
    <t>AMZN260410C00207500</t>
  </si>
  <si>
    <t>AMZN260410C00210000</t>
  </si>
  <si>
    <t>AMZN260410C00212500</t>
  </si>
  <si>
    <t>AMZN260410C00215000</t>
  </si>
  <si>
    <t>AMZN260410C00217500</t>
  </si>
  <si>
    <t>AMZN260410C00220000</t>
  </si>
  <si>
    <t>AMZN260410C00222500</t>
  </si>
  <si>
    <t>AMZN260410C00225000</t>
  </si>
  <si>
    <t>AMZN260410C00227500</t>
  </si>
  <si>
    <t>AMZN260410C00230000</t>
  </si>
  <si>
    <t>AMZN260410C00232500</t>
  </si>
  <si>
    <t>AMZN260410C00235000</t>
  </si>
  <si>
    <t>AMZN260410C00240000</t>
  </si>
  <si>
    <t>AMZN260410C00245000</t>
  </si>
  <si>
    <t>AMZN260410C00250000</t>
  </si>
  <si>
    <t>AMZN260410C00255000</t>
  </si>
  <si>
    <t>AMZN260410C00260000</t>
  </si>
  <si>
    <t>AMZN260410C00265000</t>
  </si>
  <si>
    <t>AMZN260410C00270000</t>
  </si>
  <si>
    <t>AMZN260410C00275000</t>
  </si>
  <si>
    <t>AMZN260410C00280000</t>
  </si>
  <si>
    <t>AMZN260410C00285000</t>
  </si>
  <si>
    <t>AMZN260410C00290000</t>
  </si>
  <si>
    <t>AMZN260410C00295000</t>
  </si>
  <si>
    <t>AMZN260410C00300000</t>
  </si>
  <si>
    <t>AMZN260410C00305000</t>
  </si>
  <si>
    <t>AMZN260410P00120000</t>
  </si>
  <si>
    <t>AMZN260410P00125000</t>
  </si>
  <si>
    <t>3/31/2026 11:43 AM</t>
  </si>
  <si>
    <t>AMZN260410P00130000</t>
  </si>
  <si>
    <t>AMZN260410P00135000</t>
  </si>
  <si>
    <t>3/30/2026 3:46 PM</t>
  </si>
  <si>
    <t>AMZN260410P00140000</t>
  </si>
  <si>
    <t>AMZN260410P00145000</t>
  </si>
  <si>
    <t>AMZN260410P00150000</t>
  </si>
  <si>
    <t>AMZN260410P00155000</t>
  </si>
  <si>
    <t>AMZN260410P00160000</t>
  </si>
  <si>
    <t>AMZN260410P00165000</t>
  </si>
  <si>
    <t>AMZN260410P00170000</t>
  </si>
  <si>
    <t>AMZN260410P00172500</t>
  </si>
  <si>
    <t>AMZN260410P00175000</t>
  </si>
  <si>
    <t>AMZN260410P00177500</t>
  </si>
  <si>
    <t>AMZN260410P00180000</t>
  </si>
  <si>
    <t>AMZN260410P00182500</t>
  </si>
  <si>
    <t>AMZN260410P00185000</t>
  </si>
  <si>
    <t>AMZN260410P00187500</t>
  </si>
  <si>
    <t>AMZN260410P00190000</t>
  </si>
  <si>
    <t>AMZN260410P00192500</t>
  </si>
  <si>
    <t>AMZN260410P00195000</t>
  </si>
  <si>
    <t>AMZN260410P00197500</t>
  </si>
  <si>
    <t>AMZN260410P00200000</t>
  </si>
  <si>
    <t>AMZN260410P00202500</t>
  </si>
  <si>
    <t>AMZN260410P00205000</t>
  </si>
  <si>
    <t>AMZN260410P00207500</t>
  </si>
  <si>
    <t>AMZN260410P00210000</t>
  </si>
  <si>
    <t>AMZN260410P00212500</t>
  </si>
  <si>
    <t>AMZN260410P00215000</t>
  </si>
  <si>
    <t>AMZN260410P00217500</t>
  </si>
  <si>
    <t>AMZN260410P00220000</t>
  </si>
  <si>
    <t>AMZN260410P00222500</t>
  </si>
  <si>
    <t>AMZN260410P00225000</t>
  </si>
  <si>
    <t>AMZN260410P00227500</t>
  </si>
  <si>
    <t>AMZN260410P00230000</t>
  </si>
  <si>
    <t>AMZN260410P00232500</t>
  </si>
  <si>
    <t>AMZN260410P00235000</t>
  </si>
  <si>
    <t>AMZN260410P00240000</t>
  </si>
  <si>
    <t>AMZN260410P00245000</t>
  </si>
  <si>
    <t>AMZN260410P00250000</t>
  </si>
  <si>
    <t>AMZN260410P00275000</t>
  </si>
  <si>
    <t>AMZN260410P00280000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</si>
</sst>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7"/>
      <color rgb="FF232A31"/>
      <name val="Arial"/>
      <family val="2"/>
    </font>
    <font>
      <u/>
      <sz val="11"/>
      <color theme="10"/>
      <name val="Aptos Narrow"/>
      <family val="2"/>
      <scheme val="minor"/>
    </font>
    <font>
      <u/>
      <sz val="8"/>
      <color theme="10"/>
      <name val="Aptos Narrow"/>
      <family val="2"/>
      <scheme val="minor"/>
    </font>
    <font>
      <sz val="7"/>
      <color theme="1"/>
      <name val="Arial"/>
      <family val="2"/>
    </font>
    <font>
      <sz val="8"/>
      <color theme="1"/>
      <name val="Arial"/>
      <family val="2"/>
    </font>
    <font>
      <sz val="8"/>
      <color rgb="FF037B66"/>
      <name val="Arial"/>
      <family val="2"/>
    </font>
    <font>
      <sz val="8"/>
      <color rgb="FF232A31"/>
      <name val="Arial"/>
      <family val="2"/>
    </font>
    <font>
      <sz val="8"/>
      <color rgb="FFD60A22"/>
      <name val="Arial"/>
      <family val="2"/>
    </font>
    <font>
      <sz val="8"/>
      <color rgb="FFE3E3E3"/>
      <name val="Arial"/>
      <family val="2"/>
    </font>
    <font>
      <sz val="8"/>
      <color rgb="FFFF4143"/>
      <name val="Arial"/>
      <family val="2"/>
    </font>
    <font>
      <sz val="8"/>
      <color rgb="FF00AA76"/>
      <name val="Arial"/>
      <family val="2"/>
    </font>
    <font>
      <sz val="7"/>
      <name val="Arial"/>
      <family val="2"/>
    </font>
    <font>
      <sz val="8"/>
      <name val="Arial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7F4FD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 indent="1"/>
    </xf>
    <xf numFmtId="0" fontId="2" fillId="3" borderId="0" xfId="1" applyFill="1" applyAlignment="1">
      <alignment horizontal="left" vertical="center"/>
    </xf>
    <xf numFmtId="0" fontId="2" fillId="3" borderId="0" xfId="1" applyFill="1" applyAlignment="1">
      <alignment horizontal="right" vertical="center"/>
    </xf>
    <xf numFmtId="0" fontId="2" fillId="2" borderId="0" xfId="1" applyFill="1" applyAlignment="1">
      <alignment horizontal="left" vertical="center"/>
    </xf>
    <xf numFmtId="0" fontId="2" fillId="2" borderId="0" xfId="1" applyFill="1" applyAlignment="1">
      <alignment horizontal="right" vertical="center"/>
    </xf>
    <xf numFmtId="0" fontId="2" fillId="4" borderId="0" xfId="1" applyFill="1" applyAlignment="1">
      <alignment horizontal="left" vertical="center"/>
    </xf>
    <xf numFmtId="0" fontId="2" fillId="4" borderId="0" xfId="1" applyFill="1" applyAlignment="1">
      <alignment horizontal="right" vertical="center"/>
    </xf>
    <xf numFmtId="16" fontId="0" fillId="0" borderId="0" xfId="0" applyNumberFormat="1"/>
    <xf numFmtId="0" fontId="2" fillId="0" borderId="0" xfId="1"/>
    <xf numFmtId="0" fontId="3" fillId="0" borderId="0" xfId="1" applyFont="1"/>
    <xf numFmtId="0" fontId="2" fillId="0" borderId="0" xfId="1" applyFill="1" applyAlignment="1">
      <alignment horizontal="left" vertical="center"/>
    </xf>
    <xf numFmtId="0" fontId="2" fillId="0" borderId="0" xfId="1" applyFill="1" applyAlignment="1">
      <alignment horizontal="right" vertical="center"/>
    </xf>
    <xf numFmtId="0" fontId="4" fillId="2" borderId="0" xfId="0" applyFont="1" applyFill="1" applyAlignment="1">
      <alignment horizontal="right" vertical="center" indent="1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3" borderId="0" xfId="0" applyFont="1" applyFill="1" applyAlignment="1">
      <alignment horizontal="right" vertical="center"/>
    </xf>
    <xf numFmtId="10" fontId="5" fillId="3" borderId="0" xfId="0" applyNumberFormat="1" applyFont="1" applyFill="1" applyAlignment="1">
      <alignment horizontal="right" vertical="center"/>
    </xf>
    <xf numFmtId="10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0" fontId="5" fillId="4" borderId="0" xfId="0" applyNumberFormat="1" applyFont="1" applyFill="1" applyAlignment="1">
      <alignment horizontal="right" vertical="center"/>
    </xf>
    <xf numFmtId="10" fontId="5" fillId="0" borderId="0" xfId="0" applyNumberFormat="1" applyFont="1"/>
    <xf numFmtId="10" fontId="5" fillId="0" borderId="0" xfId="0" applyNumberFormat="1" applyFont="1" applyAlignment="1">
      <alignment horizontal="right" vertical="center"/>
    </xf>
    <xf numFmtId="0" fontId="6" fillId="0" borderId="0" xfId="0" applyFont="1"/>
    <xf numFmtId="10" fontId="6" fillId="0" borderId="0" xfId="0" applyNumberFormat="1" applyFont="1"/>
    <xf numFmtId="0" fontId="7" fillId="0" borderId="0" xfId="0" applyFont="1"/>
    <xf numFmtId="10" fontId="7" fillId="0" borderId="0" xfId="0" applyNumberFormat="1" applyFont="1"/>
    <xf numFmtId="0" fontId="8" fillId="0" borderId="0" xfId="0" applyFont="1"/>
    <xf numFmtId="10" fontId="8" fillId="0" borderId="0" xfId="0" applyNumberFormat="1" applyFont="1"/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10" fontId="9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 vertical="center"/>
    </xf>
    <xf numFmtId="10" fontId="11" fillId="0" borderId="0" xfId="0" applyNumberFormat="1" applyFont="1" applyAlignment="1">
      <alignment horizontal="right" vertical="center"/>
    </xf>
    <xf numFmtId="0" fontId="12" fillId="2" borderId="0" xfId="0" applyFont="1" applyFill="1" applyAlignment="1">
      <alignment horizontal="right" vertical="center" indent="1"/>
    </xf>
    <xf numFmtId="22" fontId="13" fillId="3" borderId="0" xfId="0" applyNumberFormat="1" applyFont="1" applyFill="1" applyAlignment="1">
      <alignment horizontal="right" vertical="center"/>
    </xf>
    <xf numFmtId="22" fontId="13" fillId="2" borderId="0" xfId="0" applyNumberFormat="1" applyFont="1" applyFill="1" applyAlignment="1">
      <alignment horizontal="right" vertical="center"/>
    </xf>
    <xf numFmtId="22" fontId="13" fillId="4" borderId="0" xfId="0" applyNumberFormat="1" applyFont="1" applyFill="1" applyAlignment="1">
      <alignment horizontal="right" vertical="center"/>
    </xf>
    <xf numFmtId="0" fontId="13" fillId="0" borderId="0" xfId="0" applyFont="1"/>
    <xf numFmtId="22" fontId="13" fillId="0" borderId="0" xfId="0" applyNumberFormat="1" applyFont="1"/>
    <xf numFmtId="0" fontId="13" fillId="0" borderId="0" xfId="0" applyFont="1" applyAlignment="1">
      <alignment horizontal="right" vertical="center"/>
    </xf>
    <xf numFmtId="22" fontId="13" fillId="0" borderId="0" xfId="0" applyNumberFormat="1" applyFont="1" applyAlignment="1">
      <alignment horizontal="right" vertical="center"/>
    </xf>
    <xf numFmtId="0" fontId="13" fillId="2" borderId="0" xfId="0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22" fontId="13" fillId="0" borderId="0" xfId="0" applyNumberFormat="1" applyFont="1" applyAlignment="1">
      <alignment horizontal="right"/>
    </xf>
    <xf numFmtId="0" fontId="14" fillId="0" borderId="0" xfId="0" applyFont="1"/>
    <xf numFmtId="0" fontId="13" fillId="3" borderId="0" xfId="0" applyFont="1" applyFill="1" applyAlignment="1">
      <alignment horizontal="right" vertical="center"/>
    </xf>
    <xf numFmtId="0" fontId="13" fillId="4" borderId="0" xfId="0" applyFont="1" applyFill="1" applyAlignment="1">
      <alignment horizontal="right" vertical="center"/>
    </xf>
    <xf numFmtId="10" fontId="13" fillId="3" borderId="0" xfId="0" applyNumberFormat="1" applyFont="1" applyFill="1" applyAlignment="1">
      <alignment horizontal="right" vertical="center" indent="1"/>
    </xf>
    <xf numFmtId="3" fontId="13" fillId="3" borderId="0" xfId="0" applyNumberFormat="1" applyFont="1" applyFill="1" applyAlignment="1">
      <alignment horizontal="right" vertical="center"/>
    </xf>
    <xf numFmtId="3" fontId="13" fillId="2" borderId="0" xfId="0" applyNumberFormat="1" applyFont="1" applyFill="1" applyAlignment="1">
      <alignment horizontal="right" vertical="center"/>
    </xf>
    <xf numFmtId="10" fontId="13" fillId="2" borderId="0" xfId="0" applyNumberFormat="1" applyFont="1" applyFill="1" applyAlignment="1">
      <alignment horizontal="right" vertical="center" indent="1"/>
    </xf>
    <xf numFmtId="3" fontId="13" fillId="4" borderId="0" xfId="0" applyNumberFormat="1" applyFont="1" applyFill="1" applyAlignment="1">
      <alignment horizontal="right" vertical="center"/>
    </xf>
    <xf numFmtId="10" fontId="13" fillId="4" borderId="0" xfId="0" applyNumberFormat="1" applyFont="1" applyFill="1" applyAlignment="1">
      <alignment horizontal="right" vertical="center" indent="1"/>
    </xf>
    <xf numFmtId="10" fontId="13" fillId="0" borderId="0" xfId="0" applyNumberFormat="1" applyFont="1"/>
    <xf numFmtId="3" fontId="13" fillId="0" borderId="0" xfId="0" applyNumberFormat="1" applyFont="1"/>
    <xf numFmtId="10" fontId="13" fillId="0" borderId="0" xfId="0" applyNumberFormat="1" applyFont="1" applyAlignment="1">
      <alignment horizontal="right" vertical="center" indent="1"/>
    </xf>
    <xf numFmtId="3" fontId="13" fillId="0" borderId="0" xfId="0" applyNumberFormat="1" applyFont="1" applyAlignment="1">
      <alignment horizontal="right" vertical="center"/>
    </xf>
    <xf numFmtId="10" fontId="13" fillId="0" borderId="0" xfId="0" applyNumberFormat="1" applyFont="1" applyAlignment="1">
      <alignment horizontal="right" vertical="center"/>
    </xf>
    <xf numFmtId="0" fontId="2" fillId="0" borderId="0" xfId="1" applyFill="1" applyAlignment="1">
      <alignment horizontal="right" vertical="center" wrapText="1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10" fontId="7" fillId="0" borderId="0" xfId="0" applyNumberFormat="1" applyFont="1" applyAlignment="1">
      <alignment horizontal="right" vertical="center" indent="1"/>
    </xf>
    <xf numFmtId="10" fontId="7" fillId="0" borderId="0" xfId="0" applyNumberFormat="1" applyFont="1" applyAlignment="1">
      <alignment horizontal="right" vertical="center"/>
    </xf>
    <xf numFmtId="22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22" fontId="7" fillId="0" borderId="0" xfId="0" applyNumberFormat="1" applyFont="1"/>
    <xf numFmtId="3" fontId="7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inance.yahoo.com/quote/AMZN260318C00195000/" TargetMode="External"/><Relationship Id="rId170" Type="http://schemas.openxmlformats.org/officeDocument/2006/relationships/hyperlink" Target="https://finance.yahoo.com/quote/AMZN/options/?straddle=false&amp;strike=250&amp;type=all" TargetMode="External"/><Relationship Id="rId987" Type="http://schemas.openxmlformats.org/officeDocument/2006/relationships/hyperlink" Target="https://finance.yahoo.com/quote/AMZN260515C00320000/" TargetMode="External"/><Relationship Id="rId847" Type="http://schemas.openxmlformats.org/officeDocument/2006/relationships/hyperlink" Target="https://finance.yahoo.com/quote/AMZN260515P00220000/" TargetMode="External"/><Relationship Id="rId1477" Type="http://schemas.openxmlformats.org/officeDocument/2006/relationships/hyperlink" Target="https://finance.yahoo.com/quote/AMZN260227C00260000/" TargetMode="External"/><Relationship Id="rId1684" Type="http://schemas.openxmlformats.org/officeDocument/2006/relationships/hyperlink" Target="https://finance.yahoo.com/quote/AMZN/options/?straddle=false&amp;strike=250&amp;type=all" TargetMode="External"/><Relationship Id="rId1891" Type="http://schemas.openxmlformats.org/officeDocument/2006/relationships/hyperlink" Target="https://finance.yahoo.com/quote/AMZN260318P00170000/" TargetMode="External"/><Relationship Id="rId2528" Type="http://schemas.openxmlformats.org/officeDocument/2006/relationships/hyperlink" Target="https://finance.yahoo.com/quote/AMZN/options/?straddle=false&amp;strike=212.5&amp;type=all" TargetMode="External"/><Relationship Id="rId707" Type="http://schemas.openxmlformats.org/officeDocument/2006/relationships/hyperlink" Target="https://finance.yahoo.com/quote/AMZN260515P00120000/" TargetMode="External"/><Relationship Id="rId914" Type="http://schemas.openxmlformats.org/officeDocument/2006/relationships/hyperlink" Target="https://finance.yahoo.com/quote/AMZN/options/?straddle=false&amp;strike=135&amp;type=all" TargetMode="External"/><Relationship Id="rId1337" Type="http://schemas.openxmlformats.org/officeDocument/2006/relationships/hyperlink" Target="https://finance.yahoo.com/quote/AMZN260515P00195000/" TargetMode="External"/><Relationship Id="rId1544" Type="http://schemas.openxmlformats.org/officeDocument/2006/relationships/hyperlink" Target="https://finance.yahoo.com/quote/AMZN/options/?straddle=false&amp;strike=185&amp;type=all" TargetMode="External"/><Relationship Id="rId1751" Type="http://schemas.openxmlformats.org/officeDocument/2006/relationships/hyperlink" Target="https://finance.yahoo.com/quote/AMZN260306P00182500/" TargetMode="External"/><Relationship Id="rId43" Type="http://schemas.openxmlformats.org/officeDocument/2006/relationships/hyperlink" Target="https://finance.yahoo.com/quote/AMZN260123C00217500/" TargetMode="External"/><Relationship Id="rId1404" Type="http://schemas.openxmlformats.org/officeDocument/2006/relationships/hyperlink" Target="https://finance.yahoo.com/quote/AMZN/options/?straddle=false&amp;strike=135&amp;type=all" TargetMode="External"/><Relationship Id="rId1611" Type="http://schemas.openxmlformats.org/officeDocument/2006/relationships/hyperlink" Target="https://finance.yahoo.com/quote/AMZN260306C00135000/" TargetMode="External"/><Relationship Id="rId497" Type="http://schemas.openxmlformats.org/officeDocument/2006/relationships/hyperlink" Target="https://finance.yahoo.com/quote/AMZN260515C00360000/" TargetMode="External"/><Relationship Id="rId2178" Type="http://schemas.openxmlformats.org/officeDocument/2006/relationships/hyperlink" Target="https://finance.yahoo.com/quote/AMZN/options/?straddle=false&amp;strike=300&amp;type=all" TargetMode="External"/><Relationship Id="rId2385" Type="http://schemas.openxmlformats.org/officeDocument/2006/relationships/hyperlink" Target="https://finance.yahoo.com/quote/AMZN260327C00330000/" TargetMode="External"/><Relationship Id="rId357" Type="http://schemas.openxmlformats.org/officeDocument/2006/relationships/hyperlink" Target="https://finance.yahoo.com/quote/AMZN260515P00245000/" TargetMode="External"/><Relationship Id="rId1194" Type="http://schemas.openxmlformats.org/officeDocument/2006/relationships/hyperlink" Target="https://finance.yahoo.com/quote/AMZN/options/?straddle=false&amp;strike=340&amp;type=all" TargetMode="External"/><Relationship Id="rId2038" Type="http://schemas.openxmlformats.org/officeDocument/2006/relationships/hyperlink" Target="https://finance.yahoo.com/quote/AMZN/options/?straddle=false&amp;strike=260&amp;type=all" TargetMode="External"/><Relationship Id="rId2592" Type="http://schemas.openxmlformats.org/officeDocument/2006/relationships/hyperlink" Target="https://finance.yahoo.com/quote/AMZN/options/?straddle=false&amp;strike=160&amp;type=all" TargetMode="External"/><Relationship Id="rId217" Type="http://schemas.openxmlformats.org/officeDocument/2006/relationships/hyperlink" Target="https://finance.yahoo.com/quote/AMZN260515C00145000/" TargetMode="External"/><Relationship Id="rId564" Type="http://schemas.openxmlformats.org/officeDocument/2006/relationships/hyperlink" Target="https://finance.yahoo.com/quote/AMZN/options/?straddle=false&amp;strike=260&amp;type=all" TargetMode="External"/><Relationship Id="rId771" Type="http://schemas.openxmlformats.org/officeDocument/2006/relationships/hyperlink" Target="https://finance.yahoo.com/quote/AMZN260515P00280000/" TargetMode="External"/><Relationship Id="rId2245" Type="http://schemas.openxmlformats.org/officeDocument/2006/relationships/hyperlink" Target="https://finance.yahoo.com/quote/AMZN260327P00215000/" TargetMode="External"/><Relationship Id="rId2452" Type="http://schemas.openxmlformats.org/officeDocument/2006/relationships/hyperlink" Target="https://finance.yahoo.com/quote/AMZN/options/?straddle=false&amp;strike=227.5&amp;type=all" TargetMode="External"/><Relationship Id="rId424" Type="http://schemas.openxmlformats.org/officeDocument/2006/relationships/hyperlink" Target="https://finance.yahoo.com/quote/AMZN/options/?straddle=false&amp;strike=160&amp;type=all" TargetMode="External"/><Relationship Id="rId631" Type="http://schemas.openxmlformats.org/officeDocument/2006/relationships/hyperlink" Target="https://finance.yahoo.com/quote/AMZN260515C00180000/" TargetMode="External"/><Relationship Id="rId1054" Type="http://schemas.openxmlformats.org/officeDocument/2006/relationships/hyperlink" Target="https://finance.yahoo.com/quote/AMZN/options/?straddle=false&amp;strike=235&amp;type=all" TargetMode="External"/><Relationship Id="rId1261" Type="http://schemas.openxmlformats.org/officeDocument/2006/relationships/hyperlink" Target="https://finance.yahoo.com/quote/AMZN260515C00255000/" TargetMode="External"/><Relationship Id="rId2105" Type="http://schemas.openxmlformats.org/officeDocument/2006/relationships/hyperlink" Target="https://finance.yahoo.com/quote/AMZN260327C00180000/" TargetMode="External"/><Relationship Id="rId2312" Type="http://schemas.openxmlformats.org/officeDocument/2006/relationships/hyperlink" Target="https://finance.yahoo.com/quote/AMZN/options/?straddle=false&amp;strike=192.5&amp;type=all" TargetMode="External"/><Relationship Id="rId1121" Type="http://schemas.openxmlformats.org/officeDocument/2006/relationships/hyperlink" Target="https://finance.yahoo.com/quote/AMZN260515P00155000/" TargetMode="External"/><Relationship Id="rId1938" Type="http://schemas.openxmlformats.org/officeDocument/2006/relationships/hyperlink" Target="https://finance.yahoo.com/quote/AMZN/options/?straddle=false&amp;strike=227.5&amp;type=all" TargetMode="External"/><Relationship Id="rId281" Type="http://schemas.openxmlformats.org/officeDocument/2006/relationships/hyperlink" Target="https://finance.yahoo.com/quote/AMZN260515C00305000/" TargetMode="External"/><Relationship Id="rId141" Type="http://schemas.openxmlformats.org/officeDocument/2006/relationships/hyperlink" Target="https://finance.yahoo.com/quote/AMZN260123P00215000/" TargetMode="External"/><Relationship Id="rId7" Type="http://schemas.openxmlformats.org/officeDocument/2006/relationships/hyperlink" Target="https://finance.yahoo.com/quote/AMZN260123C00140000/" TargetMode="External"/><Relationship Id="rId958" Type="http://schemas.openxmlformats.org/officeDocument/2006/relationships/hyperlink" Target="https://finance.yahoo.com/quote/AMZN/options/?straddle=false&amp;strike=245&amp;type=all" TargetMode="External"/><Relationship Id="rId1588" Type="http://schemas.openxmlformats.org/officeDocument/2006/relationships/hyperlink" Target="https://finance.yahoo.com/quote/AMZN/options/?straddle=false&amp;strike=250&amp;type=all" TargetMode="External"/><Relationship Id="rId1795" Type="http://schemas.openxmlformats.org/officeDocument/2006/relationships/hyperlink" Target="https://finance.yahoo.com/quote/AMZN260306P00245000/" TargetMode="External"/><Relationship Id="rId2639" Type="http://schemas.openxmlformats.org/officeDocument/2006/relationships/hyperlink" Target="https://finance.yahoo.com/quote/AMZN260410P00225000/" TargetMode="External"/><Relationship Id="rId87" Type="http://schemas.openxmlformats.org/officeDocument/2006/relationships/hyperlink" Target="https://finance.yahoo.com/quote/AMZN260123C00275000/" TargetMode="External"/><Relationship Id="rId818" Type="http://schemas.openxmlformats.org/officeDocument/2006/relationships/hyperlink" Target="https://finance.yahoo.com/quote/AMZN/options/?straddle=false&amp;strike=145&amp;type=all" TargetMode="External"/><Relationship Id="rId1448" Type="http://schemas.openxmlformats.org/officeDocument/2006/relationships/hyperlink" Target="https://finance.yahoo.com/quote/AMZN/options/?straddle=false&amp;strike=210&amp;type=all" TargetMode="External"/><Relationship Id="rId1655" Type="http://schemas.openxmlformats.org/officeDocument/2006/relationships/hyperlink" Target="https://finance.yahoo.com/quote/AMZN260306C00207500/" TargetMode="External"/><Relationship Id="rId1308" Type="http://schemas.openxmlformats.org/officeDocument/2006/relationships/hyperlink" Target="https://finance.yahoo.com/quote/AMZN/options/?straddle=false&amp;strike=120&amp;type=all" TargetMode="External"/><Relationship Id="rId1862" Type="http://schemas.openxmlformats.org/officeDocument/2006/relationships/hyperlink" Target="https://finance.yahoo.com/quote/AMZN/options/?straddle=false&amp;strike=240&amp;type=all" TargetMode="External"/><Relationship Id="rId1515" Type="http://schemas.openxmlformats.org/officeDocument/2006/relationships/hyperlink" Target="https://finance.yahoo.com/quote/AMZN260227P00130000/" TargetMode="External"/><Relationship Id="rId1722" Type="http://schemas.openxmlformats.org/officeDocument/2006/relationships/hyperlink" Target="https://finance.yahoo.com/quote/AMZN/options/?straddle=false&amp;strike=345&amp;type=all" TargetMode="External"/><Relationship Id="rId14" Type="http://schemas.openxmlformats.org/officeDocument/2006/relationships/hyperlink" Target="https://finance.yahoo.com/quote/AMZN/options/?straddle=false&amp;strike=155&amp;type=all" TargetMode="External"/><Relationship Id="rId2289" Type="http://schemas.openxmlformats.org/officeDocument/2006/relationships/hyperlink" Target="https://finance.yahoo.com/quote/AMZN260327C00155000/" TargetMode="External"/><Relationship Id="rId2496" Type="http://schemas.openxmlformats.org/officeDocument/2006/relationships/hyperlink" Target="https://finance.yahoo.com/quote/AMZN/options/?straddle=false&amp;strike=172.5&amp;type=all" TargetMode="External"/><Relationship Id="rId468" Type="http://schemas.openxmlformats.org/officeDocument/2006/relationships/hyperlink" Target="https://finance.yahoo.com/quote/AMZN/options/?straddle=false&amp;strike=270&amp;type=all" TargetMode="External"/><Relationship Id="rId675" Type="http://schemas.openxmlformats.org/officeDocument/2006/relationships/hyperlink" Target="https://finance.yahoo.com/quote/AMZN260515C00290000/" TargetMode="External"/><Relationship Id="rId882" Type="http://schemas.openxmlformats.org/officeDocument/2006/relationships/hyperlink" Target="https://finance.yahoo.com/quote/AMZN/options/?straddle=false&amp;strike=305&amp;type=all" TargetMode="External"/><Relationship Id="rId1098" Type="http://schemas.openxmlformats.org/officeDocument/2006/relationships/hyperlink" Target="https://finance.yahoo.com/quote/AMZN/options/?straddle=false&amp;strike=360&amp;type=all" TargetMode="External"/><Relationship Id="rId2149" Type="http://schemas.openxmlformats.org/officeDocument/2006/relationships/hyperlink" Target="https://finance.yahoo.com/quote/AMZN260327C00235000/" TargetMode="External"/><Relationship Id="rId2356" Type="http://schemas.openxmlformats.org/officeDocument/2006/relationships/hyperlink" Target="https://finance.yahoo.com/quote/AMZN/options/?straddle=false&amp;strike=255&amp;type=all" TargetMode="External"/><Relationship Id="rId2563" Type="http://schemas.openxmlformats.org/officeDocument/2006/relationships/hyperlink" Target="https://finance.yahoo.com/quote/AMZN260410C00280000/" TargetMode="External"/><Relationship Id="rId328" Type="http://schemas.openxmlformats.org/officeDocument/2006/relationships/hyperlink" Target="https://finance.yahoo.com/quote/AMZN/options/?straddle=false&amp;strike=170&amp;type=all" TargetMode="External"/><Relationship Id="rId535" Type="http://schemas.openxmlformats.org/officeDocument/2006/relationships/hyperlink" Target="https://finance.yahoo.com/quote/AMZN260515P00190000/" TargetMode="External"/><Relationship Id="rId742" Type="http://schemas.openxmlformats.org/officeDocument/2006/relationships/hyperlink" Target="https://finance.yahoo.com/quote/AMZN/options/?straddle=false&amp;strike=205&amp;type=all" TargetMode="External"/><Relationship Id="rId1165" Type="http://schemas.openxmlformats.org/officeDocument/2006/relationships/hyperlink" Target="https://finance.yahoo.com/quote/AMZN260515P00265000/" TargetMode="External"/><Relationship Id="rId1372" Type="http://schemas.openxmlformats.org/officeDocument/2006/relationships/hyperlink" Target="https://finance.yahoo.com/quote/AMZN/options/?straddle=false&amp;strike=280&amp;type=all" TargetMode="External"/><Relationship Id="rId2009" Type="http://schemas.openxmlformats.org/officeDocument/2006/relationships/hyperlink" Target="https://finance.yahoo.com/quote/AMZN260320P00212500/" TargetMode="External"/><Relationship Id="rId2216" Type="http://schemas.openxmlformats.org/officeDocument/2006/relationships/hyperlink" Target="https://finance.yahoo.com/quote/AMZN/options/?straddle=false&amp;strike=177.5&amp;type=all" TargetMode="External"/><Relationship Id="rId2423" Type="http://schemas.openxmlformats.org/officeDocument/2006/relationships/hyperlink" Target="https://finance.yahoo.com/quote/AMZN260327P00192500/" TargetMode="External"/><Relationship Id="rId2630" Type="http://schemas.openxmlformats.org/officeDocument/2006/relationships/hyperlink" Target="https://finance.yahoo.com/quote/AMZN/options/?straddle=false&amp;strike=212.5&amp;type=all" TargetMode="External"/><Relationship Id="rId602" Type="http://schemas.openxmlformats.org/officeDocument/2006/relationships/hyperlink" Target="https://finance.yahoo.com/quote/AMZN/options/?straddle=false&amp;strike=105&amp;type=all" TargetMode="External"/><Relationship Id="rId1025" Type="http://schemas.openxmlformats.org/officeDocument/2006/relationships/hyperlink" Target="https://finance.yahoo.com/quote/AMZN260515C00165000/" TargetMode="External"/><Relationship Id="rId1232" Type="http://schemas.openxmlformats.org/officeDocument/2006/relationships/hyperlink" Target="https://finance.yahoo.com/quote/AMZN/options/?straddle=false&amp;strike=180&amp;type=all" TargetMode="External"/><Relationship Id="rId185" Type="http://schemas.openxmlformats.org/officeDocument/2006/relationships/hyperlink" Target="https://finance.yahoo.com/quote/AMZN260123P00270000/" TargetMode="External"/><Relationship Id="rId1909" Type="http://schemas.openxmlformats.org/officeDocument/2006/relationships/hyperlink" Target="https://finance.yahoo.com/quote/AMZN260318P00192500/" TargetMode="External"/><Relationship Id="rId392" Type="http://schemas.openxmlformats.org/officeDocument/2006/relationships/hyperlink" Target="https://finance.yahoo.com/quote/AMZN/options/?straddle=false&amp;strike=330&amp;type=all" TargetMode="External"/><Relationship Id="rId2073" Type="http://schemas.openxmlformats.org/officeDocument/2006/relationships/hyperlink" Target="https://finance.yahoo.com/quote/AMZN260320P00350000/" TargetMode="External"/><Relationship Id="rId2280" Type="http://schemas.openxmlformats.org/officeDocument/2006/relationships/hyperlink" Target="https://finance.yahoo.com/quote/AMZN/options/?straddle=false&amp;strike=130&amp;type=all" TargetMode="External"/><Relationship Id="rId252" Type="http://schemas.openxmlformats.org/officeDocument/2006/relationships/hyperlink" Target="https://finance.yahoo.com/quote/AMZN/options/?straddle=false&amp;strike=230&amp;type=all" TargetMode="External"/><Relationship Id="rId2140" Type="http://schemas.openxmlformats.org/officeDocument/2006/relationships/hyperlink" Target="https://finance.yahoo.com/quote/AMZN/options/?straddle=false&amp;strike=222.5&amp;type=all" TargetMode="External"/><Relationship Id="rId112" Type="http://schemas.openxmlformats.org/officeDocument/2006/relationships/hyperlink" Target="https://finance.yahoo.com/quote/AMZN/options/?straddle=false&amp;strike=150&amp;type=all" TargetMode="External"/><Relationship Id="rId1699" Type="http://schemas.openxmlformats.org/officeDocument/2006/relationships/hyperlink" Target="https://finance.yahoo.com/quote/AMZN260306C00290000/" TargetMode="External"/><Relationship Id="rId2000" Type="http://schemas.openxmlformats.org/officeDocument/2006/relationships/hyperlink" Target="https://finance.yahoo.com/quote/AMZN/options/?straddle=false&amp;strike=200&amp;type=all" TargetMode="External"/><Relationship Id="rId929" Type="http://schemas.openxmlformats.org/officeDocument/2006/relationships/hyperlink" Target="https://finance.yahoo.com/quote/AMZN260515C00175000/" TargetMode="External"/><Relationship Id="rId1559" Type="http://schemas.openxmlformats.org/officeDocument/2006/relationships/hyperlink" Target="https://finance.yahoo.com/quote/AMZN260227P00205000/" TargetMode="External"/><Relationship Id="rId1766" Type="http://schemas.openxmlformats.org/officeDocument/2006/relationships/hyperlink" Target="https://finance.yahoo.com/quote/AMZN/options/?straddle=false&amp;strike=200&amp;type=all" TargetMode="External"/><Relationship Id="rId1973" Type="http://schemas.openxmlformats.org/officeDocument/2006/relationships/hyperlink" Target="https://finance.yahoo.com/quote/AMZN260320P00150000/" TargetMode="External"/><Relationship Id="rId58" Type="http://schemas.openxmlformats.org/officeDocument/2006/relationships/hyperlink" Target="https://finance.yahoo.com/quote/AMZN/options/?straddle=false&amp;strike=235&amp;type=all" TargetMode="External"/><Relationship Id="rId1419" Type="http://schemas.openxmlformats.org/officeDocument/2006/relationships/hyperlink" Target="https://finance.yahoo.com/quote/AMZN260227C00175000/" TargetMode="External"/><Relationship Id="rId1626" Type="http://schemas.openxmlformats.org/officeDocument/2006/relationships/hyperlink" Target="https://finance.yahoo.com/quote/AMZN/options/?straddle=false&amp;strike=170&amp;type=all" TargetMode="External"/><Relationship Id="rId1833" Type="http://schemas.openxmlformats.org/officeDocument/2006/relationships/hyperlink" Target="https://finance.yahoo.com/quote/AMZN260318C00202500/" TargetMode="External"/><Relationship Id="rId1900" Type="http://schemas.openxmlformats.org/officeDocument/2006/relationships/hyperlink" Target="https://finance.yahoo.com/quote/AMZN/options/?straddle=false&amp;strike=180&amp;type=all" TargetMode="External"/><Relationship Id="rId579" Type="http://schemas.openxmlformats.org/officeDocument/2006/relationships/hyperlink" Target="https://finance.yahoo.com/quote/AMZN260515P00300000/" TargetMode="External"/><Relationship Id="rId786" Type="http://schemas.openxmlformats.org/officeDocument/2006/relationships/hyperlink" Target="https://finance.yahoo.com/quote/AMZN/options/?straddle=false&amp;strike=315&amp;type=all" TargetMode="External"/><Relationship Id="rId993" Type="http://schemas.openxmlformats.org/officeDocument/2006/relationships/hyperlink" Target="https://finance.yahoo.com/quote/AMZN260515C00340000/" TargetMode="External"/><Relationship Id="rId2467" Type="http://schemas.openxmlformats.org/officeDocument/2006/relationships/hyperlink" Target="https://finance.yahoo.com/quote/AMZN260327P00255000/" TargetMode="External"/><Relationship Id="rId439" Type="http://schemas.openxmlformats.org/officeDocument/2006/relationships/hyperlink" Target="https://finance.yahoo.com/quote/AMZN260515C00200000/" TargetMode="External"/><Relationship Id="rId646" Type="http://schemas.openxmlformats.org/officeDocument/2006/relationships/hyperlink" Target="https://finance.yahoo.com/quote/AMZN/options/?straddle=false&amp;strike=215&amp;type=all" TargetMode="External"/><Relationship Id="rId1069" Type="http://schemas.openxmlformats.org/officeDocument/2006/relationships/hyperlink" Target="https://finance.yahoo.com/quote/AMZN260515C00275000/" TargetMode="External"/><Relationship Id="rId1276" Type="http://schemas.openxmlformats.org/officeDocument/2006/relationships/hyperlink" Target="https://finance.yahoo.com/quote/AMZN/options/?straddle=false&amp;strike=290&amp;type=all" TargetMode="External"/><Relationship Id="rId1483" Type="http://schemas.openxmlformats.org/officeDocument/2006/relationships/hyperlink" Target="https://finance.yahoo.com/quote/AMZN260227C00275000/" TargetMode="External"/><Relationship Id="rId2327" Type="http://schemas.openxmlformats.org/officeDocument/2006/relationships/hyperlink" Target="https://finance.yahoo.com/quote/AMZN260327C00212500/" TargetMode="External"/><Relationship Id="rId506" Type="http://schemas.openxmlformats.org/officeDocument/2006/relationships/hyperlink" Target="https://finance.yahoo.com/quote/AMZN/options/?straddle=false&amp;strike=115&amp;type=all" TargetMode="External"/><Relationship Id="rId853" Type="http://schemas.openxmlformats.org/officeDocument/2006/relationships/hyperlink" Target="https://finance.yahoo.com/quote/AMZN260515P00235000/" TargetMode="External"/><Relationship Id="rId1136" Type="http://schemas.openxmlformats.org/officeDocument/2006/relationships/hyperlink" Target="https://finance.yahoo.com/quote/AMZN/options/?straddle=false&amp;strike=190&amp;type=all" TargetMode="External"/><Relationship Id="rId1690" Type="http://schemas.openxmlformats.org/officeDocument/2006/relationships/hyperlink" Target="https://finance.yahoo.com/quote/AMZN/options/?straddle=false&amp;strike=265&amp;type=all" TargetMode="External"/><Relationship Id="rId2534" Type="http://schemas.openxmlformats.org/officeDocument/2006/relationships/hyperlink" Target="https://finance.yahoo.com/quote/AMZN/options/?straddle=false&amp;strike=220&amp;type=all" TargetMode="External"/><Relationship Id="rId713" Type="http://schemas.openxmlformats.org/officeDocument/2006/relationships/hyperlink" Target="https://finance.yahoo.com/quote/AMZN260515P00135000/" TargetMode="External"/><Relationship Id="rId920" Type="http://schemas.openxmlformats.org/officeDocument/2006/relationships/hyperlink" Target="https://finance.yahoo.com/quote/AMZN/options/?straddle=false&amp;strike=150&amp;type=all" TargetMode="External"/><Relationship Id="rId1343" Type="http://schemas.openxmlformats.org/officeDocument/2006/relationships/hyperlink" Target="https://finance.yahoo.com/quote/AMZN260515P00210000/" TargetMode="External"/><Relationship Id="rId1550" Type="http://schemas.openxmlformats.org/officeDocument/2006/relationships/hyperlink" Target="https://finance.yahoo.com/quote/AMZN/options/?straddle=false&amp;strike=192.5&amp;type=all" TargetMode="External"/><Relationship Id="rId2601" Type="http://schemas.openxmlformats.org/officeDocument/2006/relationships/hyperlink" Target="https://finance.yahoo.com/quote/AMZN260410P00177500/" TargetMode="External"/><Relationship Id="rId1203" Type="http://schemas.openxmlformats.org/officeDocument/2006/relationships/hyperlink" Target="https://finance.yahoo.com/quote/AMZN260515C00110000/" TargetMode="External"/><Relationship Id="rId1410" Type="http://schemas.openxmlformats.org/officeDocument/2006/relationships/hyperlink" Target="https://finance.yahoo.com/quote/AMZN/options/?straddle=false&amp;strike=150&amp;type=all" TargetMode="External"/><Relationship Id="rId296" Type="http://schemas.openxmlformats.org/officeDocument/2006/relationships/hyperlink" Target="https://finance.yahoo.com/quote/AMZN/options/?straddle=false&amp;strike=350&amp;type=all" TargetMode="External"/><Relationship Id="rId2184" Type="http://schemas.openxmlformats.org/officeDocument/2006/relationships/hyperlink" Target="https://finance.yahoo.com/quote/AMZN/options/?straddle=false&amp;strike=315&amp;type=all" TargetMode="External"/><Relationship Id="rId2391" Type="http://schemas.openxmlformats.org/officeDocument/2006/relationships/hyperlink" Target="https://finance.yahoo.com/quote/AMZN260327P00130000/" TargetMode="External"/><Relationship Id="rId156" Type="http://schemas.openxmlformats.org/officeDocument/2006/relationships/hyperlink" Target="https://finance.yahoo.com/quote/AMZN/options/?straddle=false&amp;strike=232.5&amp;type=all" TargetMode="External"/><Relationship Id="rId363" Type="http://schemas.openxmlformats.org/officeDocument/2006/relationships/hyperlink" Target="https://finance.yahoo.com/quote/AMZN260515P00260000/" TargetMode="External"/><Relationship Id="rId570" Type="http://schemas.openxmlformats.org/officeDocument/2006/relationships/hyperlink" Target="https://finance.yahoo.com/quote/AMZN/options/?straddle=false&amp;strike=275&amp;type=all" TargetMode="External"/><Relationship Id="rId2044" Type="http://schemas.openxmlformats.org/officeDocument/2006/relationships/hyperlink" Target="https://finance.yahoo.com/quote/AMZN/options/?straddle=false&amp;strike=275&amp;type=all" TargetMode="External"/><Relationship Id="rId2251" Type="http://schemas.openxmlformats.org/officeDocument/2006/relationships/hyperlink" Target="https://finance.yahoo.com/quote/AMZN260327P00222500/" TargetMode="External"/><Relationship Id="rId223" Type="http://schemas.openxmlformats.org/officeDocument/2006/relationships/hyperlink" Target="https://finance.yahoo.com/quote/AMZN260515C00160000/" TargetMode="External"/><Relationship Id="rId430" Type="http://schemas.openxmlformats.org/officeDocument/2006/relationships/hyperlink" Target="https://finance.yahoo.com/quote/AMZN/options/?straddle=false&amp;strike=175&amp;type=all" TargetMode="External"/><Relationship Id="rId1060" Type="http://schemas.openxmlformats.org/officeDocument/2006/relationships/hyperlink" Target="https://finance.yahoo.com/quote/AMZN/options/?straddle=false&amp;strike=250&amp;type=all" TargetMode="External"/><Relationship Id="rId2111" Type="http://schemas.openxmlformats.org/officeDocument/2006/relationships/hyperlink" Target="https://finance.yahoo.com/quote/AMZN260327C00187500/" TargetMode="External"/><Relationship Id="rId1877" Type="http://schemas.openxmlformats.org/officeDocument/2006/relationships/hyperlink" Target="https://finance.yahoo.com/quote/AMZN260318C00285000/" TargetMode="External"/><Relationship Id="rId1737" Type="http://schemas.openxmlformats.org/officeDocument/2006/relationships/hyperlink" Target="https://finance.yahoo.com/quote/AMZN260306P00160000/" TargetMode="External"/><Relationship Id="rId1944" Type="http://schemas.openxmlformats.org/officeDocument/2006/relationships/hyperlink" Target="https://finance.yahoo.com/quote/AMZN/options/?straddle=false&amp;strike=245&amp;type=all" TargetMode="External"/><Relationship Id="rId29" Type="http://schemas.openxmlformats.org/officeDocument/2006/relationships/hyperlink" Target="https://finance.yahoo.com/quote/AMZN260123C00195000/" TargetMode="External"/><Relationship Id="rId1804" Type="http://schemas.openxmlformats.org/officeDocument/2006/relationships/hyperlink" Target="https://finance.yahoo.com/quote/AMZN/options/?straddle=false&amp;strike=265&amp;type=all" TargetMode="External"/><Relationship Id="rId897" Type="http://schemas.openxmlformats.org/officeDocument/2006/relationships/hyperlink" Target="https://finance.yahoo.com/quote/AMZN260515P00360000/" TargetMode="External"/><Relationship Id="rId2578" Type="http://schemas.openxmlformats.org/officeDocument/2006/relationships/hyperlink" Target="https://finance.yahoo.com/quote/AMZN/options/?straddle=false&amp;strike=125&amp;type=all" TargetMode="External"/><Relationship Id="rId757" Type="http://schemas.openxmlformats.org/officeDocument/2006/relationships/hyperlink" Target="https://finance.yahoo.com/quote/AMZN260515P00245000/" TargetMode="External"/><Relationship Id="rId964" Type="http://schemas.openxmlformats.org/officeDocument/2006/relationships/hyperlink" Target="https://finance.yahoo.com/quote/AMZN/options/?straddle=false&amp;strike=260&amp;type=all" TargetMode="External"/><Relationship Id="rId1387" Type="http://schemas.openxmlformats.org/officeDocument/2006/relationships/hyperlink" Target="https://finance.yahoo.com/quote/AMZN260515P00320000/" TargetMode="External"/><Relationship Id="rId1594" Type="http://schemas.openxmlformats.org/officeDocument/2006/relationships/hyperlink" Target="https://finance.yahoo.com/quote/AMZN/options/?straddle=false&amp;strike=265&amp;type=all" TargetMode="External"/><Relationship Id="rId2438" Type="http://schemas.openxmlformats.org/officeDocument/2006/relationships/hyperlink" Target="https://finance.yahoo.com/quote/AMZN/options/?straddle=false&amp;strike=210&amp;type=all" TargetMode="External"/><Relationship Id="rId2645" Type="http://schemas.openxmlformats.org/officeDocument/2006/relationships/hyperlink" Target="https://finance.yahoo.com/quote/AMZN260410P00232500/" TargetMode="External"/><Relationship Id="rId93" Type="http://schemas.openxmlformats.org/officeDocument/2006/relationships/hyperlink" Target="https://finance.yahoo.com/quote/AMZN260123C00290000/" TargetMode="External"/><Relationship Id="rId617" Type="http://schemas.openxmlformats.org/officeDocument/2006/relationships/hyperlink" Target="https://finance.yahoo.com/quote/AMZN260515C00145000/" TargetMode="External"/><Relationship Id="rId824" Type="http://schemas.openxmlformats.org/officeDocument/2006/relationships/hyperlink" Target="https://finance.yahoo.com/quote/AMZN/options/?straddle=false&amp;strike=160&amp;type=all" TargetMode="External"/><Relationship Id="rId1247" Type="http://schemas.openxmlformats.org/officeDocument/2006/relationships/hyperlink" Target="https://finance.yahoo.com/quote/AMZN260515C00220000/" TargetMode="External"/><Relationship Id="rId1454" Type="http://schemas.openxmlformats.org/officeDocument/2006/relationships/hyperlink" Target="https://finance.yahoo.com/quote/AMZN/options/?straddle=false&amp;strike=217.5&amp;type=all" TargetMode="External"/><Relationship Id="rId1661" Type="http://schemas.openxmlformats.org/officeDocument/2006/relationships/hyperlink" Target="https://finance.yahoo.com/quote/AMZN260306C00215000/" TargetMode="External"/><Relationship Id="rId2505" Type="http://schemas.openxmlformats.org/officeDocument/2006/relationships/hyperlink" Target="https://finance.yahoo.com/quote/AMZN260410C00185000/" TargetMode="External"/><Relationship Id="rId1107" Type="http://schemas.openxmlformats.org/officeDocument/2006/relationships/hyperlink" Target="https://finance.yahoo.com/quote/AMZN260515P00120000/" TargetMode="External"/><Relationship Id="rId1314" Type="http://schemas.openxmlformats.org/officeDocument/2006/relationships/hyperlink" Target="https://finance.yahoo.com/quote/AMZN/options/?straddle=false&amp;strike=135&amp;type=all" TargetMode="External"/><Relationship Id="rId1521" Type="http://schemas.openxmlformats.org/officeDocument/2006/relationships/hyperlink" Target="https://finance.yahoo.com/quote/AMZN260227P00145000/" TargetMode="External"/><Relationship Id="rId20" Type="http://schemas.openxmlformats.org/officeDocument/2006/relationships/hyperlink" Target="https://finance.yahoo.com/quote/AMZN/options/?straddle=false&amp;strike=170&amp;type=all" TargetMode="External"/><Relationship Id="rId2088" Type="http://schemas.openxmlformats.org/officeDocument/2006/relationships/hyperlink" Target="https://finance.yahoo.com/quote/AMZN/options/?straddle=false&amp;strike=140&amp;type=all" TargetMode="External"/><Relationship Id="rId2295" Type="http://schemas.openxmlformats.org/officeDocument/2006/relationships/hyperlink" Target="https://finance.yahoo.com/quote/AMZN260327C00170000/" TargetMode="External"/><Relationship Id="rId267" Type="http://schemas.openxmlformats.org/officeDocument/2006/relationships/hyperlink" Target="https://finance.yahoo.com/quote/AMZN260515C00270000/" TargetMode="External"/><Relationship Id="rId474" Type="http://schemas.openxmlformats.org/officeDocument/2006/relationships/hyperlink" Target="https://finance.yahoo.com/quote/AMZN/options/?straddle=false&amp;strike=285&amp;type=all" TargetMode="External"/><Relationship Id="rId2155" Type="http://schemas.openxmlformats.org/officeDocument/2006/relationships/hyperlink" Target="https://finance.yahoo.com/quote/AMZN260327C00245000/" TargetMode="External"/><Relationship Id="rId127" Type="http://schemas.openxmlformats.org/officeDocument/2006/relationships/hyperlink" Target="https://finance.yahoo.com/quote/AMZN260123P00190000/" TargetMode="External"/><Relationship Id="rId681" Type="http://schemas.openxmlformats.org/officeDocument/2006/relationships/hyperlink" Target="https://finance.yahoo.com/quote/AMZN260515C00305000/" TargetMode="External"/><Relationship Id="rId2362" Type="http://schemas.openxmlformats.org/officeDocument/2006/relationships/hyperlink" Target="https://finance.yahoo.com/quote/AMZN/options/?straddle=false&amp;strike=270&amp;type=all" TargetMode="External"/><Relationship Id="rId334" Type="http://schemas.openxmlformats.org/officeDocument/2006/relationships/hyperlink" Target="https://finance.yahoo.com/quote/AMZN/options/?straddle=false&amp;strike=185&amp;type=all" TargetMode="External"/><Relationship Id="rId541" Type="http://schemas.openxmlformats.org/officeDocument/2006/relationships/hyperlink" Target="https://finance.yahoo.com/quote/AMZN260515P00205000/" TargetMode="External"/><Relationship Id="rId1171" Type="http://schemas.openxmlformats.org/officeDocument/2006/relationships/hyperlink" Target="https://finance.yahoo.com/quote/AMZN260515P00280000/" TargetMode="External"/><Relationship Id="rId2015" Type="http://schemas.openxmlformats.org/officeDocument/2006/relationships/hyperlink" Target="https://finance.yahoo.com/quote/AMZN260320P00220000/" TargetMode="External"/><Relationship Id="rId2222" Type="http://schemas.openxmlformats.org/officeDocument/2006/relationships/hyperlink" Target="https://finance.yahoo.com/quote/AMZN/options/?straddle=false&amp;strike=185&amp;type=all" TargetMode="External"/><Relationship Id="rId401" Type="http://schemas.openxmlformats.org/officeDocument/2006/relationships/hyperlink" Target="https://finance.yahoo.com/quote/AMZN260515C00105000/" TargetMode="External"/><Relationship Id="rId1031" Type="http://schemas.openxmlformats.org/officeDocument/2006/relationships/hyperlink" Target="https://finance.yahoo.com/quote/AMZN260515C00180000/" TargetMode="External"/><Relationship Id="rId1988" Type="http://schemas.openxmlformats.org/officeDocument/2006/relationships/hyperlink" Target="https://finance.yahoo.com/quote/AMZN/options/?straddle=false&amp;strike=185&amp;type=all" TargetMode="External"/><Relationship Id="rId1848" Type="http://schemas.openxmlformats.org/officeDocument/2006/relationships/hyperlink" Target="https://finance.yahoo.com/quote/AMZN/options/?straddle=false&amp;strike=220&amp;type=all" TargetMode="External"/><Relationship Id="rId191" Type="http://schemas.openxmlformats.org/officeDocument/2006/relationships/hyperlink" Target="https://finance.yahoo.com/quote/AMZN260123P00345000/" TargetMode="External"/><Relationship Id="rId1708" Type="http://schemas.openxmlformats.org/officeDocument/2006/relationships/hyperlink" Target="https://finance.yahoo.com/quote/AMZN/options/?straddle=false&amp;strike=310&amp;type=all" TargetMode="External"/><Relationship Id="rId1915" Type="http://schemas.openxmlformats.org/officeDocument/2006/relationships/hyperlink" Target="https://finance.yahoo.com/quote/AMZN260318P00200000/" TargetMode="External"/><Relationship Id="rId868" Type="http://schemas.openxmlformats.org/officeDocument/2006/relationships/hyperlink" Target="https://finance.yahoo.com/quote/AMZN/options/?straddle=false&amp;strike=270&amp;type=all" TargetMode="External"/><Relationship Id="rId1498" Type="http://schemas.openxmlformats.org/officeDocument/2006/relationships/hyperlink" Target="https://finance.yahoo.com/quote/AMZN/options/?straddle=false&amp;strike=310&amp;type=all" TargetMode="External"/><Relationship Id="rId2549" Type="http://schemas.openxmlformats.org/officeDocument/2006/relationships/hyperlink" Target="https://finance.yahoo.com/quote/AMZN260410C00245000/" TargetMode="External"/><Relationship Id="rId728" Type="http://schemas.openxmlformats.org/officeDocument/2006/relationships/hyperlink" Target="https://finance.yahoo.com/quote/AMZN/options/?straddle=false&amp;strike=170&amp;type=all" TargetMode="External"/><Relationship Id="rId935" Type="http://schemas.openxmlformats.org/officeDocument/2006/relationships/hyperlink" Target="https://finance.yahoo.com/quote/AMZN260515C00190000/" TargetMode="External"/><Relationship Id="rId1358" Type="http://schemas.openxmlformats.org/officeDocument/2006/relationships/hyperlink" Target="https://finance.yahoo.com/quote/AMZN/options/?straddle=false&amp;strike=245&amp;type=all" TargetMode="External"/><Relationship Id="rId1565" Type="http://schemas.openxmlformats.org/officeDocument/2006/relationships/hyperlink" Target="https://finance.yahoo.com/quote/AMZN260227P00212500/" TargetMode="External"/><Relationship Id="rId1772" Type="http://schemas.openxmlformats.org/officeDocument/2006/relationships/hyperlink" Target="https://finance.yahoo.com/quote/AMZN/options/?straddle=false&amp;strike=207.5&amp;type=all" TargetMode="External"/><Relationship Id="rId2409" Type="http://schemas.openxmlformats.org/officeDocument/2006/relationships/hyperlink" Target="https://finance.yahoo.com/quote/AMZN260327P00175000/" TargetMode="External"/><Relationship Id="rId2616" Type="http://schemas.openxmlformats.org/officeDocument/2006/relationships/hyperlink" Target="https://finance.yahoo.com/quote/AMZN/options/?straddle=false&amp;strike=195&amp;type=all" TargetMode="External"/><Relationship Id="rId64" Type="http://schemas.openxmlformats.org/officeDocument/2006/relationships/hyperlink" Target="https://finance.yahoo.com/quote/AMZN/options/?straddle=false&amp;strike=242.5&amp;type=all" TargetMode="External"/><Relationship Id="rId1218" Type="http://schemas.openxmlformats.org/officeDocument/2006/relationships/hyperlink" Target="https://finance.yahoo.com/quote/AMZN/options/?straddle=false&amp;strike=145&amp;type=all" TargetMode="External"/><Relationship Id="rId1425" Type="http://schemas.openxmlformats.org/officeDocument/2006/relationships/hyperlink" Target="https://finance.yahoo.com/quote/AMZN260227C00182500/" TargetMode="External"/><Relationship Id="rId1632" Type="http://schemas.openxmlformats.org/officeDocument/2006/relationships/hyperlink" Target="https://finance.yahoo.com/quote/AMZN/options/?straddle=false&amp;strike=177.5&amp;type=all" TargetMode="External"/><Relationship Id="rId2199" Type="http://schemas.openxmlformats.org/officeDocument/2006/relationships/hyperlink" Target="https://finance.yahoo.com/quote/AMZN260327P00140000/" TargetMode="External"/><Relationship Id="rId378" Type="http://schemas.openxmlformats.org/officeDocument/2006/relationships/hyperlink" Target="https://finance.yahoo.com/quote/AMZN/options/?straddle=false&amp;strike=295&amp;type=all" TargetMode="External"/><Relationship Id="rId585" Type="http://schemas.openxmlformats.org/officeDocument/2006/relationships/hyperlink" Target="https://finance.yahoo.com/quote/AMZN260515P00315000/" TargetMode="External"/><Relationship Id="rId792" Type="http://schemas.openxmlformats.org/officeDocument/2006/relationships/hyperlink" Target="https://finance.yahoo.com/quote/AMZN/options/?straddle=false&amp;strike=330&amp;type=all" TargetMode="External"/><Relationship Id="rId2059" Type="http://schemas.openxmlformats.org/officeDocument/2006/relationships/hyperlink" Target="https://finance.yahoo.com/quote/AMZN260320P00315000/" TargetMode="External"/><Relationship Id="rId2266" Type="http://schemas.openxmlformats.org/officeDocument/2006/relationships/hyperlink" Target="https://finance.yahoo.com/quote/AMZN/options/?straddle=false&amp;strike=240&amp;type=all" TargetMode="External"/><Relationship Id="rId2473" Type="http://schemas.openxmlformats.org/officeDocument/2006/relationships/hyperlink" Target="https://finance.yahoo.com/quote/AMZN260410C00120000/" TargetMode="External"/><Relationship Id="rId238" Type="http://schemas.openxmlformats.org/officeDocument/2006/relationships/hyperlink" Target="https://finance.yahoo.com/quote/AMZN/options/?straddle=false&amp;strike=195&amp;type=all" TargetMode="External"/><Relationship Id="rId445" Type="http://schemas.openxmlformats.org/officeDocument/2006/relationships/hyperlink" Target="https://finance.yahoo.com/quote/AMZN260515C00215000/" TargetMode="External"/><Relationship Id="rId652" Type="http://schemas.openxmlformats.org/officeDocument/2006/relationships/hyperlink" Target="https://finance.yahoo.com/quote/AMZN/options/?straddle=false&amp;strike=230&amp;type=all" TargetMode="External"/><Relationship Id="rId1075" Type="http://schemas.openxmlformats.org/officeDocument/2006/relationships/hyperlink" Target="https://finance.yahoo.com/quote/AMZN260515C00290000/" TargetMode="External"/><Relationship Id="rId1282" Type="http://schemas.openxmlformats.org/officeDocument/2006/relationships/hyperlink" Target="https://finance.yahoo.com/quote/AMZN/options/?straddle=false&amp;strike=305&amp;type=all" TargetMode="External"/><Relationship Id="rId2126" Type="http://schemas.openxmlformats.org/officeDocument/2006/relationships/hyperlink" Target="https://finance.yahoo.com/quote/AMZN/options/?straddle=false&amp;strike=205&amp;type=all" TargetMode="External"/><Relationship Id="rId2333" Type="http://schemas.openxmlformats.org/officeDocument/2006/relationships/hyperlink" Target="https://finance.yahoo.com/quote/AMZN260327C00220000/" TargetMode="External"/><Relationship Id="rId2540" Type="http://schemas.openxmlformats.org/officeDocument/2006/relationships/hyperlink" Target="https://finance.yahoo.com/quote/AMZN/options/?straddle=false&amp;strike=227.5&amp;type=all" TargetMode="External"/><Relationship Id="rId305" Type="http://schemas.openxmlformats.org/officeDocument/2006/relationships/hyperlink" Target="https://finance.yahoo.com/quote/AMZN260515P00115000/" TargetMode="External"/><Relationship Id="rId512" Type="http://schemas.openxmlformats.org/officeDocument/2006/relationships/hyperlink" Target="https://finance.yahoo.com/quote/AMZN/options/?straddle=false&amp;strike=130&amp;type=all" TargetMode="External"/><Relationship Id="rId1142" Type="http://schemas.openxmlformats.org/officeDocument/2006/relationships/hyperlink" Target="https://finance.yahoo.com/quote/AMZN/options/?straddle=false&amp;strike=205&amp;type=all" TargetMode="External"/><Relationship Id="rId2400" Type="http://schemas.openxmlformats.org/officeDocument/2006/relationships/hyperlink" Target="https://finance.yahoo.com/quote/AMZN/options/?straddle=false&amp;strike=150&amp;type=all" TargetMode="External"/><Relationship Id="rId1002" Type="http://schemas.openxmlformats.org/officeDocument/2006/relationships/hyperlink" Target="https://finance.yahoo.com/quote/AMZN/options/?straddle=false&amp;strike=105&amp;type=all" TargetMode="External"/><Relationship Id="rId1959" Type="http://schemas.openxmlformats.org/officeDocument/2006/relationships/hyperlink" Target="https://finance.yahoo.com/quote/AMZN260320P00115000/" TargetMode="External"/><Relationship Id="rId1819" Type="http://schemas.openxmlformats.org/officeDocument/2006/relationships/hyperlink" Target="https://finance.yahoo.com/quote/AMZN260318C00175000/" TargetMode="External"/><Relationship Id="rId2190" Type="http://schemas.openxmlformats.org/officeDocument/2006/relationships/hyperlink" Target="https://finance.yahoo.com/quote/AMZN/options/?straddle=false&amp;strike=330&amp;type=all" TargetMode="External"/><Relationship Id="rId162" Type="http://schemas.openxmlformats.org/officeDocument/2006/relationships/hyperlink" Target="https://finance.yahoo.com/quote/AMZN/options/?straddle=false&amp;strike=240&amp;type=all" TargetMode="External"/><Relationship Id="rId2050" Type="http://schemas.openxmlformats.org/officeDocument/2006/relationships/hyperlink" Target="https://finance.yahoo.com/quote/AMZN/options/?straddle=false&amp;strike=290&amp;type=all" TargetMode="External"/><Relationship Id="rId979" Type="http://schemas.openxmlformats.org/officeDocument/2006/relationships/hyperlink" Target="https://finance.yahoo.com/quote/AMZN260515C00300000/" TargetMode="External"/><Relationship Id="rId839" Type="http://schemas.openxmlformats.org/officeDocument/2006/relationships/hyperlink" Target="https://finance.yahoo.com/quote/AMZN260515P00200000/" TargetMode="External"/><Relationship Id="rId1469" Type="http://schemas.openxmlformats.org/officeDocument/2006/relationships/hyperlink" Target="https://finance.yahoo.com/quote/AMZN260227C00240000/" TargetMode="External"/><Relationship Id="rId1676" Type="http://schemas.openxmlformats.org/officeDocument/2006/relationships/hyperlink" Target="https://finance.yahoo.com/quote/AMZN/options/?straddle=false&amp;strike=232.5&amp;type=all" TargetMode="External"/><Relationship Id="rId1883" Type="http://schemas.openxmlformats.org/officeDocument/2006/relationships/hyperlink" Target="https://finance.yahoo.com/quote/AMZN260318P00155000/" TargetMode="External"/><Relationship Id="rId906" Type="http://schemas.openxmlformats.org/officeDocument/2006/relationships/hyperlink" Target="https://finance.yahoo.com/quote/AMZN/options/?straddle=false&amp;strike=115&amp;type=all" TargetMode="External"/><Relationship Id="rId1329" Type="http://schemas.openxmlformats.org/officeDocument/2006/relationships/hyperlink" Target="https://finance.yahoo.com/quote/AMZN260515P00175000/" TargetMode="External"/><Relationship Id="rId1536" Type="http://schemas.openxmlformats.org/officeDocument/2006/relationships/hyperlink" Target="https://finance.yahoo.com/quote/AMZN/options/?straddle=false&amp;strike=175&amp;type=all" TargetMode="External"/><Relationship Id="rId1743" Type="http://schemas.openxmlformats.org/officeDocument/2006/relationships/hyperlink" Target="https://finance.yahoo.com/quote/AMZN260306P00172500/" TargetMode="External"/><Relationship Id="rId1950" Type="http://schemas.openxmlformats.org/officeDocument/2006/relationships/hyperlink" Target="https://finance.yahoo.com/quote/AMZN/options/?straddle=false&amp;strike=90&amp;type=all" TargetMode="External"/><Relationship Id="rId35" Type="http://schemas.openxmlformats.org/officeDocument/2006/relationships/hyperlink" Target="https://finance.yahoo.com/quote/AMZN260123C00207500/" TargetMode="External"/><Relationship Id="rId1603" Type="http://schemas.openxmlformats.org/officeDocument/2006/relationships/hyperlink" Target="https://finance.yahoo.com/quote/AMZN260227P00310000/" TargetMode="External"/><Relationship Id="rId1810" Type="http://schemas.openxmlformats.org/officeDocument/2006/relationships/hyperlink" Target="https://finance.yahoo.com/quote/AMZN/options/?straddle=false&amp;strike=280&amp;type=all" TargetMode="External"/><Relationship Id="rId489" Type="http://schemas.openxmlformats.org/officeDocument/2006/relationships/hyperlink" Target="https://finance.yahoo.com/quote/AMZN260515C00325000/" TargetMode="External"/><Relationship Id="rId696" Type="http://schemas.openxmlformats.org/officeDocument/2006/relationships/hyperlink" Target="https://finance.yahoo.com/quote/AMZN/options/?straddle=false&amp;strike=350&amp;type=all" TargetMode="External"/><Relationship Id="rId2377" Type="http://schemas.openxmlformats.org/officeDocument/2006/relationships/hyperlink" Target="https://finance.yahoo.com/quote/AMZN260327C00310000/" TargetMode="External"/><Relationship Id="rId2584" Type="http://schemas.openxmlformats.org/officeDocument/2006/relationships/hyperlink" Target="https://finance.yahoo.com/quote/AMZN/options/?straddle=false&amp;strike=140&amp;type=all" TargetMode="External"/><Relationship Id="rId349" Type="http://schemas.openxmlformats.org/officeDocument/2006/relationships/hyperlink" Target="https://finance.yahoo.com/quote/AMZN260515P00225000/" TargetMode="External"/><Relationship Id="rId556" Type="http://schemas.openxmlformats.org/officeDocument/2006/relationships/hyperlink" Target="https://finance.yahoo.com/quote/AMZN/options/?straddle=false&amp;strike=240&amp;type=all" TargetMode="External"/><Relationship Id="rId763" Type="http://schemas.openxmlformats.org/officeDocument/2006/relationships/hyperlink" Target="https://finance.yahoo.com/quote/AMZN260515P00260000/" TargetMode="External"/><Relationship Id="rId1186" Type="http://schemas.openxmlformats.org/officeDocument/2006/relationships/hyperlink" Target="https://finance.yahoo.com/quote/AMZN/options/?straddle=false&amp;strike=315&amp;type=all" TargetMode="External"/><Relationship Id="rId1393" Type="http://schemas.openxmlformats.org/officeDocument/2006/relationships/hyperlink" Target="https://finance.yahoo.com/quote/AMZN260515P00340000/" TargetMode="External"/><Relationship Id="rId2237" Type="http://schemas.openxmlformats.org/officeDocument/2006/relationships/hyperlink" Target="https://finance.yahoo.com/quote/AMZN260327P00205000/" TargetMode="External"/><Relationship Id="rId2444" Type="http://schemas.openxmlformats.org/officeDocument/2006/relationships/hyperlink" Target="https://finance.yahoo.com/quote/AMZN/options/?straddle=false&amp;strike=217.5&amp;type=all" TargetMode="External"/><Relationship Id="rId209" Type="http://schemas.openxmlformats.org/officeDocument/2006/relationships/hyperlink" Target="https://finance.yahoo.com/quote/AMZN260515C00125000/" TargetMode="External"/><Relationship Id="rId416" Type="http://schemas.openxmlformats.org/officeDocument/2006/relationships/hyperlink" Target="https://finance.yahoo.com/quote/AMZN/options/?straddle=false&amp;strike=140&amp;type=all" TargetMode="External"/><Relationship Id="rId970" Type="http://schemas.openxmlformats.org/officeDocument/2006/relationships/hyperlink" Target="https://finance.yahoo.com/quote/AMZN/options/?straddle=false&amp;strike=275&amp;type=all" TargetMode="External"/><Relationship Id="rId1046" Type="http://schemas.openxmlformats.org/officeDocument/2006/relationships/hyperlink" Target="https://finance.yahoo.com/quote/AMZN/options/?straddle=false&amp;strike=215&amp;type=all" TargetMode="External"/><Relationship Id="rId1253" Type="http://schemas.openxmlformats.org/officeDocument/2006/relationships/hyperlink" Target="https://finance.yahoo.com/quote/AMZN260515C00235000/" TargetMode="External"/><Relationship Id="rId2651" Type="http://schemas.openxmlformats.org/officeDocument/2006/relationships/hyperlink" Target="https://finance.yahoo.com/quote/AMZN260410P00245000/" TargetMode="External"/><Relationship Id="rId623" Type="http://schemas.openxmlformats.org/officeDocument/2006/relationships/hyperlink" Target="https://finance.yahoo.com/quote/AMZN260515C00160000/" TargetMode="External"/><Relationship Id="rId830" Type="http://schemas.openxmlformats.org/officeDocument/2006/relationships/hyperlink" Target="https://finance.yahoo.com/quote/AMZN/options/?straddle=false&amp;strike=175&amp;type=all" TargetMode="External"/><Relationship Id="rId1460" Type="http://schemas.openxmlformats.org/officeDocument/2006/relationships/hyperlink" Target="https://finance.yahoo.com/quote/AMZN/options/?straddle=false&amp;strike=225&amp;type=all" TargetMode="External"/><Relationship Id="rId2304" Type="http://schemas.openxmlformats.org/officeDocument/2006/relationships/hyperlink" Target="https://finance.yahoo.com/quote/AMZN/options/?straddle=false&amp;strike=182.5&amp;type=all" TargetMode="External"/><Relationship Id="rId2511" Type="http://schemas.openxmlformats.org/officeDocument/2006/relationships/hyperlink" Target="https://finance.yahoo.com/quote/AMZN260410C00192500/" TargetMode="External"/><Relationship Id="rId1113" Type="http://schemas.openxmlformats.org/officeDocument/2006/relationships/hyperlink" Target="https://finance.yahoo.com/quote/AMZN260515P00135000/" TargetMode="External"/><Relationship Id="rId1320" Type="http://schemas.openxmlformats.org/officeDocument/2006/relationships/hyperlink" Target="https://finance.yahoo.com/quote/AMZN/options/?straddle=false&amp;strike=150&amp;type=all" TargetMode="External"/><Relationship Id="rId2094" Type="http://schemas.openxmlformats.org/officeDocument/2006/relationships/hyperlink" Target="https://finance.yahoo.com/quote/AMZN/options/?straddle=false&amp;strike=155&amp;type=all" TargetMode="External"/><Relationship Id="rId273" Type="http://schemas.openxmlformats.org/officeDocument/2006/relationships/hyperlink" Target="https://finance.yahoo.com/quote/AMZN260515C00285000/" TargetMode="External"/><Relationship Id="rId480" Type="http://schemas.openxmlformats.org/officeDocument/2006/relationships/hyperlink" Target="https://finance.yahoo.com/quote/AMZN/options/?straddle=false&amp;strike=300&amp;type=all" TargetMode="External"/><Relationship Id="rId2161" Type="http://schemas.openxmlformats.org/officeDocument/2006/relationships/hyperlink" Target="https://finance.yahoo.com/quote/AMZN260327C00260000/" TargetMode="External"/><Relationship Id="rId133" Type="http://schemas.openxmlformats.org/officeDocument/2006/relationships/hyperlink" Target="https://finance.yahoo.com/quote/AMZN260123P00205000/" TargetMode="External"/><Relationship Id="rId340" Type="http://schemas.openxmlformats.org/officeDocument/2006/relationships/hyperlink" Target="https://finance.yahoo.com/quote/AMZN/options/?straddle=false&amp;strike=200&amp;type=all" TargetMode="External"/><Relationship Id="rId2021" Type="http://schemas.openxmlformats.org/officeDocument/2006/relationships/hyperlink" Target="https://finance.yahoo.com/quote/AMZN260320P00227500/" TargetMode="External"/><Relationship Id="rId200" Type="http://schemas.openxmlformats.org/officeDocument/2006/relationships/hyperlink" Target="https://finance.yahoo.com/quote/AMZN/options/?straddle=false&amp;strike=370&amp;type=all" TargetMode="External"/><Relationship Id="rId1787" Type="http://schemas.openxmlformats.org/officeDocument/2006/relationships/hyperlink" Target="https://finance.yahoo.com/quote/AMZN260306P00227500/" TargetMode="External"/><Relationship Id="rId1994" Type="http://schemas.openxmlformats.org/officeDocument/2006/relationships/hyperlink" Target="https://finance.yahoo.com/quote/AMZN/options/?straddle=false&amp;strike=192.5&amp;type=all" TargetMode="External"/><Relationship Id="rId79" Type="http://schemas.openxmlformats.org/officeDocument/2006/relationships/hyperlink" Target="https://finance.yahoo.com/quote/AMZN260123C00262500/" TargetMode="External"/><Relationship Id="rId1647" Type="http://schemas.openxmlformats.org/officeDocument/2006/relationships/hyperlink" Target="https://finance.yahoo.com/quote/AMZN260306C00197500/" TargetMode="External"/><Relationship Id="rId1854" Type="http://schemas.openxmlformats.org/officeDocument/2006/relationships/hyperlink" Target="https://finance.yahoo.com/quote/AMZN/options/?straddle=false&amp;strike=227.5&amp;type=all" TargetMode="External"/><Relationship Id="rId1507" Type="http://schemas.openxmlformats.org/officeDocument/2006/relationships/hyperlink" Target="https://finance.yahoo.com/quote/AMZN260227C00335000/" TargetMode="External"/><Relationship Id="rId1714" Type="http://schemas.openxmlformats.org/officeDocument/2006/relationships/hyperlink" Target="https://finance.yahoo.com/quote/AMZN/options/?straddle=false&amp;strike=325&amp;type=all" TargetMode="External"/><Relationship Id="rId1921" Type="http://schemas.openxmlformats.org/officeDocument/2006/relationships/hyperlink" Target="https://finance.yahoo.com/quote/AMZN260318P00207500/" TargetMode="External"/><Relationship Id="rId2488" Type="http://schemas.openxmlformats.org/officeDocument/2006/relationships/hyperlink" Target="https://finance.yahoo.com/quote/AMZN/options/?straddle=false&amp;strike=155&amp;type=all" TargetMode="External"/><Relationship Id="rId1297" Type="http://schemas.openxmlformats.org/officeDocument/2006/relationships/hyperlink" Target="https://finance.yahoo.com/quote/AMZN260515C00360000/" TargetMode="External"/><Relationship Id="rId667" Type="http://schemas.openxmlformats.org/officeDocument/2006/relationships/hyperlink" Target="https://finance.yahoo.com/quote/AMZN260515C00270000/" TargetMode="External"/><Relationship Id="rId874" Type="http://schemas.openxmlformats.org/officeDocument/2006/relationships/hyperlink" Target="https://finance.yahoo.com/quote/AMZN/options/?straddle=false&amp;strike=285&amp;type=all" TargetMode="External"/><Relationship Id="rId2348" Type="http://schemas.openxmlformats.org/officeDocument/2006/relationships/hyperlink" Target="https://finance.yahoo.com/quote/AMZN/options/?straddle=false&amp;strike=237.5&amp;type=all" TargetMode="External"/><Relationship Id="rId2555" Type="http://schemas.openxmlformats.org/officeDocument/2006/relationships/hyperlink" Target="https://finance.yahoo.com/quote/AMZN260410C00260000/" TargetMode="External"/><Relationship Id="rId527" Type="http://schemas.openxmlformats.org/officeDocument/2006/relationships/hyperlink" Target="https://finance.yahoo.com/quote/AMZN260515P00170000/" TargetMode="External"/><Relationship Id="rId734" Type="http://schemas.openxmlformats.org/officeDocument/2006/relationships/hyperlink" Target="https://finance.yahoo.com/quote/AMZN/options/?straddle=false&amp;strike=185&amp;type=all" TargetMode="External"/><Relationship Id="rId941" Type="http://schemas.openxmlformats.org/officeDocument/2006/relationships/hyperlink" Target="https://finance.yahoo.com/quote/AMZN260515C00205000/" TargetMode="External"/><Relationship Id="rId1157" Type="http://schemas.openxmlformats.org/officeDocument/2006/relationships/hyperlink" Target="https://finance.yahoo.com/quote/AMZN260515P00245000/" TargetMode="External"/><Relationship Id="rId1364" Type="http://schemas.openxmlformats.org/officeDocument/2006/relationships/hyperlink" Target="https://finance.yahoo.com/quote/AMZN/options/?straddle=false&amp;strike=260&amp;type=all" TargetMode="External"/><Relationship Id="rId1571" Type="http://schemas.openxmlformats.org/officeDocument/2006/relationships/hyperlink" Target="https://finance.yahoo.com/quote/AMZN260227P00220000/" TargetMode="External"/><Relationship Id="rId2208" Type="http://schemas.openxmlformats.org/officeDocument/2006/relationships/hyperlink" Target="https://finance.yahoo.com/quote/AMZN/options/?straddle=false&amp;strike=160&amp;type=all" TargetMode="External"/><Relationship Id="rId2415" Type="http://schemas.openxmlformats.org/officeDocument/2006/relationships/hyperlink" Target="https://finance.yahoo.com/quote/AMZN260327P00182500/" TargetMode="External"/><Relationship Id="rId2622" Type="http://schemas.openxmlformats.org/officeDocument/2006/relationships/hyperlink" Target="https://finance.yahoo.com/quote/AMZN/options/?straddle=false&amp;strike=202.5&amp;type=all" TargetMode="External"/><Relationship Id="rId70" Type="http://schemas.openxmlformats.org/officeDocument/2006/relationships/hyperlink" Target="https://finance.yahoo.com/quote/AMZN/options/?straddle=false&amp;strike=250&amp;type=all" TargetMode="External"/><Relationship Id="rId801" Type="http://schemas.openxmlformats.org/officeDocument/2006/relationships/hyperlink" Target="https://finance.yahoo.com/quote/AMZN260515P00105000/" TargetMode="External"/><Relationship Id="rId1017" Type="http://schemas.openxmlformats.org/officeDocument/2006/relationships/hyperlink" Target="https://finance.yahoo.com/quote/AMZN260515C00145000/" TargetMode="External"/><Relationship Id="rId1224" Type="http://schemas.openxmlformats.org/officeDocument/2006/relationships/hyperlink" Target="https://finance.yahoo.com/quote/AMZN/options/?straddle=false&amp;strike=160&amp;type=all" TargetMode="External"/><Relationship Id="rId1431" Type="http://schemas.openxmlformats.org/officeDocument/2006/relationships/hyperlink" Target="https://finance.yahoo.com/quote/AMZN260227C00190000/" TargetMode="External"/><Relationship Id="rId177" Type="http://schemas.openxmlformats.org/officeDocument/2006/relationships/hyperlink" Target="https://finance.yahoo.com/quote/AMZN260123P00260000/" TargetMode="External"/><Relationship Id="rId384" Type="http://schemas.openxmlformats.org/officeDocument/2006/relationships/hyperlink" Target="https://finance.yahoo.com/quote/AMZN/options/?straddle=false&amp;strike=310&amp;type=all" TargetMode="External"/><Relationship Id="rId591" Type="http://schemas.openxmlformats.org/officeDocument/2006/relationships/hyperlink" Target="https://finance.yahoo.com/quote/AMZN260515P00330000/" TargetMode="External"/><Relationship Id="rId2065" Type="http://schemas.openxmlformats.org/officeDocument/2006/relationships/hyperlink" Target="https://finance.yahoo.com/quote/AMZN260320P00330000/" TargetMode="External"/><Relationship Id="rId2272" Type="http://schemas.openxmlformats.org/officeDocument/2006/relationships/hyperlink" Target="https://finance.yahoo.com/quote/AMZN/options/?straddle=false&amp;strike=255&amp;type=all" TargetMode="External"/><Relationship Id="rId244" Type="http://schemas.openxmlformats.org/officeDocument/2006/relationships/hyperlink" Target="https://finance.yahoo.com/quote/AMZN/options/?straddle=false&amp;strike=210&amp;type=all" TargetMode="External"/><Relationship Id="rId1081" Type="http://schemas.openxmlformats.org/officeDocument/2006/relationships/hyperlink" Target="https://finance.yahoo.com/quote/AMZN260515C00305000/" TargetMode="External"/><Relationship Id="rId451" Type="http://schemas.openxmlformats.org/officeDocument/2006/relationships/hyperlink" Target="https://finance.yahoo.com/quote/AMZN260515C00230000/" TargetMode="External"/><Relationship Id="rId2132" Type="http://schemas.openxmlformats.org/officeDocument/2006/relationships/hyperlink" Target="https://finance.yahoo.com/quote/AMZN/options/?straddle=false&amp;strike=212.5&amp;type=all" TargetMode="External"/><Relationship Id="rId104" Type="http://schemas.openxmlformats.org/officeDocument/2006/relationships/hyperlink" Target="https://finance.yahoo.com/quote/AMZN/options/?straddle=false&amp;strike=130&amp;type=all" TargetMode="External"/><Relationship Id="rId311" Type="http://schemas.openxmlformats.org/officeDocument/2006/relationships/hyperlink" Target="https://finance.yahoo.com/quote/AMZN260515P00130000/" TargetMode="External"/><Relationship Id="rId1898" Type="http://schemas.openxmlformats.org/officeDocument/2006/relationships/hyperlink" Target="https://finance.yahoo.com/quote/AMZN/options/?straddle=false&amp;strike=177.5&amp;type=all" TargetMode="External"/><Relationship Id="rId1758" Type="http://schemas.openxmlformats.org/officeDocument/2006/relationships/hyperlink" Target="https://finance.yahoo.com/quote/AMZN/options/?straddle=false&amp;strike=190&amp;type=all" TargetMode="External"/><Relationship Id="rId1965" Type="http://schemas.openxmlformats.org/officeDocument/2006/relationships/hyperlink" Target="https://finance.yahoo.com/quote/AMZN260320P00130000/" TargetMode="External"/><Relationship Id="rId1618" Type="http://schemas.openxmlformats.org/officeDocument/2006/relationships/hyperlink" Target="https://finance.yahoo.com/quote/AMZN/options/?straddle=false&amp;strike=150&amp;type=all" TargetMode="External"/><Relationship Id="rId1825" Type="http://schemas.openxmlformats.org/officeDocument/2006/relationships/hyperlink" Target="https://finance.yahoo.com/quote/AMZN260318C00192500/" TargetMode="External"/><Relationship Id="rId2599" Type="http://schemas.openxmlformats.org/officeDocument/2006/relationships/hyperlink" Target="https://finance.yahoo.com/quote/AMZN260410P00175000/" TargetMode="External"/><Relationship Id="rId778" Type="http://schemas.openxmlformats.org/officeDocument/2006/relationships/hyperlink" Target="https://finance.yahoo.com/quote/AMZN/options/?straddle=false&amp;strike=295&amp;type=all" TargetMode="External"/><Relationship Id="rId985" Type="http://schemas.openxmlformats.org/officeDocument/2006/relationships/hyperlink" Target="https://finance.yahoo.com/quote/AMZN260515C00315000/" TargetMode="External"/><Relationship Id="rId2459" Type="http://schemas.openxmlformats.org/officeDocument/2006/relationships/hyperlink" Target="https://finance.yahoo.com/quote/AMZN260327P00237500/" TargetMode="External"/><Relationship Id="rId638" Type="http://schemas.openxmlformats.org/officeDocument/2006/relationships/hyperlink" Target="https://finance.yahoo.com/quote/AMZN/options/?straddle=false&amp;strike=195&amp;type=all" TargetMode="External"/><Relationship Id="rId845" Type="http://schemas.openxmlformats.org/officeDocument/2006/relationships/hyperlink" Target="https://finance.yahoo.com/quote/AMZN260515P00215000/" TargetMode="External"/><Relationship Id="rId1268" Type="http://schemas.openxmlformats.org/officeDocument/2006/relationships/hyperlink" Target="https://finance.yahoo.com/quote/AMZN/options/?straddle=false&amp;strike=270&amp;type=all" TargetMode="External"/><Relationship Id="rId1475" Type="http://schemas.openxmlformats.org/officeDocument/2006/relationships/hyperlink" Target="https://finance.yahoo.com/quote/AMZN260227C00255000/" TargetMode="External"/><Relationship Id="rId1682" Type="http://schemas.openxmlformats.org/officeDocument/2006/relationships/hyperlink" Target="https://finance.yahoo.com/quote/AMZN/options/?straddle=false&amp;strike=245&amp;type=all" TargetMode="External"/><Relationship Id="rId2319" Type="http://schemas.openxmlformats.org/officeDocument/2006/relationships/hyperlink" Target="https://finance.yahoo.com/quote/AMZN260327C00202500/" TargetMode="External"/><Relationship Id="rId2526" Type="http://schemas.openxmlformats.org/officeDocument/2006/relationships/hyperlink" Target="https://finance.yahoo.com/quote/AMZN/options/?straddle=false&amp;strike=210&amp;type=all" TargetMode="External"/><Relationship Id="rId705" Type="http://schemas.openxmlformats.org/officeDocument/2006/relationships/hyperlink" Target="https://finance.yahoo.com/quote/AMZN260515P00115000/" TargetMode="External"/><Relationship Id="rId1128" Type="http://schemas.openxmlformats.org/officeDocument/2006/relationships/hyperlink" Target="https://finance.yahoo.com/quote/AMZN/options/?straddle=false&amp;strike=170&amp;type=all" TargetMode="External"/><Relationship Id="rId1335" Type="http://schemas.openxmlformats.org/officeDocument/2006/relationships/hyperlink" Target="https://finance.yahoo.com/quote/AMZN260515P00190000/" TargetMode="External"/><Relationship Id="rId1542" Type="http://schemas.openxmlformats.org/officeDocument/2006/relationships/hyperlink" Target="https://finance.yahoo.com/quote/AMZN/options/?straddle=false&amp;strike=182.5&amp;type=all" TargetMode="External"/><Relationship Id="rId912" Type="http://schemas.openxmlformats.org/officeDocument/2006/relationships/hyperlink" Target="https://finance.yahoo.com/quote/AMZN/options/?straddle=false&amp;strike=130&amp;type=all" TargetMode="External"/><Relationship Id="rId41" Type="http://schemas.openxmlformats.org/officeDocument/2006/relationships/hyperlink" Target="https://finance.yahoo.com/quote/AMZN260123C00215000/" TargetMode="External"/><Relationship Id="rId1402" Type="http://schemas.openxmlformats.org/officeDocument/2006/relationships/hyperlink" Target="https://finance.yahoo.com/quote/AMZN/options/?straddle=false&amp;strike=125&amp;type=all" TargetMode="External"/><Relationship Id="rId288" Type="http://schemas.openxmlformats.org/officeDocument/2006/relationships/hyperlink" Target="https://finance.yahoo.com/quote/AMZN/options/?straddle=false&amp;strike=320&amp;type=all" TargetMode="External"/><Relationship Id="rId495" Type="http://schemas.openxmlformats.org/officeDocument/2006/relationships/hyperlink" Target="https://finance.yahoo.com/quote/AMZN260515C00350000/" TargetMode="External"/><Relationship Id="rId2176" Type="http://schemas.openxmlformats.org/officeDocument/2006/relationships/hyperlink" Target="https://finance.yahoo.com/quote/AMZN/options/?straddle=false&amp;strike=295&amp;type=all" TargetMode="External"/><Relationship Id="rId2383" Type="http://schemas.openxmlformats.org/officeDocument/2006/relationships/hyperlink" Target="https://finance.yahoo.com/quote/AMZN260327C00325000/" TargetMode="External"/><Relationship Id="rId2590" Type="http://schemas.openxmlformats.org/officeDocument/2006/relationships/hyperlink" Target="https://finance.yahoo.com/quote/AMZN/options/?straddle=false&amp;strike=155&amp;type=all" TargetMode="External"/><Relationship Id="rId148" Type="http://schemas.openxmlformats.org/officeDocument/2006/relationships/hyperlink" Target="https://finance.yahoo.com/quote/AMZN/options/?straddle=false&amp;strike=222.5&amp;type=all" TargetMode="External"/><Relationship Id="rId355" Type="http://schemas.openxmlformats.org/officeDocument/2006/relationships/hyperlink" Target="https://finance.yahoo.com/quote/AMZN260515P00240000/" TargetMode="External"/><Relationship Id="rId562" Type="http://schemas.openxmlformats.org/officeDocument/2006/relationships/hyperlink" Target="https://finance.yahoo.com/quote/AMZN/options/?straddle=false&amp;strike=255&amp;type=all" TargetMode="External"/><Relationship Id="rId1192" Type="http://schemas.openxmlformats.org/officeDocument/2006/relationships/hyperlink" Target="https://finance.yahoo.com/quote/AMZN/options/?straddle=false&amp;strike=330&amp;type=all" TargetMode="External"/><Relationship Id="rId2036" Type="http://schemas.openxmlformats.org/officeDocument/2006/relationships/hyperlink" Target="https://finance.yahoo.com/quote/AMZN/options/?straddle=false&amp;strike=255&amp;type=all" TargetMode="External"/><Relationship Id="rId2243" Type="http://schemas.openxmlformats.org/officeDocument/2006/relationships/hyperlink" Target="https://finance.yahoo.com/quote/AMZN260327P00212500/" TargetMode="External"/><Relationship Id="rId2450" Type="http://schemas.openxmlformats.org/officeDocument/2006/relationships/hyperlink" Target="https://finance.yahoo.com/quote/AMZN/options/?straddle=false&amp;strike=225&amp;type=all" TargetMode="External"/><Relationship Id="rId215" Type="http://schemas.openxmlformats.org/officeDocument/2006/relationships/hyperlink" Target="https://finance.yahoo.com/quote/AMZN260515C00140000/" TargetMode="External"/><Relationship Id="rId422" Type="http://schemas.openxmlformats.org/officeDocument/2006/relationships/hyperlink" Target="https://finance.yahoo.com/quote/AMZN/options/?straddle=false&amp;strike=155&amp;type=all" TargetMode="External"/><Relationship Id="rId1052" Type="http://schemas.openxmlformats.org/officeDocument/2006/relationships/hyperlink" Target="https://finance.yahoo.com/quote/AMZN/options/?straddle=false&amp;strike=230&amp;type=all" TargetMode="External"/><Relationship Id="rId2103" Type="http://schemas.openxmlformats.org/officeDocument/2006/relationships/hyperlink" Target="https://finance.yahoo.com/quote/AMZN260327C00177500/" TargetMode="External"/><Relationship Id="rId2310" Type="http://schemas.openxmlformats.org/officeDocument/2006/relationships/hyperlink" Target="https://finance.yahoo.com/quote/AMZN/options/?straddle=false&amp;strike=190&amp;type=all" TargetMode="External"/><Relationship Id="rId1869" Type="http://schemas.openxmlformats.org/officeDocument/2006/relationships/hyperlink" Target="https://finance.yahoo.com/quote/AMZN260318C00265000/" TargetMode="External"/><Relationship Id="rId1729" Type="http://schemas.openxmlformats.org/officeDocument/2006/relationships/hyperlink" Target="https://finance.yahoo.com/quote/AMZN260306P00140000/" TargetMode="External"/><Relationship Id="rId1936" Type="http://schemas.openxmlformats.org/officeDocument/2006/relationships/hyperlink" Target="https://finance.yahoo.com/quote/AMZN/options/?straddle=false&amp;strike=225&amp;type=all" TargetMode="External"/><Relationship Id="rId5" Type="http://schemas.openxmlformats.org/officeDocument/2006/relationships/hyperlink" Target="https://finance.yahoo.com/quote/AMZN260123C00135000/" TargetMode="External"/><Relationship Id="rId889" Type="http://schemas.openxmlformats.org/officeDocument/2006/relationships/hyperlink" Target="https://finance.yahoo.com/quote/AMZN260515P00325000/" TargetMode="External"/><Relationship Id="rId749" Type="http://schemas.openxmlformats.org/officeDocument/2006/relationships/hyperlink" Target="https://finance.yahoo.com/quote/AMZN260515P00225000/" TargetMode="External"/><Relationship Id="rId1379" Type="http://schemas.openxmlformats.org/officeDocument/2006/relationships/hyperlink" Target="https://finance.yahoo.com/quote/AMZN260515P00300000/" TargetMode="External"/><Relationship Id="rId1586" Type="http://schemas.openxmlformats.org/officeDocument/2006/relationships/hyperlink" Target="https://finance.yahoo.com/quote/AMZN/options/?straddle=false&amp;strike=245&amp;type=all" TargetMode="External"/><Relationship Id="rId609" Type="http://schemas.openxmlformats.org/officeDocument/2006/relationships/hyperlink" Target="https://finance.yahoo.com/quote/AMZN260515C00125000/" TargetMode="External"/><Relationship Id="rId956" Type="http://schemas.openxmlformats.org/officeDocument/2006/relationships/hyperlink" Target="https://finance.yahoo.com/quote/AMZN/options/?straddle=false&amp;strike=240&amp;type=all" TargetMode="External"/><Relationship Id="rId1239" Type="http://schemas.openxmlformats.org/officeDocument/2006/relationships/hyperlink" Target="https://finance.yahoo.com/quote/AMZN260515C00200000/" TargetMode="External"/><Relationship Id="rId1793" Type="http://schemas.openxmlformats.org/officeDocument/2006/relationships/hyperlink" Target="https://finance.yahoo.com/quote/AMZN260306P00240000/" TargetMode="External"/><Relationship Id="rId2637" Type="http://schemas.openxmlformats.org/officeDocument/2006/relationships/hyperlink" Target="https://finance.yahoo.com/quote/AMZN260410P00222500/" TargetMode="External"/><Relationship Id="rId85" Type="http://schemas.openxmlformats.org/officeDocument/2006/relationships/hyperlink" Target="https://finance.yahoo.com/quote/AMZN260123C00270000/" TargetMode="External"/><Relationship Id="rId816" Type="http://schemas.openxmlformats.org/officeDocument/2006/relationships/hyperlink" Target="https://finance.yahoo.com/quote/AMZN/options/?straddle=false&amp;strike=140&amp;type=all" TargetMode="External"/><Relationship Id="rId1446" Type="http://schemas.openxmlformats.org/officeDocument/2006/relationships/hyperlink" Target="https://finance.yahoo.com/quote/AMZN/options/?straddle=false&amp;strike=207.5&amp;type=all" TargetMode="External"/><Relationship Id="rId1653" Type="http://schemas.openxmlformats.org/officeDocument/2006/relationships/hyperlink" Target="https://finance.yahoo.com/quote/AMZN260306C00205000/" TargetMode="External"/><Relationship Id="rId1860" Type="http://schemas.openxmlformats.org/officeDocument/2006/relationships/hyperlink" Target="https://finance.yahoo.com/quote/AMZN/options/?straddle=false&amp;strike=235&amp;type=all" TargetMode="External"/><Relationship Id="rId1306" Type="http://schemas.openxmlformats.org/officeDocument/2006/relationships/hyperlink" Target="https://finance.yahoo.com/quote/AMZN/options/?straddle=false&amp;strike=115&amp;type=all" TargetMode="External"/><Relationship Id="rId1513" Type="http://schemas.openxmlformats.org/officeDocument/2006/relationships/hyperlink" Target="https://finance.yahoo.com/quote/AMZN260227P00125000/" TargetMode="External"/><Relationship Id="rId1720" Type="http://schemas.openxmlformats.org/officeDocument/2006/relationships/hyperlink" Target="https://finance.yahoo.com/quote/AMZN/options/?straddle=false&amp;strike=340&amp;type=all" TargetMode="External"/><Relationship Id="rId12" Type="http://schemas.openxmlformats.org/officeDocument/2006/relationships/hyperlink" Target="https://finance.yahoo.com/quote/AMZN/options/?straddle=false&amp;strike=150&amp;type=all" TargetMode="External"/><Relationship Id="rId399" Type="http://schemas.openxmlformats.org/officeDocument/2006/relationships/hyperlink" Target="https://finance.yahoo.com/quote/AMZN260515P00370000/" TargetMode="External"/><Relationship Id="rId2287" Type="http://schemas.openxmlformats.org/officeDocument/2006/relationships/hyperlink" Target="https://finance.yahoo.com/quote/AMZN260327C00150000/" TargetMode="External"/><Relationship Id="rId2494" Type="http://schemas.openxmlformats.org/officeDocument/2006/relationships/hyperlink" Target="https://finance.yahoo.com/quote/AMZN/options/?straddle=false&amp;strike=170&amp;type=all" TargetMode="External"/><Relationship Id="rId259" Type="http://schemas.openxmlformats.org/officeDocument/2006/relationships/hyperlink" Target="https://finance.yahoo.com/quote/AMZN260515C00250000/" TargetMode="External"/><Relationship Id="rId466" Type="http://schemas.openxmlformats.org/officeDocument/2006/relationships/hyperlink" Target="https://finance.yahoo.com/quote/AMZN/options/?straddle=false&amp;strike=265&amp;type=all" TargetMode="External"/><Relationship Id="rId673" Type="http://schemas.openxmlformats.org/officeDocument/2006/relationships/hyperlink" Target="https://finance.yahoo.com/quote/AMZN260515C00285000/" TargetMode="External"/><Relationship Id="rId880" Type="http://schemas.openxmlformats.org/officeDocument/2006/relationships/hyperlink" Target="https://finance.yahoo.com/quote/AMZN/options/?straddle=false&amp;strike=300&amp;type=all" TargetMode="External"/><Relationship Id="rId1096" Type="http://schemas.openxmlformats.org/officeDocument/2006/relationships/hyperlink" Target="https://finance.yahoo.com/quote/AMZN/options/?straddle=false&amp;strike=350&amp;type=all" TargetMode="External"/><Relationship Id="rId2147" Type="http://schemas.openxmlformats.org/officeDocument/2006/relationships/hyperlink" Target="https://finance.yahoo.com/quote/AMZN260327C00232500/" TargetMode="External"/><Relationship Id="rId2354" Type="http://schemas.openxmlformats.org/officeDocument/2006/relationships/hyperlink" Target="https://finance.yahoo.com/quote/AMZN/options/?straddle=false&amp;strike=250&amp;type=all" TargetMode="External"/><Relationship Id="rId2561" Type="http://schemas.openxmlformats.org/officeDocument/2006/relationships/hyperlink" Target="https://finance.yahoo.com/quote/AMZN260410C00275000/" TargetMode="External"/><Relationship Id="rId119" Type="http://schemas.openxmlformats.org/officeDocument/2006/relationships/hyperlink" Target="https://finance.yahoo.com/quote/AMZN260123P00170000/" TargetMode="External"/><Relationship Id="rId326" Type="http://schemas.openxmlformats.org/officeDocument/2006/relationships/hyperlink" Target="https://finance.yahoo.com/quote/AMZN/options/?straddle=false&amp;strike=165&amp;type=all" TargetMode="External"/><Relationship Id="rId533" Type="http://schemas.openxmlformats.org/officeDocument/2006/relationships/hyperlink" Target="https://finance.yahoo.com/quote/AMZN260515P00185000/" TargetMode="External"/><Relationship Id="rId1163" Type="http://schemas.openxmlformats.org/officeDocument/2006/relationships/hyperlink" Target="https://finance.yahoo.com/quote/AMZN260515P00260000/" TargetMode="External"/><Relationship Id="rId1370" Type="http://schemas.openxmlformats.org/officeDocument/2006/relationships/hyperlink" Target="https://finance.yahoo.com/quote/AMZN/options/?straddle=false&amp;strike=275&amp;type=all" TargetMode="External"/><Relationship Id="rId2007" Type="http://schemas.openxmlformats.org/officeDocument/2006/relationships/hyperlink" Target="https://finance.yahoo.com/quote/AMZN260320P00210000/" TargetMode="External"/><Relationship Id="rId2214" Type="http://schemas.openxmlformats.org/officeDocument/2006/relationships/hyperlink" Target="https://finance.yahoo.com/quote/AMZN/options/?straddle=false&amp;strike=175&amp;type=all" TargetMode="External"/><Relationship Id="rId740" Type="http://schemas.openxmlformats.org/officeDocument/2006/relationships/hyperlink" Target="https://finance.yahoo.com/quote/AMZN/options/?straddle=false&amp;strike=200&amp;type=all" TargetMode="External"/><Relationship Id="rId1023" Type="http://schemas.openxmlformats.org/officeDocument/2006/relationships/hyperlink" Target="https://finance.yahoo.com/quote/AMZN260515C00160000/" TargetMode="External"/><Relationship Id="rId2421" Type="http://schemas.openxmlformats.org/officeDocument/2006/relationships/hyperlink" Target="https://finance.yahoo.com/quote/AMZN260327P00190000/" TargetMode="External"/><Relationship Id="rId600" Type="http://schemas.openxmlformats.org/officeDocument/2006/relationships/hyperlink" Target="https://finance.yahoo.com/quote/AMZN/options/?straddle=false&amp;strike=370&amp;type=all" TargetMode="External"/><Relationship Id="rId1230" Type="http://schemas.openxmlformats.org/officeDocument/2006/relationships/hyperlink" Target="https://finance.yahoo.com/quote/AMZN/options/?straddle=false&amp;strike=175&amp;type=all" TargetMode="External"/><Relationship Id="rId183" Type="http://schemas.openxmlformats.org/officeDocument/2006/relationships/hyperlink" Target="https://finance.yahoo.com/quote/AMZN260123P00267500/" TargetMode="External"/><Relationship Id="rId390" Type="http://schemas.openxmlformats.org/officeDocument/2006/relationships/hyperlink" Target="https://finance.yahoo.com/quote/AMZN/options/?straddle=false&amp;strike=325&amp;type=all" TargetMode="External"/><Relationship Id="rId1907" Type="http://schemas.openxmlformats.org/officeDocument/2006/relationships/hyperlink" Target="https://finance.yahoo.com/quote/AMZN260318P00190000/" TargetMode="External"/><Relationship Id="rId2071" Type="http://schemas.openxmlformats.org/officeDocument/2006/relationships/hyperlink" Target="https://finance.yahoo.com/quote/AMZN260320P00345000/" TargetMode="External"/><Relationship Id="rId250" Type="http://schemas.openxmlformats.org/officeDocument/2006/relationships/hyperlink" Target="https://finance.yahoo.com/quote/AMZN/options/?straddle=false&amp;strike=225&amp;type=all" TargetMode="External"/><Relationship Id="rId110" Type="http://schemas.openxmlformats.org/officeDocument/2006/relationships/hyperlink" Target="https://finance.yahoo.com/quote/AMZN/options/?straddle=false&amp;strike=145&amp;type=all" TargetMode="External"/><Relationship Id="rId1697" Type="http://schemas.openxmlformats.org/officeDocument/2006/relationships/hyperlink" Target="https://finance.yahoo.com/quote/AMZN260306C00285000/" TargetMode="External"/><Relationship Id="rId927" Type="http://schemas.openxmlformats.org/officeDocument/2006/relationships/hyperlink" Target="https://finance.yahoo.com/quote/AMZN260515C00170000/" TargetMode="External"/><Relationship Id="rId1557" Type="http://schemas.openxmlformats.org/officeDocument/2006/relationships/hyperlink" Target="https://finance.yahoo.com/quote/AMZN260227P00202500/" TargetMode="External"/><Relationship Id="rId1764" Type="http://schemas.openxmlformats.org/officeDocument/2006/relationships/hyperlink" Target="https://finance.yahoo.com/quote/AMZN/options/?straddle=false&amp;strike=197.5&amp;type=all" TargetMode="External"/><Relationship Id="rId1971" Type="http://schemas.openxmlformats.org/officeDocument/2006/relationships/hyperlink" Target="https://finance.yahoo.com/quote/AMZN260320P00145000/" TargetMode="External"/><Relationship Id="rId2608" Type="http://schemas.openxmlformats.org/officeDocument/2006/relationships/hyperlink" Target="https://finance.yahoo.com/quote/AMZN/options/?straddle=false&amp;strike=185&amp;type=all" TargetMode="External"/><Relationship Id="rId56" Type="http://schemas.openxmlformats.org/officeDocument/2006/relationships/hyperlink" Target="https://finance.yahoo.com/quote/AMZN/options/?straddle=false&amp;strike=232.5&amp;type=all" TargetMode="External"/><Relationship Id="rId1417" Type="http://schemas.openxmlformats.org/officeDocument/2006/relationships/hyperlink" Target="https://finance.yahoo.com/quote/AMZN260227C00170000/" TargetMode="External"/><Relationship Id="rId1624" Type="http://schemas.openxmlformats.org/officeDocument/2006/relationships/hyperlink" Target="https://finance.yahoo.com/quote/AMZN/options/?straddle=false&amp;strike=165&amp;type=all" TargetMode="External"/><Relationship Id="rId1831" Type="http://schemas.openxmlformats.org/officeDocument/2006/relationships/hyperlink" Target="https://finance.yahoo.com/quote/AMZN260318C00200000/" TargetMode="External"/><Relationship Id="rId2398" Type="http://schemas.openxmlformats.org/officeDocument/2006/relationships/hyperlink" Target="https://finance.yahoo.com/quote/AMZN/options/?straddle=false&amp;strike=145&amp;type=all" TargetMode="External"/><Relationship Id="rId272" Type="http://schemas.openxmlformats.org/officeDocument/2006/relationships/hyperlink" Target="https://finance.yahoo.com/quote/AMZN/options/?straddle=false&amp;strike=280&amp;type=all" TargetMode="External"/><Relationship Id="rId577" Type="http://schemas.openxmlformats.org/officeDocument/2006/relationships/hyperlink" Target="https://finance.yahoo.com/quote/AMZN260515P00295000/" TargetMode="External"/><Relationship Id="rId2160" Type="http://schemas.openxmlformats.org/officeDocument/2006/relationships/hyperlink" Target="https://finance.yahoo.com/quote/AMZN/options/?straddle=false&amp;strike=255&amp;type=all" TargetMode="External"/><Relationship Id="rId2258" Type="http://schemas.openxmlformats.org/officeDocument/2006/relationships/hyperlink" Target="https://finance.yahoo.com/quote/AMZN/options/?straddle=false&amp;strike=230&amp;type=all" TargetMode="External"/><Relationship Id="rId132" Type="http://schemas.openxmlformats.org/officeDocument/2006/relationships/hyperlink" Target="https://finance.yahoo.com/quote/AMZN/options/?straddle=false&amp;strike=200&amp;type=all" TargetMode="External"/><Relationship Id="rId784" Type="http://schemas.openxmlformats.org/officeDocument/2006/relationships/hyperlink" Target="https://finance.yahoo.com/quote/AMZN/options/?straddle=false&amp;strike=310&amp;type=all" TargetMode="External"/><Relationship Id="rId991" Type="http://schemas.openxmlformats.org/officeDocument/2006/relationships/hyperlink" Target="https://finance.yahoo.com/quote/AMZN260515C00330000/" TargetMode="External"/><Relationship Id="rId1067" Type="http://schemas.openxmlformats.org/officeDocument/2006/relationships/hyperlink" Target="https://finance.yahoo.com/quote/AMZN260515C00270000/" TargetMode="External"/><Relationship Id="rId2020" Type="http://schemas.openxmlformats.org/officeDocument/2006/relationships/hyperlink" Target="https://finance.yahoo.com/quote/AMZN/options/?straddle=false&amp;strike=225&amp;type=all" TargetMode="External"/><Relationship Id="rId2465" Type="http://schemas.openxmlformats.org/officeDocument/2006/relationships/hyperlink" Target="https://finance.yahoo.com/quote/AMZN260327P00250000/" TargetMode="External"/><Relationship Id="rId437" Type="http://schemas.openxmlformats.org/officeDocument/2006/relationships/hyperlink" Target="https://finance.yahoo.com/quote/AMZN260515C00195000/" TargetMode="External"/><Relationship Id="rId644" Type="http://schemas.openxmlformats.org/officeDocument/2006/relationships/hyperlink" Target="https://finance.yahoo.com/quote/AMZN/options/?straddle=false&amp;strike=210&amp;type=all" TargetMode="External"/><Relationship Id="rId851" Type="http://schemas.openxmlformats.org/officeDocument/2006/relationships/hyperlink" Target="https://finance.yahoo.com/quote/AMZN260515P00230000/" TargetMode="External"/><Relationship Id="rId1274" Type="http://schemas.openxmlformats.org/officeDocument/2006/relationships/hyperlink" Target="https://finance.yahoo.com/quote/AMZN/options/?straddle=false&amp;strike=285&amp;type=all" TargetMode="External"/><Relationship Id="rId1481" Type="http://schemas.openxmlformats.org/officeDocument/2006/relationships/hyperlink" Target="https://finance.yahoo.com/quote/AMZN260227C00270000/" TargetMode="External"/><Relationship Id="rId1579" Type="http://schemas.openxmlformats.org/officeDocument/2006/relationships/hyperlink" Target="https://finance.yahoo.com/quote/AMZN260227P00230000/" TargetMode="External"/><Relationship Id="rId2118" Type="http://schemas.openxmlformats.org/officeDocument/2006/relationships/hyperlink" Target="https://finance.yahoo.com/quote/AMZN/options/?straddle=false&amp;strike=195&amp;type=all" TargetMode="External"/><Relationship Id="rId2325" Type="http://schemas.openxmlformats.org/officeDocument/2006/relationships/hyperlink" Target="https://finance.yahoo.com/quote/AMZN260327C00210000/" TargetMode="External"/><Relationship Id="rId2532" Type="http://schemas.openxmlformats.org/officeDocument/2006/relationships/hyperlink" Target="https://finance.yahoo.com/quote/AMZN/options/?straddle=false&amp;strike=217.5&amp;type=all" TargetMode="External"/><Relationship Id="rId504" Type="http://schemas.openxmlformats.org/officeDocument/2006/relationships/hyperlink" Target="https://finance.yahoo.com/quote/AMZN/options/?straddle=false&amp;strike=110&amp;type=all" TargetMode="External"/><Relationship Id="rId711" Type="http://schemas.openxmlformats.org/officeDocument/2006/relationships/hyperlink" Target="https://finance.yahoo.com/quote/AMZN260515P00130000/" TargetMode="External"/><Relationship Id="rId949" Type="http://schemas.openxmlformats.org/officeDocument/2006/relationships/hyperlink" Target="https://finance.yahoo.com/quote/AMZN260515C00225000/" TargetMode="External"/><Relationship Id="rId1134" Type="http://schemas.openxmlformats.org/officeDocument/2006/relationships/hyperlink" Target="https://finance.yahoo.com/quote/AMZN/options/?straddle=false&amp;strike=185&amp;type=all" TargetMode="External"/><Relationship Id="rId1341" Type="http://schemas.openxmlformats.org/officeDocument/2006/relationships/hyperlink" Target="https://finance.yahoo.com/quote/AMZN260515P00205000/" TargetMode="External"/><Relationship Id="rId1786" Type="http://schemas.openxmlformats.org/officeDocument/2006/relationships/hyperlink" Target="https://finance.yahoo.com/quote/AMZN/options/?straddle=false&amp;strike=225&amp;type=all" TargetMode="External"/><Relationship Id="rId1993" Type="http://schemas.openxmlformats.org/officeDocument/2006/relationships/hyperlink" Target="https://finance.yahoo.com/quote/AMZN260320P00192500/" TargetMode="External"/><Relationship Id="rId78" Type="http://schemas.openxmlformats.org/officeDocument/2006/relationships/hyperlink" Target="https://finance.yahoo.com/quote/AMZN/options/?straddle=false&amp;strike=260&amp;type=all" TargetMode="External"/><Relationship Id="rId809" Type="http://schemas.openxmlformats.org/officeDocument/2006/relationships/hyperlink" Target="https://finance.yahoo.com/quote/AMZN260515P00125000/" TargetMode="External"/><Relationship Id="rId1201" Type="http://schemas.openxmlformats.org/officeDocument/2006/relationships/hyperlink" Target="https://finance.yahoo.com/quote/AMZN260515C00105000/" TargetMode="External"/><Relationship Id="rId1439" Type="http://schemas.openxmlformats.org/officeDocument/2006/relationships/hyperlink" Target="https://finance.yahoo.com/quote/AMZN260227C00200000/" TargetMode="External"/><Relationship Id="rId1646" Type="http://schemas.openxmlformats.org/officeDocument/2006/relationships/hyperlink" Target="https://finance.yahoo.com/quote/AMZN/options/?straddle=false&amp;strike=195&amp;type=all" TargetMode="External"/><Relationship Id="rId1853" Type="http://schemas.openxmlformats.org/officeDocument/2006/relationships/hyperlink" Target="https://finance.yahoo.com/quote/AMZN260318C00227500/" TargetMode="External"/><Relationship Id="rId1506" Type="http://schemas.openxmlformats.org/officeDocument/2006/relationships/hyperlink" Target="https://finance.yahoo.com/quote/AMZN/options/?straddle=false&amp;strike=330&amp;type=all" TargetMode="External"/><Relationship Id="rId1713" Type="http://schemas.openxmlformats.org/officeDocument/2006/relationships/hyperlink" Target="https://finance.yahoo.com/quote/AMZN260306C00325000/" TargetMode="External"/><Relationship Id="rId1920" Type="http://schemas.openxmlformats.org/officeDocument/2006/relationships/hyperlink" Target="https://finance.yahoo.com/quote/AMZN/options/?straddle=false&amp;strike=205&amp;type=all" TargetMode="External"/><Relationship Id="rId294" Type="http://schemas.openxmlformats.org/officeDocument/2006/relationships/hyperlink" Target="https://finance.yahoo.com/quote/AMZN/options/?straddle=false&amp;strike=340&amp;type=all" TargetMode="External"/><Relationship Id="rId2182" Type="http://schemas.openxmlformats.org/officeDocument/2006/relationships/hyperlink" Target="https://finance.yahoo.com/quote/AMZN/options/?straddle=false&amp;strike=310&amp;type=all" TargetMode="External"/><Relationship Id="rId154" Type="http://schemas.openxmlformats.org/officeDocument/2006/relationships/hyperlink" Target="https://finance.yahoo.com/quote/AMZN/options/?straddle=false&amp;strike=230&amp;type=all" TargetMode="External"/><Relationship Id="rId361" Type="http://schemas.openxmlformats.org/officeDocument/2006/relationships/hyperlink" Target="https://finance.yahoo.com/quote/AMZN260515P00255000/" TargetMode="External"/><Relationship Id="rId599" Type="http://schemas.openxmlformats.org/officeDocument/2006/relationships/hyperlink" Target="https://finance.yahoo.com/quote/AMZN260515P00370000/" TargetMode="External"/><Relationship Id="rId2042" Type="http://schemas.openxmlformats.org/officeDocument/2006/relationships/hyperlink" Target="https://finance.yahoo.com/quote/AMZN/options/?straddle=false&amp;strike=270&amp;type=all" TargetMode="External"/><Relationship Id="rId2487" Type="http://schemas.openxmlformats.org/officeDocument/2006/relationships/hyperlink" Target="https://finance.yahoo.com/quote/AMZN260410C00155000/" TargetMode="External"/><Relationship Id="rId459" Type="http://schemas.openxmlformats.org/officeDocument/2006/relationships/hyperlink" Target="https://finance.yahoo.com/quote/AMZN260515C00250000/" TargetMode="External"/><Relationship Id="rId666" Type="http://schemas.openxmlformats.org/officeDocument/2006/relationships/hyperlink" Target="https://finance.yahoo.com/quote/AMZN/options/?straddle=false&amp;strike=265&amp;type=all" TargetMode="External"/><Relationship Id="rId873" Type="http://schemas.openxmlformats.org/officeDocument/2006/relationships/hyperlink" Target="https://finance.yahoo.com/quote/AMZN260515P00285000/" TargetMode="External"/><Relationship Id="rId1089" Type="http://schemas.openxmlformats.org/officeDocument/2006/relationships/hyperlink" Target="https://finance.yahoo.com/quote/AMZN260515C00325000/" TargetMode="External"/><Relationship Id="rId1296" Type="http://schemas.openxmlformats.org/officeDocument/2006/relationships/hyperlink" Target="https://finance.yahoo.com/quote/AMZN/options/?straddle=false&amp;strike=350&amp;type=all" TargetMode="External"/><Relationship Id="rId2347" Type="http://schemas.openxmlformats.org/officeDocument/2006/relationships/hyperlink" Target="https://finance.yahoo.com/quote/AMZN260327C00237500/" TargetMode="External"/><Relationship Id="rId2554" Type="http://schemas.openxmlformats.org/officeDocument/2006/relationships/hyperlink" Target="https://finance.yahoo.com/quote/AMZN/options/?straddle=false&amp;strike=255&amp;type=all" TargetMode="External"/><Relationship Id="rId221" Type="http://schemas.openxmlformats.org/officeDocument/2006/relationships/hyperlink" Target="https://finance.yahoo.com/quote/AMZN260515C00155000/" TargetMode="External"/><Relationship Id="rId319" Type="http://schemas.openxmlformats.org/officeDocument/2006/relationships/hyperlink" Target="https://finance.yahoo.com/quote/AMZN260515P00150000/" TargetMode="External"/><Relationship Id="rId526" Type="http://schemas.openxmlformats.org/officeDocument/2006/relationships/hyperlink" Target="https://finance.yahoo.com/quote/AMZN/options/?straddle=false&amp;strike=165&amp;type=all" TargetMode="External"/><Relationship Id="rId1156" Type="http://schemas.openxmlformats.org/officeDocument/2006/relationships/hyperlink" Target="https://finance.yahoo.com/quote/AMZN/options/?straddle=false&amp;strike=240&amp;type=all" TargetMode="External"/><Relationship Id="rId1363" Type="http://schemas.openxmlformats.org/officeDocument/2006/relationships/hyperlink" Target="https://finance.yahoo.com/quote/AMZN260515P00260000/" TargetMode="External"/><Relationship Id="rId2207" Type="http://schemas.openxmlformats.org/officeDocument/2006/relationships/hyperlink" Target="https://finance.yahoo.com/quote/AMZN260327P00160000/" TargetMode="External"/><Relationship Id="rId733" Type="http://schemas.openxmlformats.org/officeDocument/2006/relationships/hyperlink" Target="https://finance.yahoo.com/quote/AMZN260515P00185000/" TargetMode="External"/><Relationship Id="rId940" Type="http://schemas.openxmlformats.org/officeDocument/2006/relationships/hyperlink" Target="https://finance.yahoo.com/quote/AMZN/options/?straddle=false&amp;strike=200&amp;type=all" TargetMode="External"/><Relationship Id="rId1016" Type="http://schemas.openxmlformats.org/officeDocument/2006/relationships/hyperlink" Target="https://finance.yahoo.com/quote/AMZN/options/?straddle=false&amp;strike=140&amp;type=all" TargetMode="External"/><Relationship Id="rId1570" Type="http://schemas.openxmlformats.org/officeDocument/2006/relationships/hyperlink" Target="https://finance.yahoo.com/quote/AMZN/options/?straddle=false&amp;strike=217.5&amp;type=all" TargetMode="External"/><Relationship Id="rId1668" Type="http://schemas.openxmlformats.org/officeDocument/2006/relationships/hyperlink" Target="https://finance.yahoo.com/quote/AMZN/options/?straddle=false&amp;strike=222.5&amp;type=all" TargetMode="External"/><Relationship Id="rId1875" Type="http://schemas.openxmlformats.org/officeDocument/2006/relationships/hyperlink" Target="https://finance.yahoo.com/quote/AMZN260318C00280000/" TargetMode="External"/><Relationship Id="rId2414" Type="http://schemas.openxmlformats.org/officeDocument/2006/relationships/hyperlink" Target="https://finance.yahoo.com/quote/AMZN/options/?straddle=false&amp;strike=180&amp;type=all" TargetMode="External"/><Relationship Id="rId2621" Type="http://schemas.openxmlformats.org/officeDocument/2006/relationships/hyperlink" Target="https://finance.yahoo.com/quote/AMZN260410P00202500/" TargetMode="External"/><Relationship Id="rId800" Type="http://schemas.openxmlformats.org/officeDocument/2006/relationships/hyperlink" Target="https://finance.yahoo.com/quote/AMZN/options/?straddle=false&amp;strike=370&amp;type=all" TargetMode="External"/><Relationship Id="rId1223" Type="http://schemas.openxmlformats.org/officeDocument/2006/relationships/hyperlink" Target="https://finance.yahoo.com/quote/AMZN260515C00160000/" TargetMode="External"/><Relationship Id="rId1430" Type="http://schemas.openxmlformats.org/officeDocument/2006/relationships/hyperlink" Target="https://finance.yahoo.com/quote/AMZN/options/?straddle=false&amp;strike=187.5&amp;type=all" TargetMode="External"/><Relationship Id="rId1528" Type="http://schemas.openxmlformats.org/officeDocument/2006/relationships/hyperlink" Target="https://finance.yahoo.com/quote/AMZN/options/?straddle=false&amp;strike=160&amp;type=all" TargetMode="External"/><Relationship Id="rId1735" Type="http://schemas.openxmlformats.org/officeDocument/2006/relationships/hyperlink" Target="https://finance.yahoo.com/quote/AMZN260306P00155000/" TargetMode="External"/><Relationship Id="rId1942" Type="http://schemas.openxmlformats.org/officeDocument/2006/relationships/hyperlink" Target="https://finance.yahoo.com/quote/AMZN/options/?straddle=false&amp;strike=235&amp;type=all" TargetMode="External"/><Relationship Id="rId27" Type="http://schemas.openxmlformats.org/officeDocument/2006/relationships/hyperlink" Target="https://finance.yahoo.com/quote/AMZN260123C00190000/" TargetMode="External"/><Relationship Id="rId1802" Type="http://schemas.openxmlformats.org/officeDocument/2006/relationships/hyperlink" Target="https://finance.yahoo.com/quote/AMZN/options/?straddle=false&amp;strike=260&amp;type=all" TargetMode="External"/><Relationship Id="rId176" Type="http://schemas.openxmlformats.org/officeDocument/2006/relationships/hyperlink" Target="https://finance.yahoo.com/quote/AMZN/options/?straddle=false&amp;strike=257.5&amp;type=all" TargetMode="External"/><Relationship Id="rId383" Type="http://schemas.openxmlformats.org/officeDocument/2006/relationships/hyperlink" Target="https://finance.yahoo.com/quote/AMZN260515P00310000/" TargetMode="External"/><Relationship Id="rId590" Type="http://schemas.openxmlformats.org/officeDocument/2006/relationships/hyperlink" Target="https://finance.yahoo.com/quote/AMZN/options/?straddle=false&amp;strike=325&amp;type=all" TargetMode="External"/><Relationship Id="rId2064" Type="http://schemas.openxmlformats.org/officeDocument/2006/relationships/hyperlink" Target="https://finance.yahoo.com/quote/AMZN/options/?straddle=false&amp;strike=325&amp;type=all" TargetMode="External"/><Relationship Id="rId2271" Type="http://schemas.openxmlformats.org/officeDocument/2006/relationships/hyperlink" Target="https://finance.yahoo.com/quote/AMZN260327P00255000/" TargetMode="External"/><Relationship Id="rId243" Type="http://schemas.openxmlformats.org/officeDocument/2006/relationships/hyperlink" Target="https://finance.yahoo.com/quote/AMZN260515C00210000/" TargetMode="External"/><Relationship Id="rId450" Type="http://schemas.openxmlformats.org/officeDocument/2006/relationships/hyperlink" Target="https://finance.yahoo.com/quote/AMZN/options/?straddle=false&amp;strike=225&amp;type=all" TargetMode="External"/><Relationship Id="rId688" Type="http://schemas.openxmlformats.org/officeDocument/2006/relationships/hyperlink" Target="https://finance.yahoo.com/quote/AMZN/options/?straddle=false&amp;strike=320&amp;type=all" TargetMode="External"/><Relationship Id="rId895" Type="http://schemas.openxmlformats.org/officeDocument/2006/relationships/hyperlink" Target="https://finance.yahoo.com/quote/AMZN260515P00350000/" TargetMode="External"/><Relationship Id="rId1080" Type="http://schemas.openxmlformats.org/officeDocument/2006/relationships/hyperlink" Target="https://finance.yahoo.com/quote/AMZN/options/?straddle=false&amp;strike=300&amp;type=all" TargetMode="External"/><Relationship Id="rId2131" Type="http://schemas.openxmlformats.org/officeDocument/2006/relationships/hyperlink" Target="https://finance.yahoo.com/quote/AMZN260327C00212500/" TargetMode="External"/><Relationship Id="rId2369" Type="http://schemas.openxmlformats.org/officeDocument/2006/relationships/hyperlink" Target="https://finance.yahoo.com/quote/AMZN260327C00290000/" TargetMode="External"/><Relationship Id="rId2576" Type="http://schemas.openxmlformats.org/officeDocument/2006/relationships/hyperlink" Target="https://finance.yahoo.com/quote/AMZN/options/?straddle=false&amp;strike=120&amp;type=all" TargetMode="External"/><Relationship Id="rId103" Type="http://schemas.openxmlformats.org/officeDocument/2006/relationships/hyperlink" Target="https://finance.yahoo.com/quote/AMZN260123P00130000/" TargetMode="External"/><Relationship Id="rId310" Type="http://schemas.openxmlformats.org/officeDocument/2006/relationships/hyperlink" Target="https://finance.yahoo.com/quote/AMZN/options/?straddle=false&amp;strike=125&amp;type=all" TargetMode="External"/><Relationship Id="rId548" Type="http://schemas.openxmlformats.org/officeDocument/2006/relationships/hyperlink" Target="https://finance.yahoo.com/quote/AMZN/options/?straddle=false&amp;strike=220&amp;type=all" TargetMode="External"/><Relationship Id="rId755" Type="http://schemas.openxmlformats.org/officeDocument/2006/relationships/hyperlink" Target="https://finance.yahoo.com/quote/AMZN260515P00240000/" TargetMode="External"/><Relationship Id="rId962" Type="http://schemas.openxmlformats.org/officeDocument/2006/relationships/hyperlink" Target="https://finance.yahoo.com/quote/AMZN/options/?straddle=false&amp;strike=255&amp;type=all" TargetMode="External"/><Relationship Id="rId1178" Type="http://schemas.openxmlformats.org/officeDocument/2006/relationships/hyperlink" Target="https://finance.yahoo.com/quote/AMZN/options/?straddle=false&amp;strike=295&amp;type=all" TargetMode="External"/><Relationship Id="rId1385" Type="http://schemas.openxmlformats.org/officeDocument/2006/relationships/hyperlink" Target="https://finance.yahoo.com/quote/AMZN260515P00315000/" TargetMode="External"/><Relationship Id="rId1592" Type="http://schemas.openxmlformats.org/officeDocument/2006/relationships/hyperlink" Target="https://finance.yahoo.com/quote/AMZN/options/?straddle=false&amp;strike=260&amp;type=all" TargetMode="External"/><Relationship Id="rId2229" Type="http://schemas.openxmlformats.org/officeDocument/2006/relationships/hyperlink" Target="https://finance.yahoo.com/quote/AMZN260327P00195000/" TargetMode="External"/><Relationship Id="rId2436" Type="http://schemas.openxmlformats.org/officeDocument/2006/relationships/hyperlink" Target="https://finance.yahoo.com/quote/AMZN/options/?straddle=false&amp;strike=207.5&amp;type=all" TargetMode="External"/><Relationship Id="rId2643" Type="http://schemas.openxmlformats.org/officeDocument/2006/relationships/hyperlink" Target="https://finance.yahoo.com/quote/AMZN260410P00230000/" TargetMode="External"/><Relationship Id="rId91" Type="http://schemas.openxmlformats.org/officeDocument/2006/relationships/hyperlink" Target="https://finance.yahoo.com/quote/AMZN260123C00285000/" TargetMode="External"/><Relationship Id="rId408" Type="http://schemas.openxmlformats.org/officeDocument/2006/relationships/hyperlink" Target="https://finance.yahoo.com/quote/AMZN/options/?straddle=false&amp;strike=120&amp;type=all" TargetMode="External"/><Relationship Id="rId615" Type="http://schemas.openxmlformats.org/officeDocument/2006/relationships/hyperlink" Target="https://finance.yahoo.com/quote/AMZN260515C00140000/" TargetMode="External"/><Relationship Id="rId822" Type="http://schemas.openxmlformats.org/officeDocument/2006/relationships/hyperlink" Target="https://finance.yahoo.com/quote/AMZN/options/?straddle=false&amp;strike=155&amp;type=all" TargetMode="External"/><Relationship Id="rId1038" Type="http://schemas.openxmlformats.org/officeDocument/2006/relationships/hyperlink" Target="https://finance.yahoo.com/quote/AMZN/options/?straddle=false&amp;strike=195&amp;type=all" TargetMode="External"/><Relationship Id="rId1245" Type="http://schemas.openxmlformats.org/officeDocument/2006/relationships/hyperlink" Target="https://finance.yahoo.com/quote/AMZN260515C00215000/" TargetMode="External"/><Relationship Id="rId1452" Type="http://schemas.openxmlformats.org/officeDocument/2006/relationships/hyperlink" Target="https://finance.yahoo.com/quote/AMZN/options/?straddle=false&amp;strike=215&amp;type=all" TargetMode="External"/><Relationship Id="rId1897" Type="http://schemas.openxmlformats.org/officeDocument/2006/relationships/hyperlink" Target="https://finance.yahoo.com/quote/AMZN260318P00177500/" TargetMode="External"/><Relationship Id="rId2503" Type="http://schemas.openxmlformats.org/officeDocument/2006/relationships/hyperlink" Target="https://finance.yahoo.com/quote/AMZN260410C00182500/" TargetMode="External"/><Relationship Id="rId1105" Type="http://schemas.openxmlformats.org/officeDocument/2006/relationships/hyperlink" Target="https://finance.yahoo.com/quote/AMZN260515P00115000/" TargetMode="External"/><Relationship Id="rId1312" Type="http://schemas.openxmlformats.org/officeDocument/2006/relationships/hyperlink" Target="https://finance.yahoo.com/quote/AMZN/options/?straddle=false&amp;strike=130&amp;type=all" TargetMode="External"/><Relationship Id="rId1757" Type="http://schemas.openxmlformats.org/officeDocument/2006/relationships/hyperlink" Target="https://finance.yahoo.com/quote/AMZN260306P00190000/" TargetMode="External"/><Relationship Id="rId1964" Type="http://schemas.openxmlformats.org/officeDocument/2006/relationships/hyperlink" Target="https://finance.yahoo.com/quote/AMZN/options/?straddle=false&amp;strike=125&amp;type=all" TargetMode="External"/><Relationship Id="rId49" Type="http://schemas.openxmlformats.org/officeDocument/2006/relationships/hyperlink" Target="https://finance.yahoo.com/quote/AMZN260123C00225000/" TargetMode="External"/><Relationship Id="rId1617" Type="http://schemas.openxmlformats.org/officeDocument/2006/relationships/hyperlink" Target="https://finance.yahoo.com/quote/AMZN260306C00150000/" TargetMode="External"/><Relationship Id="rId1824" Type="http://schemas.openxmlformats.org/officeDocument/2006/relationships/hyperlink" Target="https://finance.yahoo.com/quote/AMZN/options/?straddle=false&amp;strike=190&amp;type=all" TargetMode="External"/><Relationship Id="rId198" Type="http://schemas.openxmlformats.org/officeDocument/2006/relationships/hyperlink" Target="https://finance.yahoo.com/quote/AMZN/options/?straddle=false&amp;strike=360&amp;type=all" TargetMode="External"/><Relationship Id="rId2086" Type="http://schemas.openxmlformats.org/officeDocument/2006/relationships/hyperlink" Target="https://finance.yahoo.com/quote/AMZN/options/?straddle=false&amp;strike=135&amp;type=all" TargetMode="External"/><Relationship Id="rId2293" Type="http://schemas.openxmlformats.org/officeDocument/2006/relationships/hyperlink" Target="https://finance.yahoo.com/quote/AMZN260327C00165000/" TargetMode="External"/><Relationship Id="rId2598" Type="http://schemas.openxmlformats.org/officeDocument/2006/relationships/hyperlink" Target="https://finance.yahoo.com/quote/AMZN/options/?straddle=false&amp;strike=172.5&amp;type=all" TargetMode="External"/><Relationship Id="rId265" Type="http://schemas.openxmlformats.org/officeDocument/2006/relationships/hyperlink" Target="https://finance.yahoo.com/quote/AMZN260515C00265000/" TargetMode="External"/><Relationship Id="rId472" Type="http://schemas.openxmlformats.org/officeDocument/2006/relationships/hyperlink" Target="https://finance.yahoo.com/quote/AMZN/options/?straddle=false&amp;strike=280&amp;type=all" TargetMode="External"/><Relationship Id="rId2153" Type="http://schemas.openxmlformats.org/officeDocument/2006/relationships/hyperlink" Target="https://finance.yahoo.com/quote/AMZN260327C00240000/" TargetMode="External"/><Relationship Id="rId2360" Type="http://schemas.openxmlformats.org/officeDocument/2006/relationships/hyperlink" Target="https://finance.yahoo.com/quote/AMZN/options/?straddle=false&amp;strike=265&amp;type=all" TargetMode="External"/><Relationship Id="rId125" Type="http://schemas.openxmlformats.org/officeDocument/2006/relationships/hyperlink" Target="https://finance.yahoo.com/quote/AMZN260123P00185000/" TargetMode="External"/><Relationship Id="rId332" Type="http://schemas.openxmlformats.org/officeDocument/2006/relationships/hyperlink" Target="https://finance.yahoo.com/quote/AMZN/options/?straddle=false&amp;strike=180&amp;type=all" TargetMode="External"/><Relationship Id="rId777" Type="http://schemas.openxmlformats.org/officeDocument/2006/relationships/hyperlink" Target="https://finance.yahoo.com/quote/AMZN260515P00295000/" TargetMode="External"/><Relationship Id="rId984" Type="http://schemas.openxmlformats.org/officeDocument/2006/relationships/hyperlink" Target="https://finance.yahoo.com/quote/AMZN/options/?straddle=false&amp;strike=310&amp;type=all" TargetMode="External"/><Relationship Id="rId2013" Type="http://schemas.openxmlformats.org/officeDocument/2006/relationships/hyperlink" Target="https://finance.yahoo.com/quote/AMZN260320P00217500/" TargetMode="External"/><Relationship Id="rId2220" Type="http://schemas.openxmlformats.org/officeDocument/2006/relationships/hyperlink" Target="https://finance.yahoo.com/quote/AMZN/options/?straddle=false&amp;strike=182.5&amp;type=all" TargetMode="External"/><Relationship Id="rId2458" Type="http://schemas.openxmlformats.org/officeDocument/2006/relationships/hyperlink" Target="https://finance.yahoo.com/quote/AMZN/options/?straddle=false&amp;strike=235&amp;type=all" TargetMode="External"/><Relationship Id="rId637" Type="http://schemas.openxmlformats.org/officeDocument/2006/relationships/hyperlink" Target="https://finance.yahoo.com/quote/AMZN260515C00195000/" TargetMode="External"/><Relationship Id="rId844" Type="http://schemas.openxmlformats.org/officeDocument/2006/relationships/hyperlink" Target="https://finance.yahoo.com/quote/AMZN/options/?straddle=false&amp;strike=210&amp;type=all" TargetMode="External"/><Relationship Id="rId1267" Type="http://schemas.openxmlformats.org/officeDocument/2006/relationships/hyperlink" Target="https://finance.yahoo.com/quote/AMZN260515C00270000/" TargetMode="External"/><Relationship Id="rId1474" Type="http://schemas.openxmlformats.org/officeDocument/2006/relationships/hyperlink" Target="https://finance.yahoo.com/quote/AMZN/options/?straddle=false&amp;strike=250&amp;type=all" TargetMode="External"/><Relationship Id="rId1681" Type="http://schemas.openxmlformats.org/officeDocument/2006/relationships/hyperlink" Target="https://finance.yahoo.com/quote/AMZN260306C00245000/" TargetMode="External"/><Relationship Id="rId2318" Type="http://schemas.openxmlformats.org/officeDocument/2006/relationships/hyperlink" Target="https://finance.yahoo.com/quote/AMZN/options/?straddle=false&amp;strike=200&amp;type=all" TargetMode="External"/><Relationship Id="rId2525" Type="http://schemas.openxmlformats.org/officeDocument/2006/relationships/hyperlink" Target="https://finance.yahoo.com/quote/AMZN260410C00210000/" TargetMode="External"/><Relationship Id="rId704" Type="http://schemas.openxmlformats.org/officeDocument/2006/relationships/hyperlink" Target="https://finance.yahoo.com/quote/AMZN/options/?straddle=false&amp;strike=110&amp;type=all" TargetMode="External"/><Relationship Id="rId911" Type="http://schemas.openxmlformats.org/officeDocument/2006/relationships/hyperlink" Target="https://finance.yahoo.com/quote/AMZN260515C00130000/" TargetMode="External"/><Relationship Id="rId1127" Type="http://schemas.openxmlformats.org/officeDocument/2006/relationships/hyperlink" Target="https://finance.yahoo.com/quote/AMZN260515P00170000/" TargetMode="External"/><Relationship Id="rId1334" Type="http://schemas.openxmlformats.org/officeDocument/2006/relationships/hyperlink" Target="https://finance.yahoo.com/quote/AMZN/options/?straddle=false&amp;strike=185&amp;type=all" TargetMode="External"/><Relationship Id="rId1541" Type="http://schemas.openxmlformats.org/officeDocument/2006/relationships/hyperlink" Target="https://finance.yahoo.com/quote/AMZN260227P00182500/" TargetMode="External"/><Relationship Id="rId1779" Type="http://schemas.openxmlformats.org/officeDocument/2006/relationships/hyperlink" Target="https://finance.yahoo.com/quote/AMZN260306P00217500/" TargetMode="External"/><Relationship Id="rId1986" Type="http://schemas.openxmlformats.org/officeDocument/2006/relationships/hyperlink" Target="https://finance.yahoo.com/quote/AMZN/options/?straddle=false&amp;strike=180&amp;type=all" TargetMode="External"/><Relationship Id="rId40" Type="http://schemas.openxmlformats.org/officeDocument/2006/relationships/hyperlink" Target="https://finance.yahoo.com/quote/AMZN/options/?straddle=false&amp;strike=212.5&amp;type=all" TargetMode="External"/><Relationship Id="rId1401" Type="http://schemas.openxmlformats.org/officeDocument/2006/relationships/hyperlink" Target="https://finance.yahoo.com/quote/AMZN260227C00125000/" TargetMode="External"/><Relationship Id="rId1639" Type="http://schemas.openxmlformats.org/officeDocument/2006/relationships/hyperlink" Target="https://finance.yahoo.com/quote/AMZN260306C00187500/" TargetMode="External"/><Relationship Id="rId1846" Type="http://schemas.openxmlformats.org/officeDocument/2006/relationships/hyperlink" Target="https://finance.yahoo.com/quote/AMZN/options/?straddle=false&amp;strike=217.5&amp;type=all" TargetMode="External"/><Relationship Id="rId1706" Type="http://schemas.openxmlformats.org/officeDocument/2006/relationships/hyperlink" Target="https://finance.yahoo.com/quote/AMZN/options/?straddle=false&amp;strike=305&amp;type=all" TargetMode="External"/><Relationship Id="rId1913" Type="http://schemas.openxmlformats.org/officeDocument/2006/relationships/hyperlink" Target="https://finance.yahoo.com/quote/AMZN260318P00197500/" TargetMode="External"/><Relationship Id="rId287" Type="http://schemas.openxmlformats.org/officeDocument/2006/relationships/hyperlink" Target="https://finance.yahoo.com/quote/AMZN260515C00320000/" TargetMode="External"/><Relationship Id="rId494" Type="http://schemas.openxmlformats.org/officeDocument/2006/relationships/hyperlink" Target="https://finance.yahoo.com/quote/AMZN/options/?straddle=false&amp;strike=340&amp;type=all" TargetMode="External"/><Relationship Id="rId2175" Type="http://schemas.openxmlformats.org/officeDocument/2006/relationships/hyperlink" Target="https://finance.yahoo.com/quote/AMZN260327C00295000/" TargetMode="External"/><Relationship Id="rId2382" Type="http://schemas.openxmlformats.org/officeDocument/2006/relationships/hyperlink" Target="https://finance.yahoo.com/quote/AMZN/options/?straddle=false&amp;strike=320&amp;type=all" TargetMode="External"/><Relationship Id="rId147" Type="http://schemas.openxmlformats.org/officeDocument/2006/relationships/hyperlink" Target="https://finance.yahoo.com/quote/AMZN260123P00222500/" TargetMode="External"/><Relationship Id="rId354" Type="http://schemas.openxmlformats.org/officeDocument/2006/relationships/hyperlink" Target="https://finance.yahoo.com/quote/AMZN/options/?straddle=false&amp;strike=235&amp;type=all" TargetMode="External"/><Relationship Id="rId799" Type="http://schemas.openxmlformats.org/officeDocument/2006/relationships/hyperlink" Target="https://finance.yahoo.com/quote/AMZN260515P00370000/" TargetMode="External"/><Relationship Id="rId1191" Type="http://schemas.openxmlformats.org/officeDocument/2006/relationships/hyperlink" Target="https://finance.yahoo.com/quote/AMZN260515P00330000/" TargetMode="External"/><Relationship Id="rId2035" Type="http://schemas.openxmlformats.org/officeDocument/2006/relationships/hyperlink" Target="https://finance.yahoo.com/quote/AMZN260320P00255000/" TargetMode="External"/><Relationship Id="rId561" Type="http://schemas.openxmlformats.org/officeDocument/2006/relationships/hyperlink" Target="https://finance.yahoo.com/quote/AMZN260515P00255000/" TargetMode="External"/><Relationship Id="rId659" Type="http://schemas.openxmlformats.org/officeDocument/2006/relationships/hyperlink" Target="https://finance.yahoo.com/quote/AMZN260515C00250000/" TargetMode="External"/><Relationship Id="rId866" Type="http://schemas.openxmlformats.org/officeDocument/2006/relationships/hyperlink" Target="https://finance.yahoo.com/quote/AMZN/options/?straddle=false&amp;strike=265&amp;type=all" TargetMode="External"/><Relationship Id="rId1289" Type="http://schemas.openxmlformats.org/officeDocument/2006/relationships/hyperlink" Target="https://finance.yahoo.com/quote/AMZN260515C00325000/" TargetMode="External"/><Relationship Id="rId1496" Type="http://schemas.openxmlformats.org/officeDocument/2006/relationships/hyperlink" Target="https://finance.yahoo.com/quote/AMZN/options/?straddle=false&amp;strike=305&amp;type=all" TargetMode="External"/><Relationship Id="rId2242" Type="http://schemas.openxmlformats.org/officeDocument/2006/relationships/hyperlink" Target="https://finance.yahoo.com/quote/AMZN/options/?straddle=false&amp;strike=210&amp;type=all" TargetMode="External"/><Relationship Id="rId2547" Type="http://schemas.openxmlformats.org/officeDocument/2006/relationships/hyperlink" Target="https://finance.yahoo.com/quote/AMZN260410C00240000/" TargetMode="External"/><Relationship Id="rId214" Type="http://schemas.openxmlformats.org/officeDocument/2006/relationships/hyperlink" Target="https://finance.yahoo.com/quote/AMZN/options/?straddle=false&amp;strike=135&amp;type=all" TargetMode="External"/><Relationship Id="rId421" Type="http://schemas.openxmlformats.org/officeDocument/2006/relationships/hyperlink" Target="https://finance.yahoo.com/quote/AMZN260515C00155000/" TargetMode="External"/><Relationship Id="rId519" Type="http://schemas.openxmlformats.org/officeDocument/2006/relationships/hyperlink" Target="https://finance.yahoo.com/quote/AMZN260515P00150000/" TargetMode="External"/><Relationship Id="rId1051" Type="http://schemas.openxmlformats.org/officeDocument/2006/relationships/hyperlink" Target="https://finance.yahoo.com/quote/AMZN260515C00230000/" TargetMode="External"/><Relationship Id="rId1149" Type="http://schemas.openxmlformats.org/officeDocument/2006/relationships/hyperlink" Target="https://finance.yahoo.com/quote/AMZN260515P00225000/" TargetMode="External"/><Relationship Id="rId1356" Type="http://schemas.openxmlformats.org/officeDocument/2006/relationships/hyperlink" Target="https://finance.yahoo.com/quote/AMZN/options/?straddle=false&amp;strike=240&amp;type=all" TargetMode="External"/><Relationship Id="rId2102" Type="http://schemas.openxmlformats.org/officeDocument/2006/relationships/hyperlink" Target="https://finance.yahoo.com/quote/AMZN/options/?straddle=false&amp;strike=175&amp;type=all" TargetMode="External"/><Relationship Id="rId726" Type="http://schemas.openxmlformats.org/officeDocument/2006/relationships/hyperlink" Target="https://finance.yahoo.com/quote/AMZN/options/?straddle=false&amp;strike=165&amp;type=all" TargetMode="External"/><Relationship Id="rId933" Type="http://schemas.openxmlformats.org/officeDocument/2006/relationships/hyperlink" Target="https://finance.yahoo.com/quote/AMZN260515C00185000/" TargetMode="External"/><Relationship Id="rId1009" Type="http://schemas.openxmlformats.org/officeDocument/2006/relationships/hyperlink" Target="https://finance.yahoo.com/quote/AMZN260515C00125000/" TargetMode="External"/><Relationship Id="rId1563" Type="http://schemas.openxmlformats.org/officeDocument/2006/relationships/hyperlink" Target="https://finance.yahoo.com/quote/AMZN260227P00210000/" TargetMode="External"/><Relationship Id="rId1770" Type="http://schemas.openxmlformats.org/officeDocument/2006/relationships/hyperlink" Target="https://finance.yahoo.com/quote/AMZN/options/?straddle=false&amp;strike=205&amp;type=all" TargetMode="External"/><Relationship Id="rId1868" Type="http://schemas.openxmlformats.org/officeDocument/2006/relationships/hyperlink" Target="https://finance.yahoo.com/quote/AMZN/options/?straddle=false&amp;strike=260&amp;type=all" TargetMode="External"/><Relationship Id="rId2407" Type="http://schemas.openxmlformats.org/officeDocument/2006/relationships/hyperlink" Target="https://finance.yahoo.com/quote/AMZN260327P00170000/" TargetMode="External"/><Relationship Id="rId2614" Type="http://schemas.openxmlformats.org/officeDocument/2006/relationships/hyperlink" Target="https://finance.yahoo.com/quote/AMZN/options/?straddle=false&amp;strike=192.5&amp;type=all" TargetMode="External"/><Relationship Id="rId62" Type="http://schemas.openxmlformats.org/officeDocument/2006/relationships/hyperlink" Target="https://finance.yahoo.com/quote/AMZN/options/?straddle=false&amp;strike=240&amp;type=all" TargetMode="External"/><Relationship Id="rId1216" Type="http://schemas.openxmlformats.org/officeDocument/2006/relationships/hyperlink" Target="https://finance.yahoo.com/quote/AMZN/options/?straddle=false&amp;strike=140&amp;type=all" TargetMode="External"/><Relationship Id="rId1423" Type="http://schemas.openxmlformats.org/officeDocument/2006/relationships/hyperlink" Target="https://finance.yahoo.com/quote/AMZN260227C00180000/" TargetMode="External"/><Relationship Id="rId1630" Type="http://schemas.openxmlformats.org/officeDocument/2006/relationships/hyperlink" Target="https://finance.yahoo.com/quote/AMZN/options/?straddle=false&amp;strike=175&amp;type=all" TargetMode="External"/><Relationship Id="rId1728" Type="http://schemas.openxmlformats.org/officeDocument/2006/relationships/hyperlink" Target="https://finance.yahoo.com/quote/AMZN/options/?straddle=false&amp;strike=135&amp;type=all" TargetMode="External"/><Relationship Id="rId1935" Type="http://schemas.openxmlformats.org/officeDocument/2006/relationships/hyperlink" Target="https://finance.yahoo.com/quote/AMZN260318P00225000/" TargetMode="External"/><Relationship Id="rId2197" Type="http://schemas.openxmlformats.org/officeDocument/2006/relationships/hyperlink" Target="https://finance.yahoo.com/quote/AMZN260327P00135000/" TargetMode="External"/><Relationship Id="rId169" Type="http://schemas.openxmlformats.org/officeDocument/2006/relationships/hyperlink" Target="https://finance.yahoo.com/quote/AMZN260123P00250000/" TargetMode="External"/><Relationship Id="rId376" Type="http://schemas.openxmlformats.org/officeDocument/2006/relationships/hyperlink" Target="https://finance.yahoo.com/quote/AMZN/options/?straddle=false&amp;strike=290&amp;type=all" TargetMode="External"/><Relationship Id="rId583" Type="http://schemas.openxmlformats.org/officeDocument/2006/relationships/hyperlink" Target="https://finance.yahoo.com/quote/AMZN260515P00310000/" TargetMode="External"/><Relationship Id="rId790" Type="http://schemas.openxmlformats.org/officeDocument/2006/relationships/hyperlink" Target="https://finance.yahoo.com/quote/AMZN/options/?straddle=false&amp;strike=325&amp;type=all" TargetMode="External"/><Relationship Id="rId2057" Type="http://schemas.openxmlformats.org/officeDocument/2006/relationships/hyperlink" Target="https://finance.yahoo.com/quote/AMZN260320P00310000/" TargetMode="External"/><Relationship Id="rId2264" Type="http://schemas.openxmlformats.org/officeDocument/2006/relationships/hyperlink" Target="https://finance.yahoo.com/quote/AMZN/options/?straddle=false&amp;strike=237.5&amp;type=all" TargetMode="External"/><Relationship Id="rId2471" Type="http://schemas.openxmlformats.org/officeDocument/2006/relationships/hyperlink" Target="https://finance.yahoo.com/quote/AMZN260327P00265000/" TargetMode="External"/><Relationship Id="rId4" Type="http://schemas.openxmlformats.org/officeDocument/2006/relationships/hyperlink" Target="https://finance.yahoo.com/quote/AMZN/options/?straddle=false&amp;strike=130&amp;type=all" TargetMode="External"/><Relationship Id="rId236" Type="http://schemas.openxmlformats.org/officeDocument/2006/relationships/hyperlink" Target="https://finance.yahoo.com/quote/AMZN/options/?straddle=false&amp;strike=190&amp;type=all" TargetMode="External"/><Relationship Id="rId443" Type="http://schemas.openxmlformats.org/officeDocument/2006/relationships/hyperlink" Target="https://finance.yahoo.com/quote/AMZN260515C00210000/" TargetMode="External"/><Relationship Id="rId650" Type="http://schemas.openxmlformats.org/officeDocument/2006/relationships/hyperlink" Target="https://finance.yahoo.com/quote/AMZN/options/?straddle=false&amp;strike=225&amp;type=all" TargetMode="External"/><Relationship Id="rId888" Type="http://schemas.openxmlformats.org/officeDocument/2006/relationships/hyperlink" Target="https://finance.yahoo.com/quote/AMZN/options/?straddle=false&amp;strike=320&amp;type=all" TargetMode="External"/><Relationship Id="rId1073" Type="http://schemas.openxmlformats.org/officeDocument/2006/relationships/hyperlink" Target="https://finance.yahoo.com/quote/AMZN260515C00285000/" TargetMode="External"/><Relationship Id="rId1280" Type="http://schemas.openxmlformats.org/officeDocument/2006/relationships/hyperlink" Target="https://finance.yahoo.com/quote/AMZN/options/?straddle=false&amp;strike=300&amp;type=all" TargetMode="External"/><Relationship Id="rId2124" Type="http://schemas.openxmlformats.org/officeDocument/2006/relationships/hyperlink" Target="https://finance.yahoo.com/quote/AMZN/options/?straddle=false&amp;strike=202.5&amp;type=all" TargetMode="External"/><Relationship Id="rId2331" Type="http://schemas.openxmlformats.org/officeDocument/2006/relationships/hyperlink" Target="https://finance.yahoo.com/quote/AMZN260327C00217500/" TargetMode="External"/><Relationship Id="rId2569" Type="http://schemas.openxmlformats.org/officeDocument/2006/relationships/hyperlink" Target="https://finance.yahoo.com/quote/AMZN260410C00295000/" TargetMode="External"/><Relationship Id="rId303" Type="http://schemas.openxmlformats.org/officeDocument/2006/relationships/hyperlink" Target="https://finance.yahoo.com/quote/AMZN260515P00110000/" TargetMode="External"/><Relationship Id="rId748" Type="http://schemas.openxmlformats.org/officeDocument/2006/relationships/hyperlink" Target="https://finance.yahoo.com/quote/AMZN/options/?straddle=false&amp;strike=220&amp;type=all" TargetMode="External"/><Relationship Id="rId955" Type="http://schemas.openxmlformats.org/officeDocument/2006/relationships/hyperlink" Target="https://finance.yahoo.com/quote/AMZN260515C00240000/" TargetMode="External"/><Relationship Id="rId1140" Type="http://schemas.openxmlformats.org/officeDocument/2006/relationships/hyperlink" Target="https://finance.yahoo.com/quote/AMZN/options/?straddle=false&amp;strike=200&amp;type=all" TargetMode="External"/><Relationship Id="rId1378" Type="http://schemas.openxmlformats.org/officeDocument/2006/relationships/hyperlink" Target="https://finance.yahoo.com/quote/AMZN/options/?straddle=false&amp;strike=295&amp;type=all" TargetMode="External"/><Relationship Id="rId1585" Type="http://schemas.openxmlformats.org/officeDocument/2006/relationships/hyperlink" Target="https://finance.yahoo.com/quote/AMZN260227P00245000/" TargetMode="External"/><Relationship Id="rId1792" Type="http://schemas.openxmlformats.org/officeDocument/2006/relationships/hyperlink" Target="https://finance.yahoo.com/quote/AMZN/options/?straddle=false&amp;strike=235&amp;type=all" TargetMode="External"/><Relationship Id="rId2429" Type="http://schemas.openxmlformats.org/officeDocument/2006/relationships/hyperlink" Target="https://finance.yahoo.com/quote/AMZN260327P00200000/" TargetMode="External"/><Relationship Id="rId2636" Type="http://schemas.openxmlformats.org/officeDocument/2006/relationships/hyperlink" Target="https://finance.yahoo.com/quote/AMZN/options/?straddle=false&amp;strike=220&amp;type=all" TargetMode="External"/><Relationship Id="rId84" Type="http://schemas.openxmlformats.org/officeDocument/2006/relationships/hyperlink" Target="https://finance.yahoo.com/quote/AMZN/options/?straddle=false&amp;strike=267.5&amp;type=all" TargetMode="External"/><Relationship Id="rId510" Type="http://schemas.openxmlformats.org/officeDocument/2006/relationships/hyperlink" Target="https://finance.yahoo.com/quote/AMZN/options/?straddle=false&amp;strike=125&amp;type=all" TargetMode="External"/><Relationship Id="rId608" Type="http://schemas.openxmlformats.org/officeDocument/2006/relationships/hyperlink" Target="https://finance.yahoo.com/quote/AMZN/options/?straddle=false&amp;strike=120&amp;type=all" TargetMode="External"/><Relationship Id="rId815" Type="http://schemas.openxmlformats.org/officeDocument/2006/relationships/hyperlink" Target="https://finance.yahoo.com/quote/AMZN260515P00140000/" TargetMode="External"/><Relationship Id="rId1238" Type="http://schemas.openxmlformats.org/officeDocument/2006/relationships/hyperlink" Target="https://finance.yahoo.com/quote/AMZN/options/?straddle=false&amp;strike=195&amp;type=all" TargetMode="External"/><Relationship Id="rId1445" Type="http://schemas.openxmlformats.org/officeDocument/2006/relationships/hyperlink" Target="https://finance.yahoo.com/quote/AMZN260227C00207500/" TargetMode="External"/><Relationship Id="rId1652" Type="http://schemas.openxmlformats.org/officeDocument/2006/relationships/hyperlink" Target="https://finance.yahoo.com/quote/AMZN/options/?straddle=false&amp;strike=202.5&amp;type=all" TargetMode="External"/><Relationship Id="rId1000" Type="http://schemas.openxmlformats.org/officeDocument/2006/relationships/hyperlink" Target="https://finance.yahoo.com/quote/AMZN/options/?straddle=false&amp;strike=370&amp;type=all" TargetMode="External"/><Relationship Id="rId1305" Type="http://schemas.openxmlformats.org/officeDocument/2006/relationships/hyperlink" Target="https://finance.yahoo.com/quote/AMZN260515P00115000/" TargetMode="External"/><Relationship Id="rId1957" Type="http://schemas.openxmlformats.org/officeDocument/2006/relationships/hyperlink" Target="https://finance.yahoo.com/quote/AMZN260320P00110000/" TargetMode="External"/><Relationship Id="rId1512" Type="http://schemas.openxmlformats.org/officeDocument/2006/relationships/hyperlink" Target="https://finance.yahoo.com/quote/AMZN/options/?straddle=false&amp;strike=345&amp;type=all" TargetMode="External"/><Relationship Id="rId1817" Type="http://schemas.openxmlformats.org/officeDocument/2006/relationships/hyperlink" Target="https://finance.yahoo.com/quote/AMZN260318C00170000/" TargetMode="External"/><Relationship Id="rId11" Type="http://schemas.openxmlformats.org/officeDocument/2006/relationships/hyperlink" Target="https://finance.yahoo.com/quote/AMZN260123C00150000/" TargetMode="External"/><Relationship Id="rId398" Type="http://schemas.openxmlformats.org/officeDocument/2006/relationships/hyperlink" Target="https://finance.yahoo.com/quote/AMZN/options/?straddle=false&amp;strike=360&amp;type=all" TargetMode="External"/><Relationship Id="rId2079" Type="http://schemas.openxmlformats.org/officeDocument/2006/relationships/hyperlink" Target="https://finance.yahoo.com/quote/AMZN260320P00370000/" TargetMode="External"/><Relationship Id="rId160" Type="http://schemas.openxmlformats.org/officeDocument/2006/relationships/hyperlink" Target="https://finance.yahoo.com/quote/AMZN/options/?straddle=false&amp;strike=237.5&amp;type=all" TargetMode="External"/><Relationship Id="rId2286" Type="http://schemas.openxmlformats.org/officeDocument/2006/relationships/hyperlink" Target="https://finance.yahoo.com/quote/AMZN/options/?straddle=false&amp;strike=145&amp;type=all" TargetMode="External"/><Relationship Id="rId2493" Type="http://schemas.openxmlformats.org/officeDocument/2006/relationships/hyperlink" Target="https://finance.yahoo.com/quote/AMZN260410C00170000/" TargetMode="External"/><Relationship Id="rId258" Type="http://schemas.openxmlformats.org/officeDocument/2006/relationships/hyperlink" Target="https://finance.yahoo.com/quote/AMZN/options/?straddle=false&amp;strike=245&amp;type=all" TargetMode="External"/><Relationship Id="rId465" Type="http://schemas.openxmlformats.org/officeDocument/2006/relationships/hyperlink" Target="https://finance.yahoo.com/quote/AMZN260515C00265000/" TargetMode="External"/><Relationship Id="rId672" Type="http://schemas.openxmlformats.org/officeDocument/2006/relationships/hyperlink" Target="https://finance.yahoo.com/quote/AMZN/options/?straddle=false&amp;strike=280&amp;type=all" TargetMode="External"/><Relationship Id="rId1095" Type="http://schemas.openxmlformats.org/officeDocument/2006/relationships/hyperlink" Target="https://finance.yahoo.com/quote/AMZN260515C00350000/" TargetMode="External"/><Relationship Id="rId2146" Type="http://schemas.openxmlformats.org/officeDocument/2006/relationships/hyperlink" Target="https://finance.yahoo.com/quote/AMZN/options/?straddle=false&amp;strike=230&amp;type=all" TargetMode="External"/><Relationship Id="rId2353" Type="http://schemas.openxmlformats.org/officeDocument/2006/relationships/hyperlink" Target="https://finance.yahoo.com/quote/AMZN260327C00250000/" TargetMode="External"/><Relationship Id="rId2560" Type="http://schemas.openxmlformats.org/officeDocument/2006/relationships/hyperlink" Target="https://finance.yahoo.com/quote/AMZN/options/?straddle=false&amp;strike=270&amp;type=all" TargetMode="External"/><Relationship Id="rId118" Type="http://schemas.openxmlformats.org/officeDocument/2006/relationships/hyperlink" Target="https://finance.yahoo.com/quote/AMZN/options/?straddle=false&amp;strike=165&amp;type=all" TargetMode="External"/><Relationship Id="rId325" Type="http://schemas.openxmlformats.org/officeDocument/2006/relationships/hyperlink" Target="https://finance.yahoo.com/quote/AMZN260515P00165000/" TargetMode="External"/><Relationship Id="rId532" Type="http://schemas.openxmlformats.org/officeDocument/2006/relationships/hyperlink" Target="https://finance.yahoo.com/quote/AMZN/options/?straddle=false&amp;strike=180&amp;type=all" TargetMode="External"/><Relationship Id="rId977" Type="http://schemas.openxmlformats.org/officeDocument/2006/relationships/hyperlink" Target="https://finance.yahoo.com/quote/AMZN260515C00295000/" TargetMode="External"/><Relationship Id="rId1162" Type="http://schemas.openxmlformats.org/officeDocument/2006/relationships/hyperlink" Target="https://finance.yahoo.com/quote/AMZN/options/?straddle=false&amp;strike=255&amp;type=all" TargetMode="External"/><Relationship Id="rId2006" Type="http://schemas.openxmlformats.org/officeDocument/2006/relationships/hyperlink" Target="https://finance.yahoo.com/quote/AMZN/options/?straddle=false&amp;strike=207.5&amp;type=all" TargetMode="External"/><Relationship Id="rId2213" Type="http://schemas.openxmlformats.org/officeDocument/2006/relationships/hyperlink" Target="https://finance.yahoo.com/quote/AMZN260327P00175000/" TargetMode="External"/><Relationship Id="rId2420" Type="http://schemas.openxmlformats.org/officeDocument/2006/relationships/hyperlink" Target="https://finance.yahoo.com/quote/AMZN/options/?straddle=false&amp;strike=187.5&amp;type=all" TargetMode="External"/><Relationship Id="rId2658" Type="http://schemas.openxmlformats.org/officeDocument/2006/relationships/hyperlink" Target="https://finance.yahoo.com/quote/AMZN/options/?straddle=false&amp;strike=280&amp;type=all" TargetMode="External"/><Relationship Id="rId837" Type="http://schemas.openxmlformats.org/officeDocument/2006/relationships/hyperlink" Target="https://finance.yahoo.com/quote/AMZN260515P00195000/" TargetMode="External"/><Relationship Id="rId1022" Type="http://schemas.openxmlformats.org/officeDocument/2006/relationships/hyperlink" Target="https://finance.yahoo.com/quote/AMZN/options/?straddle=false&amp;strike=155&amp;type=all" TargetMode="External"/><Relationship Id="rId1467" Type="http://schemas.openxmlformats.org/officeDocument/2006/relationships/hyperlink" Target="https://finance.yahoo.com/quote/AMZN260227C00235000/" TargetMode="External"/><Relationship Id="rId1674" Type="http://schemas.openxmlformats.org/officeDocument/2006/relationships/hyperlink" Target="https://finance.yahoo.com/quote/AMZN/options/?straddle=false&amp;strike=230&amp;type=all" TargetMode="External"/><Relationship Id="rId1881" Type="http://schemas.openxmlformats.org/officeDocument/2006/relationships/hyperlink" Target="https://finance.yahoo.com/quote/AMZN260318P00150000/" TargetMode="External"/><Relationship Id="rId2518" Type="http://schemas.openxmlformats.org/officeDocument/2006/relationships/hyperlink" Target="https://finance.yahoo.com/quote/AMZN/options/?straddle=false&amp;strike=200&amp;type=all" TargetMode="External"/><Relationship Id="rId904" Type="http://schemas.openxmlformats.org/officeDocument/2006/relationships/hyperlink" Target="https://finance.yahoo.com/quote/AMZN/options/?straddle=false&amp;strike=110&amp;type=all" TargetMode="External"/><Relationship Id="rId1327" Type="http://schemas.openxmlformats.org/officeDocument/2006/relationships/hyperlink" Target="https://finance.yahoo.com/quote/AMZN260515P00170000/" TargetMode="External"/><Relationship Id="rId1534" Type="http://schemas.openxmlformats.org/officeDocument/2006/relationships/hyperlink" Target="https://finance.yahoo.com/quote/AMZN/options/?straddle=false&amp;strike=172.5&amp;type=all" TargetMode="External"/><Relationship Id="rId1741" Type="http://schemas.openxmlformats.org/officeDocument/2006/relationships/hyperlink" Target="https://finance.yahoo.com/quote/AMZN260306P00170000/" TargetMode="External"/><Relationship Id="rId1979" Type="http://schemas.openxmlformats.org/officeDocument/2006/relationships/hyperlink" Target="https://finance.yahoo.com/quote/AMZN260320P00165000/" TargetMode="External"/><Relationship Id="rId33" Type="http://schemas.openxmlformats.org/officeDocument/2006/relationships/hyperlink" Target="https://finance.yahoo.com/quote/AMZN260123C00205000/" TargetMode="External"/><Relationship Id="rId1601" Type="http://schemas.openxmlformats.org/officeDocument/2006/relationships/hyperlink" Target="https://finance.yahoo.com/quote/AMZN260227P00290000/" TargetMode="External"/><Relationship Id="rId1839" Type="http://schemas.openxmlformats.org/officeDocument/2006/relationships/hyperlink" Target="https://finance.yahoo.com/quote/AMZN260318C00210000/" TargetMode="External"/><Relationship Id="rId182" Type="http://schemas.openxmlformats.org/officeDocument/2006/relationships/hyperlink" Target="https://finance.yahoo.com/quote/AMZN/options/?straddle=false&amp;strike=265&amp;type=all" TargetMode="External"/><Relationship Id="rId1906" Type="http://schemas.openxmlformats.org/officeDocument/2006/relationships/hyperlink" Target="https://finance.yahoo.com/quote/AMZN/options/?straddle=false&amp;strike=187.5&amp;type=all" TargetMode="External"/><Relationship Id="rId487" Type="http://schemas.openxmlformats.org/officeDocument/2006/relationships/hyperlink" Target="https://finance.yahoo.com/quote/AMZN260515C00320000/" TargetMode="External"/><Relationship Id="rId694" Type="http://schemas.openxmlformats.org/officeDocument/2006/relationships/hyperlink" Target="https://finance.yahoo.com/quote/AMZN/options/?straddle=false&amp;strike=340&amp;type=all" TargetMode="External"/><Relationship Id="rId2070" Type="http://schemas.openxmlformats.org/officeDocument/2006/relationships/hyperlink" Target="https://finance.yahoo.com/quote/AMZN/options/?straddle=false&amp;strike=340&amp;type=all" TargetMode="External"/><Relationship Id="rId2168" Type="http://schemas.openxmlformats.org/officeDocument/2006/relationships/hyperlink" Target="https://finance.yahoo.com/quote/AMZN/options/?straddle=false&amp;strike=275&amp;type=all" TargetMode="External"/><Relationship Id="rId2375" Type="http://schemas.openxmlformats.org/officeDocument/2006/relationships/hyperlink" Target="https://finance.yahoo.com/quote/AMZN260327C00305000/" TargetMode="External"/><Relationship Id="rId347" Type="http://schemas.openxmlformats.org/officeDocument/2006/relationships/hyperlink" Target="https://finance.yahoo.com/quote/AMZN260515P00220000/" TargetMode="External"/><Relationship Id="rId999" Type="http://schemas.openxmlformats.org/officeDocument/2006/relationships/hyperlink" Target="https://finance.yahoo.com/quote/AMZN260515C00370000/" TargetMode="External"/><Relationship Id="rId1184" Type="http://schemas.openxmlformats.org/officeDocument/2006/relationships/hyperlink" Target="https://finance.yahoo.com/quote/AMZN/options/?straddle=false&amp;strike=310&amp;type=all" TargetMode="External"/><Relationship Id="rId2028" Type="http://schemas.openxmlformats.org/officeDocument/2006/relationships/hyperlink" Target="https://finance.yahoo.com/quote/AMZN/options/?straddle=false&amp;strike=235&amp;type=all" TargetMode="External"/><Relationship Id="rId2582" Type="http://schemas.openxmlformats.org/officeDocument/2006/relationships/hyperlink" Target="https://finance.yahoo.com/quote/AMZN/options/?straddle=false&amp;strike=135&amp;type=all" TargetMode="External"/><Relationship Id="rId554" Type="http://schemas.openxmlformats.org/officeDocument/2006/relationships/hyperlink" Target="https://finance.yahoo.com/quote/AMZN/options/?straddle=false&amp;strike=235&amp;type=all" TargetMode="External"/><Relationship Id="rId761" Type="http://schemas.openxmlformats.org/officeDocument/2006/relationships/hyperlink" Target="https://finance.yahoo.com/quote/AMZN260515P00255000/" TargetMode="External"/><Relationship Id="rId859" Type="http://schemas.openxmlformats.org/officeDocument/2006/relationships/hyperlink" Target="https://finance.yahoo.com/quote/AMZN260515P00250000/" TargetMode="External"/><Relationship Id="rId1391" Type="http://schemas.openxmlformats.org/officeDocument/2006/relationships/hyperlink" Target="https://finance.yahoo.com/quote/AMZN260515P00330000/" TargetMode="External"/><Relationship Id="rId1489" Type="http://schemas.openxmlformats.org/officeDocument/2006/relationships/hyperlink" Target="https://finance.yahoo.com/quote/AMZN260227C00290000/" TargetMode="External"/><Relationship Id="rId1696" Type="http://schemas.openxmlformats.org/officeDocument/2006/relationships/hyperlink" Target="https://finance.yahoo.com/quote/AMZN/options/?straddle=false&amp;strike=280&amp;type=all" TargetMode="External"/><Relationship Id="rId2235" Type="http://schemas.openxmlformats.org/officeDocument/2006/relationships/hyperlink" Target="https://finance.yahoo.com/quote/AMZN260327P00202500/" TargetMode="External"/><Relationship Id="rId2442" Type="http://schemas.openxmlformats.org/officeDocument/2006/relationships/hyperlink" Target="https://finance.yahoo.com/quote/AMZN/options/?straddle=false&amp;strike=215&amp;type=all" TargetMode="External"/><Relationship Id="rId207" Type="http://schemas.openxmlformats.org/officeDocument/2006/relationships/hyperlink" Target="https://finance.yahoo.com/quote/AMZN260515C00120000/" TargetMode="External"/><Relationship Id="rId414" Type="http://schemas.openxmlformats.org/officeDocument/2006/relationships/hyperlink" Target="https://finance.yahoo.com/quote/AMZN/options/?straddle=false&amp;strike=135&amp;type=all" TargetMode="External"/><Relationship Id="rId621" Type="http://schemas.openxmlformats.org/officeDocument/2006/relationships/hyperlink" Target="https://finance.yahoo.com/quote/AMZN260515C00155000/" TargetMode="External"/><Relationship Id="rId1044" Type="http://schemas.openxmlformats.org/officeDocument/2006/relationships/hyperlink" Target="https://finance.yahoo.com/quote/AMZN/options/?straddle=false&amp;strike=210&amp;type=all" TargetMode="External"/><Relationship Id="rId1251" Type="http://schemas.openxmlformats.org/officeDocument/2006/relationships/hyperlink" Target="https://finance.yahoo.com/quote/AMZN260515C00230000/" TargetMode="External"/><Relationship Id="rId1349" Type="http://schemas.openxmlformats.org/officeDocument/2006/relationships/hyperlink" Target="https://finance.yahoo.com/quote/AMZN260515P00225000/" TargetMode="External"/><Relationship Id="rId2302" Type="http://schemas.openxmlformats.org/officeDocument/2006/relationships/hyperlink" Target="https://finance.yahoo.com/quote/AMZN/options/?straddle=false&amp;strike=180&amp;type=all" TargetMode="External"/><Relationship Id="rId719" Type="http://schemas.openxmlformats.org/officeDocument/2006/relationships/hyperlink" Target="https://finance.yahoo.com/quote/AMZN260515P00150000/" TargetMode="External"/><Relationship Id="rId926" Type="http://schemas.openxmlformats.org/officeDocument/2006/relationships/hyperlink" Target="https://finance.yahoo.com/quote/AMZN/options/?straddle=false&amp;strike=165&amp;type=all" TargetMode="External"/><Relationship Id="rId1111" Type="http://schemas.openxmlformats.org/officeDocument/2006/relationships/hyperlink" Target="https://finance.yahoo.com/quote/AMZN260515P00130000/" TargetMode="External"/><Relationship Id="rId1556" Type="http://schemas.openxmlformats.org/officeDocument/2006/relationships/hyperlink" Target="https://finance.yahoo.com/quote/AMZN/options/?straddle=false&amp;strike=200&amp;type=all" TargetMode="External"/><Relationship Id="rId1763" Type="http://schemas.openxmlformats.org/officeDocument/2006/relationships/hyperlink" Target="https://finance.yahoo.com/quote/AMZN260306P00197500/" TargetMode="External"/><Relationship Id="rId1970" Type="http://schemas.openxmlformats.org/officeDocument/2006/relationships/hyperlink" Target="https://finance.yahoo.com/quote/AMZN/options/?straddle=false&amp;strike=140&amp;type=all" TargetMode="External"/><Relationship Id="rId2607" Type="http://schemas.openxmlformats.org/officeDocument/2006/relationships/hyperlink" Target="https://finance.yahoo.com/quote/AMZN260410P00185000/" TargetMode="External"/><Relationship Id="rId55" Type="http://schemas.openxmlformats.org/officeDocument/2006/relationships/hyperlink" Target="https://finance.yahoo.com/quote/AMZN260123C00232500/" TargetMode="External"/><Relationship Id="rId1209" Type="http://schemas.openxmlformats.org/officeDocument/2006/relationships/hyperlink" Target="https://finance.yahoo.com/quote/AMZN260515C00125000/" TargetMode="External"/><Relationship Id="rId1416" Type="http://schemas.openxmlformats.org/officeDocument/2006/relationships/hyperlink" Target="https://finance.yahoo.com/quote/AMZN/options/?straddle=false&amp;strike=165&amp;type=all" TargetMode="External"/><Relationship Id="rId1623" Type="http://schemas.openxmlformats.org/officeDocument/2006/relationships/hyperlink" Target="https://finance.yahoo.com/quote/AMZN260306C00165000/" TargetMode="External"/><Relationship Id="rId1830" Type="http://schemas.openxmlformats.org/officeDocument/2006/relationships/hyperlink" Target="https://finance.yahoo.com/quote/AMZN/options/?straddle=false&amp;strike=197.5&amp;type=all" TargetMode="External"/><Relationship Id="rId1928" Type="http://schemas.openxmlformats.org/officeDocument/2006/relationships/hyperlink" Target="https://finance.yahoo.com/quote/AMZN/options/?straddle=false&amp;strike=215&amp;type=all" TargetMode="External"/><Relationship Id="rId2092" Type="http://schemas.openxmlformats.org/officeDocument/2006/relationships/hyperlink" Target="https://finance.yahoo.com/quote/AMZN/options/?straddle=false&amp;strike=150&amp;type=all" TargetMode="External"/><Relationship Id="rId271" Type="http://schemas.openxmlformats.org/officeDocument/2006/relationships/hyperlink" Target="https://finance.yahoo.com/quote/AMZN260515C00280000/" TargetMode="External"/><Relationship Id="rId2397" Type="http://schemas.openxmlformats.org/officeDocument/2006/relationships/hyperlink" Target="https://finance.yahoo.com/quote/AMZN260327P00145000/" TargetMode="External"/><Relationship Id="rId131" Type="http://schemas.openxmlformats.org/officeDocument/2006/relationships/hyperlink" Target="https://finance.yahoo.com/quote/AMZN260123P00200000/" TargetMode="External"/><Relationship Id="rId369" Type="http://schemas.openxmlformats.org/officeDocument/2006/relationships/hyperlink" Target="https://finance.yahoo.com/quote/AMZN260515P00275000/" TargetMode="External"/><Relationship Id="rId576" Type="http://schemas.openxmlformats.org/officeDocument/2006/relationships/hyperlink" Target="https://finance.yahoo.com/quote/AMZN/options/?straddle=false&amp;strike=290&amp;type=all" TargetMode="External"/><Relationship Id="rId783" Type="http://schemas.openxmlformats.org/officeDocument/2006/relationships/hyperlink" Target="https://finance.yahoo.com/quote/AMZN260515P00310000/" TargetMode="External"/><Relationship Id="rId990" Type="http://schemas.openxmlformats.org/officeDocument/2006/relationships/hyperlink" Target="https://finance.yahoo.com/quote/AMZN/options/?straddle=false&amp;strike=325&amp;type=all" TargetMode="External"/><Relationship Id="rId2257" Type="http://schemas.openxmlformats.org/officeDocument/2006/relationships/hyperlink" Target="https://finance.yahoo.com/quote/AMZN260327P00230000/" TargetMode="External"/><Relationship Id="rId2464" Type="http://schemas.openxmlformats.org/officeDocument/2006/relationships/hyperlink" Target="https://finance.yahoo.com/quote/AMZN/options/?straddle=false&amp;strike=245&amp;type=all" TargetMode="External"/><Relationship Id="rId229" Type="http://schemas.openxmlformats.org/officeDocument/2006/relationships/hyperlink" Target="https://finance.yahoo.com/quote/AMZN260515C00175000/" TargetMode="External"/><Relationship Id="rId436" Type="http://schemas.openxmlformats.org/officeDocument/2006/relationships/hyperlink" Target="https://finance.yahoo.com/quote/AMZN/options/?straddle=false&amp;strike=190&amp;type=all" TargetMode="External"/><Relationship Id="rId643" Type="http://schemas.openxmlformats.org/officeDocument/2006/relationships/hyperlink" Target="https://finance.yahoo.com/quote/AMZN260515C00210000/" TargetMode="External"/><Relationship Id="rId1066" Type="http://schemas.openxmlformats.org/officeDocument/2006/relationships/hyperlink" Target="https://finance.yahoo.com/quote/AMZN/options/?straddle=false&amp;strike=265&amp;type=all" TargetMode="External"/><Relationship Id="rId1273" Type="http://schemas.openxmlformats.org/officeDocument/2006/relationships/hyperlink" Target="https://finance.yahoo.com/quote/AMZN260515C00285000/" TargetMode="External"/><Relationship Id="rId1480" Type="http://schemas.openxmlformats.org/officeDocument/2006/relationships/hyperlink" Target="https://finance.yahoo.com/quote/AMZN/options/?straddle=false&amp;strike=265&amp;type=all" TargetMode="External"/><Relationship Id="rId2117" Type="http://schemas.openxmlformats.org/officeDocument/2006/relationships/hyperlink" Target="https://finance.yahoo.com/quote/AMZN260327C00195000/" TargetMode="External"/><Relationship Id="rId2324" Type="http://schemas.openxmlformats.org/officeDocument/2006/relationships/hyperlink" Target="https://finance.yahoo.com/quote/AMZN/options/?straddle=false&amp;strike=207.5&amp;type=all" TargetMode="External"/><Relationship Id="rId850" Type="http://schemas.openxmlformats.org/officeDocument/2006/relationships/hyperlink" Target="https://finance.yahoo.com/quote/AMZN/options/?straddle=false&amp;strike=225&amp;type=all" TargetMode="External"/><Relationship Id="rId948" Type="http://schemas.openxmlformats.org/officeDocument/2006/relationships/hyperlink" Target="https://finance.yahoo.com/quote/AMZN/options/?straddle=false&amp;strike=220&amp;type=all" TargetMode="External"/><Relationship Id="rId1133" Type="http://schemas.openxmlformats.org/officeDocument/2006/relationships/hyperlink" Target="https://finance.yahoo.com/quote/AMZN260515P00185000/" TargetMode="External"/><Relationship Id="rId1578" Type="http://schemas.openxmlformats.org/officeDocument/2006/relationships/hyperlink" Target="https://finance.yahoo.com/quote/AMZN/options/?straddle=false&amp;strike=227.5&amp;type=all" TargetMode="External"/><Relationship Id="rId1785" Type="http://schemas.openxmlformats.org/officeDocument/2006/relationships/hyperlink" Target="https://finance.yahoo.com/quote/AMZN260306P00225000/" TargetMode="External"/><Relationship Id="rId1992" Type="http://schemas.openxmlformats.org/officeDocument/2006/relationships/hyperlink" Target="https://finance.yahoo.com/quote/AMZN/options/?straddle=false&amp;strike=190&amp;type=all" TargetMode="External"/><Relationship Id="rId2531" Type="http://schemas.openxmlformats.org/officeDocument/2006/relationships/hyperlink" Target="https://finance.yahoo.com/quote/AMZN260410C00217500/" TargetMode="External"/><Relationship Id="rId2629" Type="http://schemas.openxmlformats.org/officeDocument/2006/relationships/hyperlink" Target="https://finance.yahoo.com/quote/AMZN260410P00212500/" TargetMode="External"/><Relationship Id="rId77" Type="http://schemas.openxmlformats.org/officeDocument/2006/relationships/hyperlink" Target="https://finance.yahoo.com/quote/AMZN260123C00260000/" TargetMode="External"/><Relationship Id="rId503" Type="http://schemas.openxmlformats.org/officeDocument/2006/relationships/hyperlink" Target="https://finance.yahoo.com/quote/AMZN260515P00110000/" TargetMode="External"/><Relationship Id="rId710" Type="http://schemas.openxmlformats.org/officeDocument/2006/relationships/hyperlink" Target="https://finance.yahoo.com/quote/AMZN/options/?straddle=false&amp;strike=125&amp;type=all" TargetMode="External"/><Relationship Id="rId808" Type="http://schemas.openxmlformats.org/officeDocument/2006/relationships/hyperlink" Target="https://finance.yahoo.com/quote/AMZN/options/?straddle=false&amp;strike=120&amp;type=all" TargetMode="External"/><Relationship Id="rId1340" Type="http://schemas.openxmlformats.org/officeDocument/2006/relationships/hyperlink" Target="https://finance.yahoo.com/quote/AMZN/options/?straddle=false&amp;strike=200&amp;type=all" TargetMode="External"/><Relationship Id="rId1438" Type="http://schemas.openxmlformats.org/officeDocument/2006/relationships/hyperlink" Target="https://finance.yahoo.com/quote/AMZN/options/?straddle=false&amp;strike=197.5&amp;type=all" TargetMode="External"/><Relationship Id="rId1645" Type="http://schemas.openxmlformats.org/officeDocument/2006/relationships/hyperlink" Target="https://finance.yahoo.com/quote/AMZN260306C00195000/" TargetMode="External"/><Relationship Id="rId1200" Type="http://schemas.openxmlformats.org/officeDocument/2006/relationships/hyperlink" Target="https://finance.yahoo.com/quote/AMZN/options/?straddle=false&amp;strike=370&amp;type=all" TargetMode="External"/><Relationship Id="rId1852" Type="http://schemas.openxmlformats.org/officeDocument/2006/relationships/hyperlink" Target="https://finance.yahoo.com/quote/AMZN/options/?straddle=false&amp;strike=225&amp;type=all" TargetMode="External"/><Relationship Id="rId1505" Type="http://schemas.openxmlformats.org/officeDocument/2006/relationships/hyperlink" Target="https://finance.yahoo.com/quote/AMZN260227C00330000/" TargetMode="External"/><Relationship Id="rId1712" Type="http://schemas.openxmlformats.org/officeDocument/2006/relationships/hyperlink" Target="https://finance.yahoo.com/quote/AMZN/options/?straddle=false&amp;strike=320&amp;type=all" TargetMode="External"/><Relationship Id="rId293" Type="http://schemas.openxmlformats.org/officeDocument/2006/relationships/hyperlink" Target="https://finance.yahoo.com/quote/AMZN260515C00340000/" TargetMode="External"/><Relationship Id="rId2181" Type="http://schemas.openxmlformats.org/officeDocument/2006/relationships/hyperlink" Target="https://finance.yahoo.com/quote/AMZN260327C00310000/" TargetMode="External"/><Relationship Id="rId153" Type="http://schemas.openxmlformats.org/officeDocument/2006/relationships/hyperlink" Target="https://finance.yahoo.com/quote/AMZN260123P00230000/" TargetMode="External"/><Relationship Id="rId360" Type="http://schemas.openxmlformats.org/officeDocument/2006/relationships/hyperlink" Target="https://finance.yahoo.com/quote/AMZN/options/?straddle=false&amp;strike=250&amp;type=all" TargetMode="External"/><Relationship Id="rId598" Type="http://schemas.openxmlformats.org/officeDocument/2006/relationships/hyperlink" Target="https://finance.yahoo.com/quote/AMZN/options/?straddle=false&amp;strike=360&amp;type=all" TargetMode="External"/><Relationship Id="rId2041" Type="http://schemas.openxmlformats.org/officeDocument/2006/relationships/hyperlink" Target="https://finance.yahoo.com/quote/AMZN260320P00270000/" TargetMode="External"/><Relationship Id="rId2279" Type="http://schemas.openxmlformats.org/officeDocument/2006/relationships/hyperlink" Target="https://finance.yahoo.com/quote/AMZN260327C00130000/" TargetMode="External"/><Relationship Id="rId2486" Type="http://schemas.openxmlformats.org/officeDocument/2006/relationships/hyperlink" Target="https://finance.yahoo.com/quote/AMZN/options/?straddle=false&amp;strike=150&amp;type=all" TargetMode="External"/><Relationship Id="rId220" Type="http://schemas.openxmlformats.org/officeDocument/2006/relationships/hyperlink" Target="https://finance.yahoo.com/quote/AMZN/options/?straddle=false&amp;strike=150&amp;type=all" TargetMode="External"/><Relationship Id="rId458" Type="http://schemas.openxmlformats.org/officeDocument/2006/relationships/hyperlink" Target="https://finance.yahoo.com/quote/AMZN/options/?straddle=false&amp;strike=245&amp;type=all" TargetMode="External"/><Relationship Id="rId665" Type="http://schemas.openxmlformats.org/officeDocument/2006/relationships/hyperlink" Target="https://finance.yahoo.com/quote/AMZN260515C00265000/" TargetMode="External"/><Relationship Id="rId872" Type="http://schemas.openxmlformats.org/officeDocument/2006/relationships/hyperlink" Target="https://finance.yahoo.com/quote/AMZN/options/?straddle=false&amp;strike=280&amp;type=all" TargetMode="External"/><Relationship Id="rId1088" Type="http://schemas.openxmlformats.org/officeDocument/2006/relationships/hyperlink" Target="https://finance.yahoo.com/quote/AMZN/options/?straddle=false&amp;strike=320&amp;type=all" TargetMode="External"/><Relationship Id="rId1295" Type="http://schemas.openxmlformats.org/officeDocument/2006/relationships/hyperlink" Target="https://finance.yahoo.com/quote/AMZN260515C00350000/" TargetMode="External"/><Relationship Id="rId2139" Type="http://schemas.openxmlformats.org/officeDocument/2006/relationships/hyperlink" Target="https://finance.yahoo.com/quote/AMZN260327C00222500/" TargetMode="External"/><Relationship Id="rId2346" Type="http://schemas.openxmlformats.org/officeDocument/2006/relationships/hyperlink" Target="https://finance.yahoo.com/quote/AMZN/options/?straddle=false&amp;strike=235&amp;type=all" TargetMode="External"/><Relationship Id="rId2553" Type="http://schemas.openxmlformats.org/officeDocument/2006/relationships/hyperlink" Target="https://finance.yahoo.com/quote/AMZN260410C00255000/" TargetMode="External"/><Relationship Id="rId318" Type="http://schemas.openxmlformats.org/officeDocument/2006/relationships/hyperlink" Target="https://finance.yahoo.com/quote/AMZN/options/?straddle=false&amp;strike=145&amp;type=all" TargetMode="External"/><Relationship Id="rId525" Type="http://schemas.openxmlformats.org/officeDocument/2006/relationships/hyperlink" Target="https://finance.yahoo.com/quote/AMZN260515P00165000/" TargetMode="External"/><Relationship Id="rId732" Type="http://schemas.openxmlformats.org/officeDocument/2006/relationships/hyperlink" Target="https://finance.yahoo.com/quote/AMZN/options/?straddle=false&amp;strike=180&amp;type=all" TargetMode="External"/><Relationship Id="rId1155" Type="http://schemas.openxmlformats.org/officeDocument/2006/relationships/hyperlink" Target="https://finance.yahoo.com/quote/AMZN260515P00240000/" TargetMode="External"/><Relationship Id="rId1362" Type="http://schemas.openxmlformats.org/officeDocument/2006/relationships/hyperlink" Target="https://finance.yahoo.com/quote/AMZN/options/?straddle=false&amp;strike=255&amp;type=all" TargetMode="External"/><Relationship Id="rId2206" Type="http://schemas.openxmlformats.org/officeDocument/2006/relationships/hyperlink" Target="https://finance.yahoo.com/quote/AMZN/options/?straddle=false&amp;strike=155&amp;type=all" TargetMode="External"/><Relationship Id="rId2413" Type="http://schemas.openxmlformats.org/officeDocument/2006/relationships/hyperlink" Target="https://finance.yahoo.com/quote/AMZN260327P00180000/" TargetMode="External"/><Relationship Id="rId2620" Type="http://schemas.openxmlformats.org/officeDocument/2006/relationships/hyperlink" Target="https://finance.yahoo.com/quote/AMZN/options/?straddle=false&amp;strike=200&amp;type=all" TargetMode="External"/><Relationship Id="rId99" Type="http://schemas.openxmlformats.org/officeDocument/2006/relationships/hyperlink" Target="https://finance.yahoo.com/quote/AMZN260123C00305000/" TargetMode="External"/><Relationship Id="rId1015" Type="http://schemas.openxmlformats.org/officeDocument/2006/relationships/hyperlink" Target="https://finance.yahoo.com/quote/AMZN260515C00140000/" TargetMode="External"/><Relationship Id="rId1222" Type="http://schemas.openxmlformats.org/officeDocument/2006/relationships/hyperlink" Target="https://finance.yahoo.com/quote/AMZN/options/?straddle=false&amp;strike=155&amp;type=all" TargetMode="External"/><Relationship Id="rId1667" Type="http://schemas.openxmlformats.org/officeDocument/2006/relationships/hyperlink" Target="https://finance.yahoo.com/quote/AMZN260306C00222500/" TargetMode="External"/><Relationship Id="rId1874" Type="http://schemas.openxmlformats.org/officeDocument/2006/relationships/hyperlink" Target="https://finance.yahoo.com/quote/AMZN/options/?straddle=false&amp;strike=275&amp;type=all" TargetMode="External"/><Relationship Id="rId1527" Type="http://schemas.openxmlformats.org/officeDocument/2006/relationships/hyperlink" Target="https://finance.yahoo.com/quote/AMZN260227P00160000/" TargetMode="External"/><Relationship Id="rId1734" Type="http://schemas.openxmlformats.org/officeDocument/2006/relationships/hyperlink" Target="https://finance.yahoo.com/quote/AMZN/options/?straddle=false&amp;strike=150&amp;type=all" TargetMode="External"/><Relationship Id="rId1941" Type="http://schemas.openxmlformats.org/officeDocument/2006/relationships/hyperlink" Target="https://finance.yahoo.com/quote/AMZN260318P00235000/" TargetMode="External"/><Relationship Id="rId26" Type="http://schemas.openxmlformats.org/officeDocument/2006/relationships/hyperlink" Target="https://finance.yahoo.com/quote/AMZN/options/?straddle=false&amp;strike=185&amp;type=all" TargetMode="External"/><Relationship Id="rId175" Type="http://schemas.openxmlformats.org/officeDocument/2006/relationships/hyperlink" Target="https://finance.yahoo.com/quote/AMZN260123P00257500/" TargetMode="External"/><Relationship Id="rId1801" Type="http://schemas.openxmlformats.org/officeDocument/2006/relationships/hyperlink" Target="https://finance.yahoo.com/quote/AMZN260306P00260000/" TargetMode="External"/><Relationship Id="rId382" Type="http://schemas.openxmlformats.org/officeDocument/2006/relationships/hyperlink" Target="https://finance.yahoo.com/quote/AMZN/options/?straddle=false&amp;strike=305&amp;type=all" TargetMode="External"/><Relationship Id="rId687" Type="http://schemas.openxmlformats.org/officeDocument/2006/relationships/hyperlink" Target="https://finance.yahoo.com/quote/AMZN260515C00320000/" TargetMode="External"/><Relationship Id="rId2063" Type="http://schemas.openxmlformats.org/officeDocument/2006/relationships/hyperlink" Target="https://finance.yahoo.com/quote/AMZN260320P00325000/" TargetMode="External"/><Relationship Id="rId2270" Type="http://schemas.openxmlformats.org/officeDocument/2006/relationships/hyperlink" Target="https://finance.yahoo.com/quote/AMZN/options/?straddle=false&amp;strike=250&amp;type=all" TargetMode="External"/><Relationship Id="rId2368" Type="http://schemas.openxmlformats.org/officeDocument/2006/relationships/hyperlink" Target="https://finance.yahoo.com/quote/AMZN/options/?straddle=false&amp;strike=285&amp;type=all" TargetMode="External"/><Relationship Id="rId242" Type="http://schemas.openxmlformats.org/officeDocument/2006/relationships/hyperlink" Target="https://finance.yahoo.com/quote/AMZN/options/?straddle=false&amp;strike=205&amp;type=all" TargetMode="External"/><Relationship Id="rId894" Type="http://schemas.openxmlformats.org/officeDocument/2006/relationships/hyperlink" Target="https://finance.yahoo.com/quote/AMZN/options/?straddle=false&amp;strike=340&amp;type=all" TargetMode="External"/><Relationship Id="rId1177" Type="http://schemas.openxmlformats.org/officeDocument/2006/relationships/hyperlink" Target="https://finance.yahoo.com/quote/AMZN260515P00295000/" TargetMode="External"/><Relationship Id="rId2130" Type="http://schemas.openxmlformats.org/officeDocument/2006/relationships/hyperlink" Target="https://finance.yahoo.com/quote/AMZN/options/?straddle=false&amp;strike=210&amp;type=all" TargetMode="External"/><Relationship Id="rId2575" Type="http://schemas.openxmlformats.org/officeDocument/2006/relationships/hyperlink" Target="https://finance.yahoo.com/quote/AMZN260410P00120000/" TargetMode="External"/><Relationship Id="rId102" Type="http://schemas.openxmlformats.org/officeDocument/2006/relationships/hyperlink" Target="https://finance.yahoo.com/quote/AMZN/options/?straddle=false&amp;strike=125&amp;type=all" TargetMode="External"/><Relationship Id="rId547" Type="http://schemas.openxmlformats.org/officeDocument/2006/relationships/hyperlink" Target="https://finance.yahoo.com/quote/AMZN260515P00220000/" TargetMode="External"/><Relationship Id="rId754" Type="http://schemas.openxmlformats.org/officeDocument/2006/relationships/hyperlink" Target="https://finance.yahoo.com/quote/AMZN/options/?straddle=false&amp;strike=235&amp;type=all" TargetMode="External"/><Relationship Id="rId961" Type="http://schemas.openxmlformats.org/officeDocument/2006/relationships/hyperlink" Target="https://finance.yahoo.com/quote/AMZN260515C00255000/" TargetMode="External"/><Relationship Id="rId1384" Type="http://schemas.openxmlformats.org/officeDocument/2006/relationships/hyperlink" Target="https://finance.yahoo.com/quote/AMZN/options/?straddle=false&amp;strike=310&amp;type=all" TargetMode="External"/><Relationship Id="rId1591" Type="http://schemas.openxmlformats.org/officeDocument/2006/relationships/hyperlink" Target="https://finance.yahoo.com/quote/AMZN260227P00260000/" TargetMode="External"/><Relationship Id="rId1689" Type="http://schemas.openxmlformats.org/officeDocument/2006/relationships/hyperlink" Target="https://finance.yahoo.com/quote/AMZN260306C00265000/" TargetMode="External"/><Relationship Id="rId2228" Type="http://schemas.openxmlformats.org/officeDocument/2006/relationships/hyperlink" Target="https://finance.yahoo.com/quote/AMZN/options/?straddle=false&amp;strike=192.5&amp;type=all" TargetMode="External"/><Relationship Id="rId2435" Type="http://schemas.openxmlformats.org/officeDocument/2006/relationships/hyperlink" Target="https://finance.yahoo.com/quote/AMZN260327P00207500/" TargetMode="External"/><Relationship Id="rId2642" Type="http://schemas.openxmlformats.org/officeDocument/2006/relationships/hyperlink" Target="https://finance.yahoo.com/quote/AMZN/options/?straddle=false&amp;strike=227.5&amp;type=all" TargetMode="External"/><Relationship Id="rId90" Type="http://schemas.openxmlformats.org/officeDocument/2006/relationships/hyperlink" Target="https://finance.yahoo.com/quote/AMZN/options/?straddle=false&amp;strike=280&amp;type=all" TargetMode="External"/><Relationship Id="rId407" Type="http://schemas.openxmlformats.org/officeDocument/2006/relationships/hyperlink" Target="https://finance.yahoo.com/quote/AMZN260515C00120000/" TargetMode="External"/><Relationship Id="rId614" Type="http://schemas.openxmlformats.org/officeDocument/2006/relationships/hyperlink" Target="https://finance.yahoo.com/quote/AMZN/options/?straddle=false&amp;strike=135&amp;type=all" TargetMode="External"/><Relationship Id="rId821" Type="http://schemas.openxmlformats.org/officeDocument/2006/relationships/hyperlink" Target="https://finance.yahoo.com/quote/AMZN260515P00155000/" TargetMode="External"/><Relationship Id="rId1037" Type="http://schemas.openxmlformats.org/officeDocument/2006/relationships/hyperlink" Target="https://finance.yahoo.com/quote/AMZN260515C00195000/" TargetMode="External"/><Relationship Id="rId1244" Type="http://schemas.openxmlformats.org/officeDocument/2006/relationships/hyperlink" Target="https://finance.yahoo.com/quote/AMZN/options/?straddle=false&amp;strike=210&amp;type=all" TargetMode="External"/><Relationship Id="rId1451" Type="http://schemas.openxmlformats.org/officeDocument/2006/relationships/hyperlink" Target="https://finance.yahoo.com/quote/AMZN260227C00215000/" TargetMode="External"/><Relationship Id="rId1896" Type="http://schemas.openxmlformats.org/officeDocument/2006/relationships/hyperlink" Target="https://finance.yahoo.com/quote/AMZN/options/?straddle=false&amp;strike=175&amp;type=all" TargetMode="External"/><Relationship Id="rId2502" Type="http://schemas.openxmlformats.org/officeDocument/2006/relationships/hyperlink" Target="https://finance.yahoo.com/quote/AMZN/options/?straddle=false&amp;strike=180&amp;type=all" TargetMode="External"/><Relationship Id="rId919" Type="http://schemas.openxmlformats.org/officeDocument/2006/relationships/hyperlink" Target="https://finance.yahoo.com/quote/AMZN260515C00150000/" TargetMode="External"/><Relationship Id="rId1104" Type="http://schemas.openxmlformats.org/officeDocument/2006/relationships/hyperlink" Target="https://finance.yahoo.com/quote/AMZN/options/?straddle=false&amp;strike=110&amp;type=all" TargetMode="External"/><Relationship Id="rId1311" Type="http://schemas.openxmlformats.org/officeDocument/2006/relationships/hyperlink" Target="https://finance.yahoo.com/quote/AMZN260515P00130000/" TargetMode="External"/><Relationship Id="rId1549" Type="http://schemas.openxmlformats.org/officeDocument/2006/relationships/hyperlink" Target="https://finance.yahoo.com/quote/AMZN260227P00192500/" TargetMode="External"/><Relationship Id="rId1756" Type="http://schemas.openxmlformats.org/officeDocument/2006/relationships/hyperlink" Target="https://finance.yahoo.com/quote/AMZN/options/?straddle=false&amp;strike=187.5&amp;type=all" TargetMode="External"/><Relationship Id="rId1963" Type="http://schemas.openxmlformats.org/officeDocument/2006/relationships/hyperlink" Target="https://finance.yahoo.com/quote/AMZN260320P00125000/" TargetMode="External"/><Relationship Id="rId48" Type="http://schemas.openxmlformats.org/officeDocument/2006/relationships/hyperlink" Target="https://finance.yahoo.com/quote/AMZN/options/?straddle=false&amp;strike=222.5&amp;type=all" TargetMode="External"/><Relationship Id="rId1409" Type="http://schemas.openxmlformats.org/officeDocument/2006/relationships/hyperlink" Target="https://finance.yahoo.com/quote/AMZN260227C00150000/" TargetMode="External"/><Relationship Id="rId1616" Type="http://schemas.openxmlformats.org/officeDocument/2006/relationships/hyperlink" Target="https://finance.yahoo.com/quote/AMZN/options/?straddle=false&amp;strike=145&amp;type=all" TargetMode="External"/><Relationship Id="rId1823" Type="http://schemas.openxmlformats.org/officeDocument/2006/relationships/hyperlink" Target="https://finance.yahoo.com/quote/AMZN260318C00190000/" TargetMode="External"/><Relationship Id="rId197" Type="http://schemas.openxmlformats.org/officeDocument/2006/relationships/hyperlink" Target="https://finance.yahoo.com/quote/AMZN260515P00360000/" TargetMode="External"/><Relationship Id="rId2085" Type="http://schemas.openxmlformats.org/officeDocument/2006/relationships/hyperlink" Target="https://finance.yahoo.com/quote/AMZN260327C00135000/" TargetMode="External"/><Relationship Id="rId2292" Type="http://schemas.openxmlformats.org/officeDocument/2006/relationships/hyperlink" Target="https://finance.yahoo.com/quote/AMZN/options/?straddle=false&amp;strike=160&amp;type=all" TargetMode="External"/><Relationship Id="rId264" Type="http://schemas.openxmlformats.org/officeDocument/2006/relationships/hyperlink" Target="https://finance.yahoo.com/quote/AMZN/options/?straddle=false&amp;strike=260&amp;type=all" TargetMode="External"/><Relationship Id="rId471" Type="http://schemas.openxmlformats.org/officeDocument/2006/relationships/hyperlink" Target="https://finance.yahoo.com/quote/AMZN260515C00280000/" TargetMode="External"/><Relationship Id="rId2152" Type="http://schemas.openxmlformats.org/officeDocument/2006/relationships/hyperlink" Target="https://finance.yahoo.com/quote/AMZN/options/?straddle=false&amp;strike=237.5&amp;type=all" TargetMode="External"/><Relationship Id="rId2597" Type="http://schemas.openxmlformats.org/officeDocument/2006/relationships/hyperlink" Target="https://finance.yahoo.com/quote/AMZN260410P00172500/" TargetMode="External"/><Relationship Id="rId124" Type="http://schemas.openxmlformats.org/officeDocument/2006/relationships/hyperlink" Target="https://finance.yahoo.com/quote/AMZN/options/?straddle=false&amp;strike=180&amp;type=all" TargetMode="External"/><Relationship Id="rId569" Type="http://schemas.openxmlformats.org/officeDocument/2006/relationships/hyperlink" Target="https://finance.yahoo.com/quote/AMZN260515P00275000/" TargetMode="External"/><Relationship Id="rId776" Type="http://schemas.openxmlformats.org/officeDocument/2006/relationships/hyperlink" Target="https://finance.yahoo.com/quote/AMZN/options/?straddle=false&amp;strike=290&amp;type=all" TargetMode="External"/><Relationship Id="rId983" Type="http://schemas.openxmlformats.org/officeDocument/2006/relationships/hyperlink" Target="https://finance.yahoo.com/quote/AMZN260515C00310000/" TargetMode="External"/><Relationship Id="rId1199" Type="http://schemas.openxmlformats.org/officeDocument/2006/relationships/hyperlink" Target="https://finance.yahoo.com/quote/AMZN260515P00370000/" TargetMode="External"/><Relationship Id="rId2457" Type="http://schemas.openxmlformats.org/officeDocument/2006/relationships/hyperlink" Target="https://finance.yahoo.com/quote/AMZN260327P00235000/" TargetMode="External"/><Relationship Id="rId331" Type="http://schemas.openxmlformats.org/officeDocument/2006/relationships/hyperlink" Target="https://finance.yahoo.com/quote/AMZN260515P00180000/" TargetMode="External"/><Relationship Id="rId429" Type="http://schemas.openxmlformats.org/officeDocument/2006/relationships/hyperlink" Target="https://finance.yahoo.com/quote/AMZN260515C00175000/" TargetMode="External"/><Relationship Id="rId636" Type="http://schemas.openxmlformats.org/officeDocument/2006/relationships/hyperlink" Target="https://finance.yahoo.com/quote/AMZN/options/?straddle=false&amp;strike=190&amp;type=all" TargetMode="External"/><Relationship Id="rId1059" Type="http://schemas.openxmlformats.org/officeDocument/2006/relationships/hyperlink" Target="https://finance.yahoo.com/quote/AMZN260515C00250000/" TargetMode="External"/><Relationship Id="rId1266" Type="http://schemas.openxmlformats.org/officeDocument/2006/relationships/hyperlink" Target="https://finance.yahoo.com/quote/AMZN/options/?straddle=false&amp;strike=265&amp;type=all" TargetMode="External"/><Relationship Id="rId1473" Type="http://schemas.openxmlformats.org/officeDocument/2006/relationships/hyperlink" Target="https://finance.yahoo.com/quote/AMZN260227C00250000/" TargetMode="External"/><Relationship Id="rId2012" Type="http://schemas.openxmlformats.org/officeDocument/2006/relationships/hyperlink" Target="https://finance.yahoo.com/quote/AMZN/options/?straddle=false&amp;strike=215&amp;type=all" TargetMode="External"/><Relationship Id="rId2317" Type="http://schemas.openxmlformats.org/officeDocument/2006/relationships/hyperlink" Target="https://finance.yahoo.com/quote/AMZN260327C00200000/" TargetMode="External"/><Relationship Id="rId843" Type="http://schemas.openxmlformats.org/officeDocument/2006/relationships/hyperlink" Target="https://finance.yahoo.com/quote/AMZN260515P00210000/" TargetMode="External"/><Relationship Id="rId1126" Type="http://schemas.openxmlformats.org/officeDocument/2006/relationships/hyperlink" Target="https://finance.yahoo.com/quote/AMZN/options/?straddle=false&amp;strike=165&amp;type=all" TargetMode="External"/><Relationship Id="rId1680" Type="http://schemas.openxmlformats.org/officeDocument/2006/relationships/hyperlink" Target="https://finance.yahoo.com/quote/AMZN/options/?straddle=false&amp;strike=240&amp;type=all" TargetMode="External"/><Relationship Id="rId1778" Type="http://schemas.openxmlformats.org/officeDocument/2006/relationships/hyperlink" Target="https://finance.yahoo.com/quote/AMZN/options/?straddle=false&amp;strike=215&amp;type=all" TargetMode="External"/><Relationship Id="rId1985" Type="http://schemas.openxmlformats.org/officeDocument/2006/relationships/hyperlink" Target="https://finance.yahoo.com/quote/AMZN260320P00180000/" TargetMode="External"/><Relationship Id="rId2524" Type="http://schemas.openxmlformats.org/officeDocument/2006/relationships/hyperlink" Target="https://finance.yahoo.com/quote/AMZN/options/?straddle=false&amp;strike=207.5&amp;type=all" TargetMode="External"/><Relationship Id="rId703" Type="http://schemas.openxmlformats.org/officeDocument/2006/relationships/hyperlink" Target="https://finance.yahoo.com/quote/AMZN260515P00110000/" TargetMode="External"/><Relationship Id="rId910" Type="http://schemas.openxmlformats.org/officeDocument/2006/relationships/hyperlink" Target="https://finance.yahoo.com/quote/AMZN/options/?straddle=false&amp;strike=125&amp;type=all" TargetMode="External"/><Relationship Id="rId1333" Type="http://schemas.openxmlformats.org/officeDocument/2006/relationships/hyperlink" Target="https://finance.yahoo.com/quote/AMZN260515P00185000/" TargetMode="External"/><Relationship Id="rId1540" Type="http://schemas.openxmlformats.org/officeDocument/2006/relationships/hyperlink" Target="https://finance.yahoo.com/quote/AMZN/options/?straddle=false&amp;strike=180&amp;type=all" TargetMode="External"/><Relationship Id="rId1638" Type="http://schemas.openxmlformats.org/officeDocument/2006/relationships/hyperlink" Target="https://finance.yahoo.com/quote/AMZN/options/?straddle=false&amp;strike=185&amp;type=all" TargetMode="External"/><Relationship Id="rId1400" Type="http://schemas.openxmlformats.org/officeDocument/2006/relationships/hyperlink" Target="https://finance.yahoo.com/quote/AMZN/options/?straddle=false&amp;strike=370&amp;type=all" TargetMode="External"/><Relationship Id="rId1845" Type="http://schemas.openxmlformats.org/officeDocument/2006/relationships/hyperlink" Target="https://finance.yahoo.com/quote/AMZN260318C00217500/" TargetMode="External"/><Relationship Id="rId1705" Type="http://schemas.openxmlformats.org/officeDocument/2006/relationships/hyperlink" Target="https://finance.yahoo.com/quote/AMZN260306C00305000/" TargetMode="External"/><Relationship Id="rId1912" Type="http://schemas.openxmlformats.org/officeDocument/2006/relationships/hyperlink" Target="https://finance.yahoo.com/quote/AMZN/options/?straddle=false&amp;strike=195&amp;type=all" TargetMode="External"/><Relationship Id="rId286" Type="http://schemas.openxmlformats.org/officeDocument/2006/relationships/hyperlink" Target="https://finance.yahoo.com/quote/AMZN/options/?straddle=false&amp;strike=315&amp;type=all" TargetMode="External"/><Relationship Id="rId493" Type="http://schemas.openxmlformats.org/officeDocument/2006/relationships/hyperlink" Target="https://finance.yahoo.com/quote/AMZN260515C00340000/" TargetMode="External"/><Relationship Id="rId2174" Type="http://schemas.openxmlformats.org/officeDocument/2006/relationships/hyperlink" Target="https://finance.yahoo.com/quote/AMZN/options/?straddle=false&amp;strike=290&amp;type=all" TargetMode="External"/><Relationship Id="rId2381" Type="http://schemas.openxmlformats.org/officeDocument/2006/relationships/hyperlink" Target="https://finance.yahoo.com/quote/AMZN260327C00320000/" TargetMode="External"/><Relationship Id="rId146" Type="http://schemas.openxmlformats.org/officeDocument/2006/relationships/hyperlink" Target="https://finance.yahoo.com/quote/AMZN/options/?straddle=false&amp;strike=220&amp;type=all" TargetMode="External"/><Relationship Id="rId353" Type="http://schemas.openxmlformats.org/officeDocument/2006/relationships/hyperlink" Target="https://finance.yahoo.com/quote/AMZN260515P00235000/" TargetMode="External"/><Relationship Id="rId560" Type="http://schemas.openxmlformats.org/officeDocument/2006/relationships/hyperlink" Target="https://finance.yahoo.com/quote/AMZN/options/?straddle=false&amp;strike=250&amp;type=all" TargetMode="External"/><Relationship Id="rId798" Type="http://schemas.openxmlformats.org/officeDocument/2006/relationships/hyperlink" Target="https://finance.yahoo.com/quote/AMZN/options/?straddle=false&amp;strike=360&amp;type=all" TargetMode="External"/><Relationship Id="rId1190" Type="http://schemas.openxmlformats.org/officeDocument/2006/relationships/hyperlink" Target="https://finance.yahoo.com/quote/AMZN/options/?straddle=false&amp;strike=325&amp;type=all" TargetMode="External"/><Relationship Id="rId2034" Type="http://schemas.openxmlformats.org/officeDocument/2006/relationships/hyperlink" Target="https://finance.yahoo.com/quote/AMZN/options/?straddle=false&amp;strike=250&amp;type=all" TargetMode="External"/><Relationship Id="rId2241" Type="http://schemas.openxmlformats.org/officeDocument/2006/relationships/hyperlink" Target="https://finance.yahoo.com/quote/AMZN260327P00210000/" TargetMode="External"/><Relationship Id="rId2479" Type="http://schemas.openxmlformats.org/officeDocument/2006/relationships/hyperlink" Target="https://finance.yahoo.com/quote/AMZN260410C00135000/" TargetMode="External"/><Relationship Id="rId213" Type="http://schemas.openxmlformats.org/officeDocument/2006/relationships/hyperlink" Target="https://finance.yahoo.com/quote/AMZN260515C00135000/" TargetMode="External"/><Relationship Id="rId420" Type="http://schemas.openxmlformats.org/officeDocument/2006/relationships/hyperlink" Target="https://finance.yahoo.com/quote/AMZN/options/?straddle=false&amp;strike=150&amp;type=all" TargetMode="External"/><Relationship Id="rId658" Type="http://schemas.openxmlformats.org/officeDocument/2006/relationships/hyperlink" Target="https://finance.yahoo.com/quote/AMZN/options/?straddle=false&amp;strike=245&amp;type=all" TargetMode="External"/><Relationship Id="rId865" Type="http://schemas.openxmlformats.org/officeDocument/2006/relationships/hyperlink" Target="https://finance.yahoo.com/quote/AMZN260515P00265000/" TargetMode="External"/><Relationship Id="rId1050" Type="http://schemas.openxmlformats.org/officeDocument/2006/relationships/hyperlink" Target="https://finance.yahoo.com/quote/AMZN/options/?straddle=false&amp;strike=225&amp;type=all" TargetMode="External"/><Relationship Id="rId1288" Type="http://schemas.openxmlformats.org/officeDocument/2006/relationships/hyperlink" Target="https://finance.yahoo.com/quote/AMZN/options/?straddle=false&amp;strike=320&amp;type=all" TargetMode="External"/><Relationship Id="rId1495" Type="http://schemas.openxmlformats.org/officeDocument/2006/relationships/hyperlink" Target="https://finance.yahoo.com/quote/AMZN260227C00305000/" TargetMode="External"/><Relationship Id="rId2101" Type="http://schemas.openxmlformats.org/officeDocument/2006/relationships/hyperlink" Target="https://finance.yahoo.com/quote/AMZN260327C00175000/" TargetMode="External"/><Relationship Id="rId2339" Type="http://schemas.openxmlformats.org/officeDocument/2006/relationships/hyperlink" Target="https://finance.yahoo.com/quote/AMZN260327C00227500/" TargetMode="External"/><Relationship Id="rId2546" Type="http://schemas.openxmlformats.org/officeDocument/2006/relationships/hyperlink" Target="https://finance.yahoo.com/quote/AMZN/options/?straddle=false&amp;strike=235&amp;type=all" TargetMode="External"/><Relationship Id="rId518" Type="http://schemas.openxmlformats.org/officeDocument/2006/relationships/hyperlink" Target="https://finance.yahoo.com/quote/AMZN/options/?straddle=false&amp;strike=145&amp;type=all" TargetMode="External"/><Relationship Id="rId725" Type="http://schemas.openxmlformats.org/officeDocument/2006/relationships/hyperlink" Target="https://finance.yahoo.com/quote/AMZN260515P00165000/" TargetMode="External"/><Relationship Id="rId932" Type="http://schemas.openxmlformats.org/officeDocument/2006/relationships/hyperlink" Target="https://finance.yahoo.com/quote/AMZN/options/?straddle=false&amp;strike=180&amp;type=all" TargetMode="External"/><Relationship Id="rId1148" Type="http://schemas.openxmlformats.org/officeDocument/2006/relationships/hyperlink" Target="https://finance.yahoo.com/quote/AMZN/options/?straddle=false&amp;strike=220&amp;type=all" TargetMode="External"/><Relationship Id="rId1355" Type="http://schemas.openxmlformats.org/officeDocument/2006/relationships/hyperlink" Target="https://finance.yahoo.com/quote/AMZN260515P00240000/" TargetMode="External"/><Relationship Id="rId1562" Type="http://schemas.openxmlformats.org/officeDocument/2006/relationships/hyperlink" Target="https://finance.yahoo.com/quote/AMZN/options/?straddle=false&amp;strike=207.5&amp;type=all" TargetMode="External"/><Relationship Id="rId2406" Type="http://schemas.openxmlformats.org/officeDocument/2006/relationships/hyperlink" Target="https://finance.yahoo.com/quote/AMZN/options/?straddle=false&amp;strike=165&amp;type=all" TargetMode="External"/><Relationship Id="rId2613" Type="http://schemas.openxmlformats.org/officeDocument/2006/relationships/hyperlink" Target="https://finance.yahoo.com/quote/AMZN260410P00192500/" TargetMode="External"/><Relationship Id="rId1008" Type="http://schemas.openxmlformats.org/officeDocument/2006/relationships/hyperlink" Target="https://finance.yahoo.com/quote/AMZN/options/?straddle=false&amp;strike=120&amp;type=all" TargetMode="External"/><Relationship Id="rId1215" Type="http://schemas.openxmlformats.org/officeDocument/2006/relationships/hyperlink" Target="https://finance.yahoo.com/quote/AMZN260515C00140000/" TargetMode="External"/><Relationship Id="rId1422" Type="http://schemas.openxmlformats.org/officeDocument/2006/relationships/hyperlink" Target="https://finance.yahoo.com/quote/AMZN/options/?straddle=false&amp;strike=177.5&amp;type=all" TargetMode="External"/><Relationship Id="rId1867" Type="http://schemas.openxmlformats.org/officeDocument/2006/relationships/hyperlink" Target="https://finance.yahoo.com/quote/AMZN260318C00260000/" TargetMode="External"/><Relationship Id="rId61" Type="http://schemas.openxmlformats.org/officeDocument/2006/relationships/hyperlink" Target="https://finance.yahoo.com/quote/AMZN260123C00240000/" TargetMode="External"/><Relationship Id="rId1727" Type="http://schemas.openxmlformats.org/officeDocument/2006/relationships/hyperlink" Target="https://finance.yahoo.com/quote/AMZN260306P00135000/" TargetMode="External"/><Relationship Id="rId1934" Type="http://schemas.openxmlformats.org/officeDocument/2006/relationships/hyperlink" Target="https://finance.yahoo.com/quote/AMZN/options/?straddle=false&amp;strike=222.5&amp;type=all" TargetMode="External"/><Relationship Id="rId19" Type="http://schemas.openxmlformats.org/officeDocument/2006/relationships/hyperlink" Target="https://finance.yahoo.com/quote/AMZN260123C00170000/" TargetMode="External"/><Relationship Id="rId2196" Type="http://schemas.openxmlformats.org/officeDocument/2006/relationships/hyperlink" Target="https://finance.yahoo.com/quote/AMZN/options/?straddle=false&amp;strike=130&amp;type=all" TargetMode="External"/><Relationship Id="rId168" Type="http://schemas.openxmlformats.org/officeDocument/2006/relationships/hyperlink" Target="https://finance.yahoo.com/quote/AMZN/options/?straddle=false&amp;strike=247.5&amp;type=all" TargetMode="External"/><Relationship Id="rId375" Type="http://schemas.openxmlformats.org/officeDocument/2006/relationships/hyperlink" Target="https://finance.yahoo.com/quote/AMZN260515P00290000/" TargetMode="External"/><Relationship Id="rId582" Type="http://schemas.openxmlformats.org/officeDocument/2006/relationships/hyperlink" Target="https://finance.yahoo.com/quote/AMZN/options/?straddle=false&amp;strike=305&amp;type=all" TargetMode="External"/><Relationship Id="rId2056" Type="http://schemas.openxmlformats.org/officeDocument/2006/relationships/hyperlink" Target="https://finance.yahoo.com/quote/AMZN/options/?straddle=false&amp;strike=305&amp;type=all" TargetMode="External"/><Relationship Id="rId2263" Type="http://schemas.openxmlformats.org/officeDocument/2006/relationships/hyperlink" Target="https://finance.yahoo.com/quote/AMZN260327P00237500/" TargetMode="External"/><Relationship Id="rId2470" Type="http://schemas.openxmlformats.org/officeDocument/2006/relationships/hyperlink" Target="https://finance.yahoo.com/quote/AMZN/options/?straddle=false&amp;strike=260&amp;type=all" TargetMode="External"/><Relationship Id="rId3" Type="http://schemas.openxmlformats.org/officeDocument/2006/relationships/hyperlink" Target="https://finance.yahoo.com/quote/AMZN260123C00130000/" TargetMode="External"/><Relationship Id="rId235" Type="http://schemas.openxmlformats.org/officeDocument/2006/relationships/hyperlink" Target="https://finance.yahoo.com/quote/AMZN260515C00190000/" TargetMode="External"/><Relationship Id="rId442" Type="http://schemas.openxmlformats.org/officeDocument/2006/relationships/hyperlink" Target="https://finance.yahoo.com/quote/AMZN/options/?straddle=false&amp;strike=205&amp;type=all" TargetMode="External"/><Relationship Id="rId887" Type="http://schemas.openxmlformats.org/officeDocument/2006/relationships/hyperlink" Target="https://finance.yahoo.com/quote/AMZN260515P00320000/" TargetMode="External"/><Relationship Id="rId1072" Type="http://schemas.openxmlformats.org/officeDocument/2006/relationships/hyperlink" Target="https://finance.yahoo.com/quote/AMZN/options/?straddle=false&amp;strike=280&amp;type=all" TargetMode="External"/><Relationship Id="rId2123" Type="http://schemas.openxmlformats.org/officeDocument/2006/relationships/hyperlink" Target="https://finance.yahoo.com/quote/AMZN260327C00202500/" TargetMode="External"/><Relationship Id="rId2330" Type="http://schemas.openxmlformats.org/officeDocument/2006/relationships/hyperlink" Target="https://finance.yahoo.com/quote/AMZN/options/?straddle=false&amp;strike=215&amp;type=all" TargetMode="External"/><Relationship Id="rId2568" Type="http://schemas.openxmlformats.org/officeDocument/2006/relationships/hyperlink" Target="https://finance.yahoo.com/quote/AMZN/options/?straddle=false&amp;strike=290&amp;type=all" TargetMode="External"/><Relationship Id="rId302" Type="http://schemas.openxmlformats.org/officeDocument/2006/relationships/hyperlink" Target="https://finance.yahoo.com/quote/AMZN/options/?straddle=false&amp;strike=105&amp;type=all" TargetMode="External"/><Relationship Id="rId747" Type="http://schemas.openxmlformats.org/officeDocument/2006/relationships/hyperlink" Target="https://finance.yahoo.com/quote/AMZN260515P00220000/" TargetMode="External"/><Relationship Id="rId954" Type="http://schemas.openxmlformats.org/officeDocument/2006/relationships/hyperlink" Target="https://finance.yahoo.com/quote/AMZN/options/?straddle=false&amp;strike=235&amp;type=all" TargetMode="External"/><Relationship Id="rId1377" Type="http://schemas.openxmlformats.org/officeDocument/2006/relationships/hyperlink" Target="https://finance.yahoo.com/quote/AMZN260515P00295000/" TargetMode="External"/><Relationship Id="rId1584" Type="http://schemas.openxmlformats.org/officeDocument/2006/relationships/hyperlink" Target="https://finance.yahoo.com/quote/AMZN/options/?straddle=false&amp;strike=240&amp;type=all" TargetMode="External"/><Relationship Id="rId1791" Type="http://schemas.openxmlformats.org/officeDocument/2006/relationships/hyperlink" Target="https://finance.yahoo.com/quote/AMZN260306P00235000/" TargetMode="External"/><Relationship Id="rId2428" Type="http://schemas.openxmlformats.org/officeDocument/2006/relationships/hyperlink" Target="https://finance.yahoo.com/quote/AMZN/options/?straddle=false&amp;strike=197.5&amp;type=all" TargetMode="External"/><Relationship Id="rId2635" Type="http://schemas.openxmlformats.org/officeDocument/2006/relationships/hyperlink" Target="https://finance.yahoo.com/quote/AMZN260410P00220000/" TargetMode="External"/><Relationship Id="rId83" Type="http://schemas.openxmlformats.org/officeDocument/2006/relationships/hyperlink" Target="https://finance.yahoo.com/quote/AMZN260123C00267500/" TargetMode="External"/><Relationship Id="rId607" Type="http://schemas.openxmlformats.org/officeDocument/2006/relationships/hyperlink" Target="https://finance.yahoo.com/quote/AMZN260515C00120000/" TargetMode="External"/><Relationship Id="rId814" Type="http://schemas.openxmlformats.org/officeDocument/2006/relationships/hyperlink" Target="https://finance.yahoo.com/quote/AMZN/options/?straddle=false&amp;strike=135&amp;type=all" TargetMode="External"/><Relationship Id="rId1237" Type="http://schemas.openxmlformats.org/officeDocument/2006/relationships/hyperlink" Target="https://finance.yahoo.com/quote/AMZN260515C00195000/" TargetMode="External"/><Relationship Id="rId1444" Type="http://schemas.openxmlformats.org/officeDocument/2006/relationships/hyperlink" Target="https://finance.yahoo.com/quote/AMZN/options/?straddle=false&amp;strike=205&amp;type=all" TargetMode="External"/><Relationship Id="rId1651" Type="http://schemas.openxmlformats.org/officeDocument/2006/relationships/hyperlink" Target="https://finance.yahoo.com/quote/AMZN260306C00202500/" TargetMode="External"/><Relationship Id="rId1889" Type="http://schemas.openxmlformats.org/officeDocument/2006/relationships/hyperlink" Target="https://finance.yahoo.com/quote/AMZN260318P00167500/" TargetMode="External"/><Relationship Id="rId1304" Type="http://schemas.openxmlformats.org/officeDocument/2006/relationships/hyperlink" Target="https://finance.yahoo.com/quote/AMZN/options/?straddle=false&amp;strike=110&amp;type=all" TargetMode="External"/><Relationship Id="rId1511" Type="http://schemas.openxmlformats.org/officeDocument/2006/relationships/hyperlink" Target="https://finance.yahoo.com/quote/AMZN260227C00345000/" TargetMode="External"/><Relationship Id="rId1749" Type="http://schemas.openxmlformats.org/officeDocument/2006/relationships/hyperlink" Target="https://finance.yahoo.com/quote/AMZN260306P00180000/" TargetMode="External"/><Relationship Id="rId1956" Type="http://schemas.openxmlformats.org/officeDocument/2006/relationships/hyperlink" Target="https://finance.yahoo.com/quote/AMZN/options/?straddle=false&amp;strike=105&amp;type=all" TargetMode="External"/><Relationship Id="rId1609" Type="http://schemas.openxmlformats.org/officeDocument/2006/relationships/hyperlink" Target="https://finance.yahoo.com/quote/AMZN260306C00130000/" TargetMode="External"/><Relationship Id="rId1816" Type="http://schemas.openxmlformats.org/officeDocument/2006/relationships/hyperlink" Target="https://finance.yahoo.com/quote/AMZN/options/?straddle=false&amp;strike=150&amp;type=all" TargetMode="External"/><Relationship Id="rId10" Type="http://schemas.openxmlformats.org/officeDocument/2006/relationships/hyperlink" Target="https://finance.yahoo.com/quote/AMZN/options/?straddle=false&amp;strike=145&amp;type=all" TargetMode="External"/><Relationship Id="rId397" Type="http://schemas.openxmlformats.org/officeDocument/2006/relationships/hyperlink" Target="https://finance.yahoo.com/quote/AMZN260515P00360000/" TargetMode="External"/><Relationship Id="rId2078" Type="http://schemas.openxmlformats.org/officeDocument/2006/relationships/hyperlink" Target="https://finance.yahoo.com/quote/AMZN/options/?straddle=false&amp;strike=360&amp;type=all" TargetMode="External"/><Relationship Id="rId2285" Type="http://schemas.openxmlformats.org/officeDocument/2006/relationships/hyperlink" Target="https://finance.yahoo.com/quote/AMZN260327C00145000/" TargetMode="External"/><Relationship Id="rId2492" Type="http://schemas.openxmlformats.org/officeDocument/2006/relationships/hyperlink" Target="https://finance.yahoo.com/quote/AMZN/options/?straddle=false&amp;strike=165&amp;type=all" TargetMode="External"/><Relationship Id="rId257" Type="http://schemas.openxmlformats.org/officeDocument/2006/relationships/hyperlink" Target="https://finance.yahoo.com/quote/AMZN260515C00245000/" TargetMode="External"/><Relationship Id="rId464" Type="http://schemas.openxmlformats.org/officeDocument/2006/relationships/hyperlink" Target="https://finance.yahoo.com/quote/AMZN/options/?straddle=false&amp;strike=260&amp;type=all" TargetMode="External"/><Relationship Id="rId1094" Type="http://schemas.openxmlformats.org/officeDocument/2006/relationships/hyperlink" Target="https://finance.yahoo.com/quote/AMZN/options/?straddle=false&amp;strike=340&amp;type=all" TargetMode="External"/><Relationship Id="rId2145" Type="http://schemas.openxmlformats.org/officeDocument/2006/relationships/hyperlink" Target="https://finance.yahoo.com/quote/AMZN260327C00230000/" TargetMode="External"/><Relationship Id="rId117" Type="http://schemas.openxmlformats.org/officeDocument/2006/relationships/hyperlink" Target="https://finance.yahoo.com/quote/AMZN260123P00165000/" TargetMode="External"/><Relationship Id="rId671" Type="http://schemas.openxmlformats.org/officeDocument/2006/relationships/hyperlink" Target="https://finance.yahoo.com/quote/AMZN260515C00280000/" TargetMode="External"/><Relationship Id="rId769" Type="http://schemas.openxmlformats.org/officeDocument/2006/relationships/hyperlink" Target="https://finance.yahoo.com/quote/AMZN260515P00275000/" TargetMode="External"/><Relationship Id="rId976" Type="http://schemas.openxmlformats.org/officeDocument/2006/relationships/hyperlink" Target="https://finance.yahoo.com/quote/AMZN/options/?straddle=false&amp;strike=290&amp;type=all" TargetMode="External"/><Relationship Id="rId1399" Type="http://schemas.openxmlformats.org/officeDocument/2006/relationships/hyperlink" Target="https://finance.yahoo.com/quote/AMZN260515P00370000/" TargetMode="External"/><Relationship Id="rId2352" Type="http://schemas.openxmlformats.org/officeDocument/2006/relationships/hyperlink" Target="https://finance.yahoo.com/quote/AMZN/options/?straddle=false&amp;strike=245&amp;type=all" TargetMode="External"/><Relationship Id="rId2657" Type="http://schemas.openxmlformats.org/officeDocument/2006/relationships/hyperlink" Target="https://finance.yahoo.com/quote/AMZN260410P00280000/" TargetMode="External"/><Relationship Id="rId324" Type="http://schemas.openxmlformats.org/officeDocument/2006/relationships/hyperlink" Target="https://finance.yahoo.com/quote/AMZN/options/?straddle=false&amp;strike=160&amp;type=all" TargetMode="External"/><Relationship Id="rId531" Type="http://schemas.openxmlformats.org/officeDocument/2006/relationships/hyperlink" Target="https://finance.yahoo.com/quote/AMZN260515P00180000/" TargetMode="External"/><Relationship Id="rId629" Type="http://schemas.openxmlformats.org/officeDocument/2006/relationships/hyperlink" Target="https://finance.yahoo.com/quote/AMZN260515C00175000/" TargetMode="External"/><Relationship Id="rId1161" Type="http://schemas.openxmlformats.org/officeDocument/2006/relationships/hyperlink" Target="https://finance.yahoo.com/quote/AMZN260515P00255000/" TargetMode="External"/><Relationship Id="rId1259" Type="http://schemas.openxmlformats.org/officeDocument/2006/relationships/hyperlink" Target="https://finance.yahoo.com/quote/AMZN260515C00250000/" TargetMode="External"/><Relationship Id="rId1466" Type="http://schemas.openxmlformats.org/officeDocument/2006/relationships/hyperlink" Target="https://finance.yahoo.com/quote/AMZN/options/?straddle=false&amp;strike=232.5&amp;type=all" TargetMode="External"/><Relationship Id="rId2005" Type="http://schemas.openxmlformats.org/officeDocument/2006/relationships/hyperlink" Target="https://finance.yahoo.com/quote/AMZN260320P00207500/" TargetMode="External"/><Relationship Id="rId2212" Type="http://schemas.openxmlformats.org/officeDocument/2006/relationships/hyperlink" Target="https://finance.yahoo.com/quote/AMZN/options/?straddle=false&amp;strike=170&amp;type=all" TargetMode="External"/><Relationship Id="rId836" Type="http://schemas.openxmlformats.org/officeDocument/2006/relationships/hyperlink" Target="https://finance.yahoo.com/quote/AMZN/options/?straddle=false&amp;strike=190&amp;type=all" TargetMode="External"/><Relationship Id="rId1021" Type="http://schemas.openxmlformats.org/officeDocument/2006/relationships/hyperlink" Target="https://finance.yahoo.com/quote/AMZN260515C00155000/" TargetMode="External"/><Relationship Id="rId1119" Type="http://schemas.openxmlformats.org/officeDocument/2006/relationships/hyperlink" Target="https://finance.yahoo.com/quote/AMZN260515P00150000/" TargetMode="External"/><Relationship Id="rId1673" Type="http://schemas.openxmlformats.org/officeDocument/2006/relationships/hyperlink" Target="https://finance.yahoo.com/quote/AMZN260306C00230000/" TargetMode="External"/><Relationship Id="rId1880" Type="http://schemas.openxmlformats.org/officeDocument/2006/relationships/hyperlink" Target="https://finance.yahoo.com/quote/AMZN/options/?straddle=false&amp;strike=145&amp;type=all" TargetMode="External"/><Relationship Id="rId1978" Type="http://schemas.openxmlformats.org/officeDocument/2006/relationships/hyperlink" Target="https://finance.yahoo.com/quote/AMZN/options/?straddle=false&amp;strike=160&amp;type=all" TargetMode="External"/><Relationship Id="rId2517" Type="http://schemas.openxmlformats.org/officeDocument/2006/relationships/hyperlink" Target="https://finance.yahoo.com/quote/AMZN260410C00200000/" TargetMode="External"/><Relationship Id="rId903" Type="http://schemas.openxmlformats.org/officeDocument/2006/relationships/hyperlink" Target="https://finance.yahoo.com/quote/AMZN260515C00110000/" TargetMode="External"/><Relationship Id="rId1326" Type="http://schemas.openxmlformats.org/officeDocument/2006/relationships/hyperlink" Target="https://finance.yahoo.com/quote/AMZN/options/?straddle=false&amp;strike=165&amp;type=all" TargetMode="External"/><Relationship Id="rId1533" Type="http://schemas.openxmlformats.org/officeDocument/2006/relationships/hyperlink" Target="https://finance.yahoo.com/quote/AMZN260227P00172500/" TargetMode="External"/><Relationship Id="rId1740" Type="http://schemas.openxmlformats.org/officeDocument/2006/relationships/hyperlink" Target="https://finance.yahoo.com/quote/AMZN/options/?straddle=false&amp;strike=165&amp;type=all" TargetMode="External"/><Relationship Id="rId32" Type="http://schemas.openxmlformats.org/officeDocument/2006/relationships/hyperlink" Target="https://finance.yahoo.com/quote/AMZN/options/?straddle=false&amp;strike=200&amp;type=all" TargetMode="External"/><Relationship Id="rId1600" Type="http://schemas.openxmlformats.org/officeDocument/2006/relationships/hyperlink" Target="https://finance.yahoo.com/quote/AMZN/options/?straddle=false&amp;strike=280&amp;type=all" TargetMode="External"/><Relationship Id="rId1838" Type="http://schemas.openxmlformats.org/officeDocument/2006/relationships/hyperlink" Target="https://finance.yahoo.com/quote/AMZN/options/?straddle=false&amp;strike=207.5&amp;type=all" TargetMode="External"/><Relationship Id="rId181" Type="http://schemas.openxmlformats.org/officeDocument/2006/relationships/hyperlink" Target="https://finance.yahoo.com/quote/AMZN260123P00265000/" TargetMode="External"/><Relationship Id="rId1905" Type="http://schemas.openxmlformats.org/officeDocument/2006/relationships/hyperlink" Target="https://finance.yahoo.com/quote/AMZN260318P00187500/" TargetMode="External"/><Relationship Id="rId279" Type="http://schemas.openxmlformats.org/officeDocument/2006/relationships/hyperlink" Target="https://finance.yahoo.com/quote/AMZN260515C00300000/" TargetMode="External"/><Relationship Id="rId486" Type="http://schemas.openxmlformats.org/officeDocument/2006/relationships/hyperlink" Target="https://finance.yahoo.com/quote/AMZN/options/?straddle=false&amp;strike=315&amp;type=all" TargetMode="External"/><Relationship Id="rId693" Type="http://schemas.openxmlformats.org/officeDocument/2006/relationships/hyperlink" Target="https://finance.yahoo.com/quote/AMZN260515C00340000/" TargetMode="External"/><Relationship Id="rId2167" Type="http://schemas.openxmlformats.org/officeDocument/2006/relationships/hyperlink" Target="https://finance.yahoo.com/quote/AMZN260327C00275000/" TargetMode="External"/><Relationship Id="rId2374" Type="http://schemas.openxmlformats.org/officeDocument/2006/relationships/hyperlink" Target="https://finance.yahoo.com/quote/AMZN/options/?straddle=false&amp;strike=300&amp;type=all" TargetMode="External"/><Relationship Id="rId2581" Type="http://schemas.openxmlformats.org/officeDocument/2006/relationships/hyperlink" Target="https://finance.yahoo.com/quote/AMZN260410P00135000/" TargetMode="External"/><Relationship Id="rId139" Type="http://schemas.openxmlformats.org/officeDocument/2006/relationships/hyperlink" Target="https://finance.yahoo.com/quote/AMZN260123P00212500/" TargetMode="External"/><Relationship Id="rId346" Type="http://schemas.openxmlformats.org/officeDocument/2006/relationships/hyperlink" Target="https://finance.yahoo.com/quote/AMZN/options/?straddle=false&amp;strike=215&amp;type=all" TargetMode="External"/><Relationship Id="rId553" Type="http://schemas.openxmlformats.org/officeDocument/2006/relationships/hyperlink" Target="https://finance.yahoo.com/quote/AMZN260515P00235000/" TargetMode="External"/><Relationship Id="rId760" Type="http://schemas.openxmlformats.org/officeDocument/2006/relationships/hyperlink" Target="https://finance.yahoo.com/quote/AMZN/options/?straddle=false&amp;strike=250&amp;type=all" TargetMode="External"/><Relationship Id="rId998" Type="http://schemas.openxmlformats.org/officeDocument/2006/relationships/hyperlink" Target="https://finance.yahoo.com/quote/AMZN/options/?straddle=false&amp;strike=360&amp;type=all" TargetMode="External"/><Relationship Id="rId1183" Type="http://schemas.openxmlformats.org/officeDocument/2006/relationships/hyperlink" Target="https://finance.yahoo.com/quote/AMZN260515P00310000/" TargetMode="External"/><Relationship Id="rId1390" Type="http://schemas.openxmlformats.org/officeDocument/2006/relationships/hyperlink" Target="https://finance.yahoo.com/quote/AMZN/options/?straddle=false&amp;strike=325&amp;type=all" TargetMode="External"/><Relationship Id="rId2027" Type="http://schemas.openxmlformats.org/officeDocument/2006/relationships/hyperlink" Target="https://finance.yahoo.com/quote/AMZN260320P00235000/" TargetMode="External"/><Relationship Id="rId2234" Type="http://schemas.openxmlformats.org/officeDocument/2006/relationships/hyperlink" Target="https://finance.yahoo.com/quote/AMZN/options/?straddle=false&amp;strike=200&amp;type=all" TargetMode="External"/><Relationship Id="rId2441" Type="http://schemas.openxmlformats.org/officeDocument/2006/relationships/hyperlink" Target="https://finance.yahoo.com/quote/AMZN260327P00215000/" TargetMode="External"/><Relationship Id="rId206" Type="http://schemas.openxmlformats.org/officeDocument/2006/relationships/hyperlink" Target="https://finance.yahoo.com/quote/AMZN/options/?straddle=false&amp;strike=115&amp;type=all" TargetMode="External"/><Relationship Id="rId413" Type="http://schemas.openxmlformats.org/officeDocument/2006/relationships/hyperlink" Target="https://finance.yahoo.com/quote/AMZN260515C00135000/" TargetMode="External"/><Relationship Id="rId858" Type="http://schemas.openxmlformats.org/officeDocument/2006/relationships/hyperlink" Target="https://finance.yahoo.com/quote/AMZN/options/?straddle=false&amp;strike=245&amp;type=all" TargetMode="External"/><Relationship Id="rId1043" Type="http://schemas.openxmlformats.org/officeDocument/2006/relationships/hyperlink" Target="https://finance.yahoo.com/quote/AMZN260515C00210000/" TargetMode="External"/><Relationship Id="rId1488" Type="http://schemas.openxmlformats.org/officeDocument/2006/relationships/hyperlink" Target="https://finance.yahoo.com/quote/AMZN/options/?straddle=false&amp;strike=285&amp;type=all" TargetMode="External"/><Relationship Id="rId1695" Type="http://schemas.openxmlformats.org/officeDocument/2006/relationships/hyperlink" Target="https://finance.yahoo.com/quote/AMZN260306C00280000/" TargetMode="External"/><Relationship Id="rId2539" Type="http://schemas.openxmlformats.org/officeDocument/2006/relationships/hyperlink" Target="https://finance.yahoo.com/quote/AMZN260410C00227500/" TargetMode="External"/><Relationship Id="rId620" Type="http://schemas.openxmlformats.org/officeDocument/2006/relationships/hyperlink" Target="https://finance.yahoo.com/quote/AMZN/options/?straddle=false&amp;strike=150&amp;type=all" TargetMode="External"/><Relationship Id="rId718" Type="http://schemas.openxmlformats.org/officeDocument/2006/relationships/hyperlink" Target="https://finance.yahoo.com/quote/AMZN/options/?straddle=false&amp;strike=145&amp;type=all" TargetMode="External"/><Relationship Id="rId925" Type="http://schemas.openxmlformats.org/officeDocument/2006/relationships/hyperlink" Target="https://finance.yahoo.com/quote/AMZN260515C00165000/" TargetMode="External"/><Relationship Id="rId1250" Type="http://schemas.openxmlformats.org/officeDocument/2006/relationships/hyperlink" Target="https://finance.yahoo.com/quote/AMZN/options/?straddle=false&amp;strike=225&amp;type=all" TargetMode="External"/><Relationship Id="rId1348" Type="http://schemas.openxmlformats.org/officeDocument/2006/relationships/hyperlink" Target="https://finance.yahoo.com/quote/AMZN/options/?straddle=false&amp;strike=220&amp;type=all" TargetMode="External"/><Relationship Id="rId1555" Type="http://schemas.openxmlformats.org/officeDocument/2006/relationships/hyperlink" Target="https://finance.yahoo.com/quote/AMZN260227P00200000/" TargetMode="External"/><Relationship Id="rId1762" Type="http://schemas.openxmlformats.org/officeDocument/2006/relationships/hyperlink" Target="https://finance.yahoo.com/quote/AMZN/options/?straddle=false&amp;strike=195&amp;type=all" TargetMode="External"/><Relationship Id="rId2301" Type="http://schemas.openxmlformats.org/officeDocument/2006/relationships/hyperlink" Target="https://finance.yahoo.com/quote/AMZN260327C00180000/" TargetMode="External"/><Relationship Id="rId2606" Type="http://schemas.openxmlformats.org/officeDocument/2006/relationships/hyperlink" Target="https://finance.yahoo.com/quote/AMZN/options/?straddle=false&amp;strike=182.5&amp;type=all" TargetMode="External"/><Relationship Id="rId1110" Type="http://schemas.openxmlformats.org/officeDocument/2006/relationships/hyperlink" Target="https://finance.yahoo.com/quote/AMZN/options/?straddle=false&amp;strike=125&amp;type=all" TargetMode="External"/><Relationship Id="rId1208" Type="http://schemas.openxmlformats.org/officeDocument/2006/relationships/hyperlink" Target="https://finance.yahoo.com/quote/AMZN/options/?straddle=false&amp;strike=120&amp;type=all" TargetMode="External"/><Relationship Id="rId1415" Type="http://schemas.openxmlformats.org/officeDocument/2006/relationships/hyperlink" Target="https://finance.yahoo.com/quote/AMZN260227C00165000/" TargetMode="External"/><Relationship Id="rId54" Type="http://schemas.openxmlformats.org/officeDocument/2006/relationships/hyperlink" Target="https://finance.yahoo.com/quote/AMZN/options/?straddle=false&amp;strike=230&amp;type=all" TargetMode="External"/><Relationship Id="rId1622" Type="http://schemas.openxmlformats.org/officeDocument/2006/relationships/hyperlink" Target="https://finance.yahoo.com/quote/AMZN/options/?straddle=false&amp;strike=160&amp;type=all" TargetMode="External"/><Relationship Id="rId1927" Type="http://schemas.openxmlformats.org/officeDocument/2006/relationships/hyperlink" Target="https://finance.yahoo.com/quote/AMZN260318P00215000/" TargetMode="External"/><Relationship Id="rId2091" Type="http://schemas.openxmlformats.org/officeDocument/2006/relationships/hyperlink" Target="https://finance.yahoo.com/quote/AMZN260327C00150000/" TargetMode="External"/><Relationship Id="rId2189" Type="http://schemas.openxmlformats.org/officeDocument/2006/relationships/hyperlink" Target="https://finance.yahoo.com/quote/AMZN260327C00330000/" TargetMode="External"/><Relationship Id="rId270" Type="http://schemas.openxmlformats.org/officeDocument/2006/relationships/hyperlink" Target="https://finance.yahoo.com/quote/AMZN/options/?straddle=false&amp;strike=275&amp;type=all" TargetMode="External"/><Relationship Id="rId2396" Type="http://schemas.openxmlformats.org/officeDocument/2006/relationships/hyperlink" Target="https://finance.yahoo.com/quote/AMZN/options/?straddle=false&amp;strike=140&amp;type=all" TargetMode="External"/><Relationship Id="rId130" Type="http://schemas.openxmlformats.org/officeDocument/2006/relationships/hyperlink" Target="https://finance.yahoo.com/quote/AMZN/options/?straddle=false&amp;strike=195&amp;type=all" TargetMode="External"/><Relationship Id="rId368" Type="http://schemas.openxmlformats.org/officeDocument/2006/relationships/hyperlink" Target="https://finance.yahoo.com/quote/AMZN/options/?straddle=false&amp;strike=270&amp;type=all" TargetMode="External"/><Relationship Id="rId575" Type="http://schemas.openxmlformats.org/officeDocument/2006/relationships/hyperlink" Target="https://finance.yahoo.com/quote/AMZN260515P00290000/" TargetMode="External"/><Relationship Id="rId782" Type="http://schemas.openxmlformats.org/officeDocument/2006/relationships/hyperlink" Target="https://finance.yahoo.com/quote/AMZN/options/?straddle=false&amp;strike=305&amp;type=all" TargetMode="External"/><Relationship Id="rId2049" Type="http://schemas.openxmlformats.org/officeDocument/2006/relationships/hyperlink" Target="https://finance.yahoo.com/quote/AMZN260320P00290000/" TargetMode="External"/><Relationship Id="rId2256" Type="http://schemas.openxmlformats.org/officeDocument/2006/relationships/hyperlink" Target="https://finance.yahoo.com/quote/AMZN/options/?straddle=false&amp;strike=227.5&amp;type=all" TargetMode="External"/><Relationship Id="rId2463" Type="http://schemas.openxmlformats.org/officeDocument/2006/relationships/hyperlink" Target="https://finance.yahoo.com/quote/AMZN260327P00245000/" TargetMode="External"/><Relationship Id="rId228" Type="http://schemas.openxmlformats.org/officeDocument/2006/relationships/hyperlink" Target="https://finance.yahoo.com/quote/AMZN/options/?straddle=false&amp;strike=170&amp;type=all" TargetMode="External"/><Relationship Id="rId435" Type="http://schemas.openxmlformats.org/officeDocument/2006/relationships/hyperlink" Target="https://finance.yahoo.com/quote/AMZN260515C00190000/" TargetMode="External"/><Relationship Id="rId642" Type="http://schemas.openxmlformats.org/officeDocument/2006/relationships/hyperlink" Target="https://finance.yahoo.com/quote/AMZN/options/?straddle=false&amp;strike=205&amp;type=all" TargetMode="External"/><Relationship Id="rId1065" Type="http://schemas.openxmlformats.org/officeDocument/2006/relationships/hyperlink" Target="https://finance.yahoo.com/quote/AMZN260515C00265000/" TargetMode="External"/><Relationship Id="rId1272" Type="http://schemas.openxmlformats.org/officeDocument/2006/relationships/hyperlink" Target="https://finance.yahoo.com/quote/AMZN/options/?straddle=false&amp;strike=280&amp;type=all" TargetMode="External"/><Relationship Id="rId2116" Type="http://schemas.openxmlformats.org/officeDocument/2006/relationships/hyperlink" Target="https://finance.yahoo.com/quote/AMZN/options/?straddle=false&amp;strike=192.5&amp;type=all" TargetMode="External"/><Relationship Id="rId2323" Type="http://schemas.openxmlformats.org/officeDocument/2006/relationships/hyperlink" Target="https://finance.yahoo.com/quote/AMZN260327C00207500/" TargetMode="External"/><Relationship Id="rId2530" Type="http://schemas.openxmlformats.org/officeDocument/2006/relationships/hyperlink" Target="https://finance.yahoo.com/quote/AMZN/options/?straddle=false&amp;strike=215&amp;type=all" TargetMode="External"/><Relationship Id="rId502" Type="http://schemas.openxmlformats.org/officeDocument/2006/relationships/hyperlink" Target="https://finance.yahoo.com/quote/AMZN/options/?straddle=false&amp;strike=105&amp;type=all" TargetMode="External"/><Relationship Id="rId947" Type="http://schemas.openxmlformats.org/officeDocument/2006/relationships/hyperlink" Target="https://finance.yahoo.com/quote/AMZN260515C00220000/" TargetMode="External"/><Relationship Id="rId1132" Type="http://schemas.openxmlformats.org/officeDocument/2006/relationships/hyperlink" Target="https://finance.yahoo.com/quote/AMZN/options/?straddle=false&amp;strike=180&amp;type=all" TargetMode="External"/><Relationship Id="rId1577" Type="http://schemas.openxmlformats.org/officeDocument/2006/relationships/hyperlink" Target="https://finance.yahoo.com/quote/AMZN260227P00227500/" TargetMode="External"/><Relationship Id="rId1784" Type="http://schemas.openxmlformats.org/officeDocument/2006/relationships/hyperlink" Target="https://finance.yahoo.com/quote/AMZN/options/?straddle=false&amp;strike=222.5&amp;type=all" TargetMode="External"/><Relationship Id="rId1991" Type="http://schemas.openxmlformats.org/officeDocument/2006/relationships/hyperlink" Target="https://finance.yahoo.com/quote/AMZN260320P00190000/" TargetMode="External"/><Relationship Id="rId2628" Type="http://schemas.openxmlformats.org/officeDocument/2006/relationships/hyperlink" Target="https://finance.yahoo.com/quote/AMZN/options/?straddle=false&amp;strike=210&amp;type=all" TargetMode="External"/><Relationship Id="rId76" Type="http://schemas.openxmlformats.org/officeDocument/2006/relationships/hyperlink" Target="https://finance.yahoo.com/quote/AMZN/options/?straddle=false&amp;strike=257.5&amp;type=all" TargetMode="External"/><Relationship Id="rId807" Type="http://schemas.openxmlformats.org/officeDocument/2006/relationships/hyperlink" Target="https://finance.yahoo.com/quote/AMZN260515P00120000/" TargetMode="External"/><Relationship Id="rId1437" Type="http://schemas.openxmlformats.org/officeDocument/2006/relationships/hyperlink" Target="https://finance.yahoo.com/quote/AMZN260227C00197500/" TargetMode="External"/><Relationship Id="rId1644" Type="http://schemas.openxmlformats.org/officeDocument/2006/relationships/hyperlink" Target="https://finance.yahoo.com/quote/AMZN/options/?straddle=false&amp;strike=192.5&amp;type=all" TargetMode="External"/><Relationship Id="rId1851" Type="http://schemas.openxmlformats.org/officeDocument/2006/relationships/hyperlink" Target="https://finance.yahoo.com/quote/AMZN260318C00225000/" TargetMode="External"/><Relationship Id="rId1504" Type="http://schemas.openxmlformats.org/officeDocument/2006/relationships/hyperlink" Target="https://finance.yahoo.com/quote/AMZN/options/?straddle=false&amp;strike=325&amp;type=all" TargetMode="External"/><Relationship Id="rId1711" Type="http://schemas.openxmlformats.org/officeDocument/2006/relationships/hyperlink" Target="https://finance.yahoo.com/quote/AMZN260306C00320000/" TargetMode="External"/><Relationship Id="rId1949" Type="http://schemas.openxmlformats.org/officeDocument/2006/relationships/hyperlink" Target="https://finance.yahoo.com/quote/AMZN260320P00090000/" TargetMode="External"/><Relationship Id="rId292" Type="http://schemas.openxmlformats.org/officeDocument/2006/relationships/hyperlink" Target="https://finance.yahoo.com/quote/AMZN/options/?straddle=false&amp;strike=330&amp;type=all" TargetMode="External"/><Relationship Id="rId1809" Type="http://schemas.openxmlformats.org/officeDocument/2006/relationships/hyperlink" Target="https://finance.yahoo.com/quote/AMZN260306P00280000/" TargetMode="External"/><Relationship Id="rId597" Type="http://schemas.openxmlformats.org/officeDocument/2006/relationships/hyperlink" Target="https://finance.yahoo.com/quote/AMZN260515P00360000/" TargetMode="External"/><Relationship Id="rId2180" Type="http://schemas.openxmlformats.org/officeDocument/2006/relationships/hyperlink" Target="https://finance.yahoo.com/quote/AMZN/options/?straddle=false&amp;strike=305&amp;type=all" TargetMode="External"/><Relationship Id="rId2278" Type="http://schemas.openxmlformats.org/officeDocument/2006/relationships/hyperlink" Target="https://finance.yahoo.com/quote/AMZN/options/?straddle=false&amp;strike=125&amp;type=all" TargetMode="External"/><Relationship Id="rId2485" Type="http://schemas.openxmlformats.org/officeDocument/2006/relationships/hyperlink" Target="https://finance.yahoo.com/quote/AMZN260410C00150000/" TargetMode="External"/><Relationship Id="rId152" Type="http://schemas.openxmlformats.org/officeDocument/2006/relationships/hyperlink" Target="https://finance.yahoo.com/quote/AMZN/options/?straddle=false&amp;strike=227.5&amp;type=all" TargetMode="External"/><Relationship Id="rId457" Type="http://schemas.openxmlformats.org/officeDocument/2006/relationships/hyperlink" Target="https://finance.yahoo.com/quote/AMZN260515C00245000/" TargetMode="External"/><Relationship Id="rId1087" Type="http://schemas.openxmlformats.org/officeDocument/2006/relationships/hyperlink" Target="https://finance.yahoo.com/quote/AMZN260515C00320000/" TargetMode="External"/><Relationship Id="rId1294" Type="http://schemas.openxmlformats.org/officeDocument/2006/relationships/hyperlink" Target="https://finance.yahoo.com/quote/AMZN/options/?straddle=false&amp;strike=340&amp;type=all" TargetMode="External"/><Relationship Id="rId2040" Type="http://schemas.openxmlformats.org/officeDocument/2006/relationships/hyperlink" Target="https://finance.yahoo.com/quote/AMZN/options/?straddle=false&amp;strike=265&amp;type=all" TargetMode="External"/><Relationship Id="rId2138" Type="http://schemas.openxmlformats.org/officeDocument/2006/relationships/hyperlink" Target="https://finance.yahoo.com/quote/AMZN/options/?straddle=false&amp;strike=220&amp;type=all" TargetMode="External"/><Relationship Id="rId664" Type="http://schemas.openxmlformats.org/officeDocument/2006/relationships/hyperlink" Target="https://finance.yahoo.com/quote/AMZN/options/?straddle=false&amp;strike=260&amp;type=all" TargetMode="External"/><Relationship Id="rId871" Type="http://schemas.openxmlformats.org/officeDocument/2006/relationships/hyperlink" Target="https://finance.yahoo.com/quote/AMZN260515P00280000/" TargetMode="External"/><Relationship Id="rId969" Type="http://schemas.openxmlformats.org/officeDocument/2006/relationships/hyperlink" Target="https://finance.yahoo.com/quote/AMZN260515C00275000/" TargetMode="External"/><Relationship Id="rId1599" Type="http://schemas.openxmlformats.org/officeDocument/2006/relationships/hyperlink" Target="https://finance.yahoo.com/quote/AMZN260227P00280000/" TargetMode="External"/><Relationship Id="rId2345" Type="http://schemas.openxmlformats.org/officeDocument/2006/relationships/hyperlink" Target="https://finance.yahoo.com/quote/AMZN260327C00235000/" TargetMode="External"/><Relationship Id="rId2552" Type="http://schemas.openxmlformats.org/officeDocument/2006/relationships/hyperlink" Target="https://finance.yahoo.com/quote/AMZN/options/?straddle=false&amp;strike=250&amp;type=all" TargetMode="External"/><Relationship Id="rId317" Type="http://schemas.openxmlformats.org/officeDocument/2006/relationships/hyperlink" Target="https://finance.yahoo.com/quote/AMZN260515P00145000/" TargetMode="External"/><Relationship Id="rId524" Type="http://schemas.openxmlformats.org/officeDocument/2006/relationships/hyperlink" Target="https://finance.yahoo.com/quote/AMZN/options/?straddle=false&amp;strike=160&amp;type=all" TargetMode="External"/><Relationship Id="rId731" Type="http://schemas.openxmlformats.org/officeDocument/2006/relationships/hyperlink" Target="https://finance.yahoo.com/quote/AMZN260515P00180000/" TargetMode="External"/><Relationship Id="rId1154" Type="http://schemas.openxmlformats.org/officeDocument/2006/relationships/hyperlink" Target="https://finance.yahoo.com/quote/AMZN/options/?straddle=false&amp;strike=235&amp;type=all" TargetMode="External"/><Relationship Id="rId1361" Type="http://schemas.openxmlformats.org/officeDocument/2006/relationships/hyperlink" Target="https://finance.yahoo.com/quote/AMZN260515P00255000/" TargetMode="External"/><Relationship Id="rId1459" Type="http://schemas.openxmlformats.org/officeDocument/2006/relationships/hyperlink" Target="https://finance.yahoo.com/quote/AMZN260227C00225000/" TargetMode="External"/><Relationship Id="rId2205" Type="http://schemas.openxmlformats.org/officeDocument/2006/relationships/hyperlink" Target="https://finance.yahoo.com/quote/AMZN260327P00155000/" TargetMode="External"/><Relationship Id="rId2412" Type="http://schemas.openxmlformats.org/officeDocument/2006/relationships/hyperlink" Target="https://finance.yahoo.com/quote/AMZN/options/?straddle=false&amp;strike=177.5&amp;type=all" TargetMode="External"/><Relationship Id="rId98" Type="http://schemas.openxmlformats.org/officeDocument/2006/relationships/hyperlink" Target="https://finance.yahoo.com/quote/AMZN/options/?straddle=false&amp;strike=300&amp;type=all" TargetMode="External"/><Relationship Id="rId829" Type="http://schemas.openxmlformats.org/officeDocument/2006/relationships/hyperlink" Target="https://finance.yahoo.com/quote/AMZN260515P00175000/" TargetMode="External"/><Relationship Id="rId1014" Type="http://schemas.openxmlformats.org/officeDocument/2006/relationships/hyperlink" Target="https://finance.yahoo.com/quote/AMZN/options/?straddle=false&amp;strike=135&amp;type=all" TargetMode="External"/><Relationship Id="rId1221" Type="http://schemas.openxmlformats.org/officeDocument/2006/relationships/hyperlink" Target="https://finance.yahoo.com/quote/AMZN260515C00155000/" TargetMode="External"/><Relationship Id="rId1666" Type="http://schemas.openxmlformats.org/officeDocument/2006/relationships/hyperlink" Target="https://finance.yahoo.com/quote/AMZN/options/?straddle=false&amp;strike=220&amp;type=all" TargetMode="External"/><Relationship Id="rId1873" Type="http://schemas.openxmlformats.org/officeDocument/2006/relationships/hyperlink" Target="https://finance.yahoo.com/quote/AMZN260318C00275000/" TargetMode="External"/><Relationship Id="rId1319" Type="http://schemas.openxmlformats.org/officeDocument/2006/relationships/hyperlink" Target="https://finance.yahoo.com/quote/AMZN260515P00150000/" TargetMode="External"/><Relationship Id="rId1526" Type="http://schemas.openxmlformats.org/officeDocument/2006/relationships/hyperlink" Target="https://finance.yahoo.com/quote/AMZN/options/?straddle=false&amp;strike=155&amp;type=all" TargetMode="External"/><Relationship Id="rId1733" Type="http://schemas.openxmlformats.org/officeDocument/2006/relationships/hyperlink" Target="https://finance.yahoo.com/quote/AMZN260306P00150000/" TargetMode="External"/><Relationship Id="rId1940" Type="http://schemas.openxmlformats.org/officeDocument/2006/relationships/hyperlink" Target="https://finance.yahoo.com/quote/AMZN/options/?straddle=false&amp;strike=230&amp;type=all" TargetMode="External"/><Relationship Id="rId25" Type="http://schemas.openxmlformats.org/officeDocument/2006/relationships/hyperlink" Target="https://finance.yahoo.com/quote/AMZN260123C00185000/" TargetMode="External"/><Relationship Id="rId1800" Type="http://schemas.openxmlformats.org/officeDocument/2006/relationships/hyperlink" Target="https://finance.yahoo.com/quote/AMZN/options/?straddle=false&amp;strike=255&amp;type=all" TargetMode="External"/><Relationship Id="rId174" Type="http://schemas.openxmlformats.org/officeDocument/2006/relationships/hyperlink" Target="https://finance.yahoo.com/quote/AMZN/options/?straddle=false&amp;strike=255&amp;type=all" TargetMode="External"/><Relationship Id="rId381" Type="http://schemas.openxmlformats.org/officeDocument/2006/relationships/hyperlink" Target="https://finance.yahoo.com/quote/AMZN260515P00305000/" TargetMode="External"/><Relationship Id="rId2062" Type="http://schemas.openxmlformats.org/officeDocument/2006/relationships/hyperlink" Target="https://finance.yahoo.com/quote/AMZN/options/?straddle=false&amp;strike=320&amp;type=all" TargetMode="External"/><Relationship Id="rId241" Type="http://schemas.openxmlformats.org/officeDocument/2006/relationships/hyperlink" Target="https://finance.yahoo.com/quote/AMZN260515C00205000/" TargetMode="External"/><Relationship Id="rId479" Type="http://schemas.openxmlformats.org/officeDocument/2006/relationships/hyperlink" Target="https://finance.yahoo.com/quote/AMZN260515C00300000/" TargetMode="External"/><Relationship Id="rId686" Type="http://schemas.openxmlformats.org/officeDocument/2006/relationships/hyperlink" Target="https://finance.yahoo.com/quote/AMZN/options/?straddle=false&amp;strike=315&amp;type=all" TargetMode="External"/><Relationship Id="rId893" Type="http://schemas.openxmlformats.org/officeDocument/2006/relationships/hyperlink" Target="https://finance.yahoo.com/quote/AMZN260515P00340000/" TargetMode="External"/><Relationship Id="rId2367" Type="http://schemas.openxmlformats.org/officeDocument/2006/relationships/hyperlink" Target="https://finance.yahoo.com/quote/AMZN260327C00285000/" TargetMode="External"/><Relationship Id="rId2574" Type="http://schemas.openxmlformats.org/officeDocument/2006/relationships/hyperlink" Target="https://finance.yahoo.com/quote/AMZN/options/?straddle=false&amp;strike=305&amp;type=all" TargetMode="External"/><Relationship Id="rId339" Type="http://schemas.openxmlformats.org/officeDocument/2006/relationships/hyperlink" Target="https://finance.yahoo.com/quote/AMZN260515P00200000/" TargetMode="External"/><Relationship Id="rId546" Type="http://schemas.openxmlformats.org/officeDocument/2006/relationships/hyperlink" Target="https://finance.yahoo.com/quote/AMZN/options/?straddle=false&amp;strike=215&amp;type=all" TargetMode="External"/><Relationship Id="rId753" Type="http://schemas.openxmlformats.org/officeDocument/2006/relationships/hyperlink" Target="https://finance.yahoo.com/quote/AMZN260515P00235000/" TargetMode="External"/><Relationship Id="rId1176" Type="http://schemas.openxmlformats.org/officeDocument/2006/relationships/hyperlink" Target="https://finance.yahoo.com/quote/AMZN/options/?straddle=false&amp;strike=290&amp;type=all" TargetMode="External"/><Relationship Id="rId1383" Type="http://schemas.openxmlformats.org/officeDocument/2006/relationships/hyperlink" Target="https://finance.yahoo.com/quote/AMZN260515P00310000/" TargetMode="External"/><Relationship Id="rId2227" Type="http://schemas.openxmlformats.org/officeDocument/2006/relationships/hyperlink" Target="https://finance.yahoo.com/quote/AMZN260327P00192500/" TargetMode="External"/><Relationship Id="rId2434" Type="http://schemas.openxmlformats.org/officeDocument/2006/relationships/hyperlink" Target="https://finance.yahoo.com/quote/AMZN/options/?straddle=false&amp;strike=205&amp;type=all" TargetMode="External"/><Relationship Id="rId101" Type="http://schemas.openxmlformats.org/officeDocument/2006/relationships/hyperlink" Target="https://finance.yahoo.com/quote/AMZN260123P00125000/" TargetMode="External"/><Relationship Id="rId406" Type="http://schemas.openxmlformats.org/officeDocument/2006/relationships/hyperlink" Target="https://finance.yahoo.com/quote/AMZN/options/?straddle=false&amp;strike=115&amp;type=all" TargetMode="External"/><Relationship Id="rId960" Type="http://schemas.openxmlformats.org/officeDocument/2006/relationships/hyperlink" Target="https://finance.yahoo.com/quote/AMZN/options/?straddle=false&amp;strike=250&amp;type=all" TargetMode="External"/><Relationship Id="rId1036" Type="http://schemas.openxmlformats.org/officeDocument/2006/relationships/hyperlink" Target="https://finance.yahoo.com/quote/AMZN/options/?straddle=false&amp;strike=190&amp;type=all" TargetMode="External"/><Relationship Id="rId1243" Type="http://schemas.openxmlformats.org/officeDocument/2006/relationships/hyperlink" Target="https://finance.yahoo.com/quote/AMZN260515C00210000/" TargetMode="External"/><Relationship Id="rId1590" Type="http://schemas.openxmlformats.org/officeDocument/2006/relationships/hyperlink" Target="https://finance.yahoo.com/quote/AMZN/options/?straddle=false&amp;strike=255&amp;type=all" TargetMode="External"/><Relationship Id="rId1688" Type="http://schemas.openxmlformats.org/officeDocument/2006/relationships/hyperlink" Target="https://finance.yahoo.com/quote/AMZN/options/?straddle=false&amp;strike=260&amp;type=all" TargetMode="External"/><Relationship Id="rId1895" Type="http://schemas.openxmlformats.org/officeDocument/2006/relationships/hyperlink" Target="https://finance.yahoo.com/quote/AMZN260318P00175000/" TargetMode="External"/><Relationship Id="rId2641" Type="http://schemas.openxmlformats.org/officeDocument/2006/relationships/hyperlink" Target="https://finance.yahoo.com/quote/AMZN260410P00227500/" TargetMode="External"/><Relationship Id="rId613" Type="http://schemas.openxmlformats.org/officeDocument/2006/relationships/hyperlink" Target="https://finance.yahoo.com/quote/AMZN260515C00135000/" TargetMode="External"/><Relationship Id="rId820" Type="http://schemas.openxmlformats.org/officeDocument/2006/relationships/hyperlink" Target="https://finance.yahoo.com/quote/AMZN/options/?straddle=false&amp;strike=150&amp;type=all" TargetMode="External"/><Relationship Id="rId918" Type="http://schemas.openxmlformats.org/officeDocument/2006/relationships/hyperlink" Target="https://finance.yahoo.com/quote/AMZN/options/?straddle=false&amp;strike=145&amp;type=all" TargetMode="External"/><Relationship Id="rId1450" Type="http://schemas.openxmlformats.org/officeDocument/2006/relationships/hyperlink" Target="https://finance.yahoo.com/quote/AMZN/options/?straddle=false&amp;strike=212.5&amp;type=all" TargetMode="External"/><Relationship Id="rId1548" Type="http://schemas.openxmlformats.org/officeDocument/2006/relationships/hyperlink" Target="https://finance.yahoo.com/quote/AMZN/options/?straddle=false&amp;strike=190&amp;type=all" TargetMode="External"/><Relationship Id="rId1755" Type="http://schemas.openxmlformats.org/officeDocument/2006/relationships/hyperlink" Target="https://finance.yahoo.com/quote/AMZN260306P00187500/" TargetMode="External"/><Relationship Id="rId2501" Type="http://schemas.openxmlformats.org/officeDocument/2006/relationships/hyperlink" Target="https://finance.yahoo.com/quote/AMZN260410C00180000/" TargetMode="External"/><Relationship Id="rId1103" Type="http://schemas.openxmlformats.org/officeDocument/2006/relationships/hyperlink" Target="https://finance.yahoo.com/quote/AMZN260515P00110000/" TargetMode="External"/><Relationship Id="rId1310" Type="http://schemas.openxmlformats.org/officeDocument/2006/relationships/hyperlink" Target="https://finance.yahoo.com/quote/AMZN/options/?straddle=false&amp;strike=125&amp;type=all" TargetMode="External"/><Relationship Id="rId1408" Type="http://schemas.openxmlformats.org/officeDocument/2006/relationships/hyperlink" Target="https://finance.yahoo.com/quote/AMZN/options/?straddle=false&amp;strike=145&amp;type=all" TargetMode="External"/><Relationship Id="rId1962" Type="http://schemas.openxmlformats.org/officeDocument/2006/relationships/hyperlink" Target="https://finance.yahoo.com/quote/AMZN/options/?straddle=false&amp;strike=120&amp;type=all" TargetMode="External"/><Relationship Id="rId47" Type="http://schemas.openxmlformats.org/officeDocument/2006/relationships/hyperlink" Target="https://finance.yahoo.com/quote/AMZN260123C00222500/" TargetMode="External"/><Relationship Id="rId1615" Type="http://schemas.openxmlformats.org/officeDocument/2006/relationships/hyperlink" Target="https://finance.yahoo.com/quote/AMZN260306C00145000/" TargetMode="External"/><Relationship Id="rId1822" Type="http://schemas.openxmlformats.org/officeDocument/2006/relationships/hyperlink" Target="https://finance.yahoo.com/quote/AMZN/options/?straddle=false&amp;strike=180&amp;type=all" TargetMode="External"/><Relationship Id="rId196" Type="http://schemas.openxmlformats.org/officeDocument/2006/relationships/hyperlink" Target="https://finance.yahoo.com/quote/AMZN/options/?straddle=false&amp;strike=350&amp;type=all" TargetMode="External"/><Relationship Id="rId2084" Type="http://schemas.openxmlformats.org/officeDocument/2006/relationships/hyperlink" Target="https://finance.yahoo.com/quote/AMZN/options/?straddle=false&amp;strike=130&amp;type=all" TargetMode="External"/><Relationship Id="rId2291" Type="http://schemas.openxmlformats.org/officeDocument/2006/relationships/hyperlink" Target="https://finance.yahoo.com/quote/AMZN260327C00160000/" TargetMode="External"/><Relationship Id="rId263" Type="http://schemas.openxmlformats.org/officeDocument/2006/relationships/hyperlink" Target="https://finance.yahoo.com/quote/AMZN260515C00260000/" TargetMode="External"/><Relationship Id="rId470" Type="http://schemas.openxmlformats.org/officeDocument/2006/relationships/hyperlink" Target="https://finance.yahoo.com/quote/AMZN/options/?straddle=false&amp;strike=275&amp;type=all" TargetMode="External"/><Relationship Id="rId2151" Type="http://schemas.openxmlformats.org/officeDocument/2006/relationships/hyperlink" Target="https://finance.yahoo.com/quote/AMZN260327C00237500/" TargetMode="External"/><Relationship Id="rId2389" Type="http://schemas.openxmlformats.org/officeDocument/2006/relationships/hyperlink" Target="https://finance.yahoo.com/quote/AMZN260327P00125000/" TargetMode="External"/><Relationship Id="rId2596" Type="http://schemas.openxmlformats.org/officeDocument/2006/relationships/hyperlink" Target="https://finance.yahoo.com/quote/AMZN/options/?straddle=false&amp;strike=170&amp;type=all" TargetMode="External"/><Relationship Id="rId123" Type="http://schemas.openxmlformats.org/officeDocument/2006/relationships/hyperlink" Target="https://finance.yahoo.com/quote/AMZN260123P00180000/" TargetMode="External"/><Relationship Id="rId330" Type="http://schemas.openxmlformats.org/officeDocument/2006/relationships/hyperlink" Target="https://finance.yahoo.com/quote/AMZN/options/?straddle=false&amp;strike=175&amp;type=all" TargetMode="External"/><Relationship Id="rId568" Type="http://schemas.openxmlformats.org/officeDocument/2006/relationships/hyperlink" Target="https://finance.yahoo.com/quote/AMZN/options/?straddle=false&amp;strike=270&amp;type=all" TargetMode="External"/><Relationship Id="rId775" Type="http://schemas.openxmlformats.org/officeDocument/2006/relationships/hyperlink" Target="https://finance.yahoo.com/quote/AMZN260515P00290000/" TargetMode="External"/><Relationship Id="rId982" Type="http://schemas.openxmlformats.org/officeDocument/2006/relationships/hyperlink" Target="https://finance.yahoo.com/quote/AMZN/options/?straddle=false&amp;strike=305&amp;type=all" TargetMode="External"/><Relationship Id="rId1198" Type="http://schemas.openxmlformats.org/officeDocument/2006/relationships/hyperlink" Target="https://finance.yahoo.com/quote/AMZN/options/?straddle=false&amp;strike=360&amp;type=all" TargetMode="External"/><Relationship Id="rId2011" Type="http://schemas.openxmlformats.org/officeDocument/2006/relationships/hyperlink" Target="https://finance.yahoo.com/quote/AMZN260320P00215000/" TargetMode="External"/><Relationship Id="rId2249" Type="http://schemas.openxmlformats.org/officeDocument/2006/relationships/hyperlink" Target="https://finance.yahoo.com/quote/AMZN260327P00220000/" TargetMode="External"/><Relationship Id="rId2456" Type="http://schemas.openxmlformats.org/officeDocument/2006/relationships/hyperlink" Target="https://finance.yahoo.com/quote/AMZN/options/?straddle=false&amp;strike=232.5&amp;type=all" TargetMode="External"/><Relationship Id="rId428" Type="http://schemas.openxmlformats.org/officeDocument/2006/relationships/hyperlink" Target="https://finance.yahoo.com/quote/AMZN/options/?straddle=false&amp;strike=170&amp;type=all" TargetMode="External"/><Relationship Id="rId635" Type="http://schemas.openxmlformats.org/officeDocument/2006/relationships/hyperlink" Target="https://finance.yahoo.com/quote/AMZN260515C00190000/" TargetMode="External"/><Relationship Id="rId842" Type="http://schemas.openxmlformats.org/officeDocument/2006/relationships/hyperlink" Target="https://finance.yahoo.com/quote/AMZN/options/?straddle=false&amp;strike=205&amp;type=all" TargetMode="External"/><Relationship Id="rId1058" Type="http://schemas.openxmlformats.org/officeDocument/2006/relationships/hyperlink" Target="https://finance.yahoo.com/quote/AMZN/options/?straddle=false&amp;strike=245&amp;type=all" TargetMode="External"/><Relationship Id="rId1265" Type="http://schemas.openxmlformats.org/officeDocument/2006/relationships/hyperlink" Target="https://finance.yahoo.com/quote/AMZN260515C00265000/" TargetMode="External"/><Relationship Id="rId1472" Type="http://schemas.openxmlformats.org/officeDocument/2006/relationships/hyperlink" Target="https://finance.yahoo.com/quote/AMZN/options/?straddle=false&amp;strike=245&amp;type=all" TargetMode="External"/><Relationship Id="rId2109" Type="http://schemas.openxmlformats.org/officeDocument/2006/relationships/hyperlink" Target="https://finance.yahoo.com/quote/AMZN260327C00185000/" TargetMode="External"/><Relationship Id="rId2316" Type="http://schemas.openxmlformats.org/officeDocument/2006/relationships/hyperlink" Target="https://finance.yahoo.com/quote/AMZN/options/?straddle=false&amp;strike=197.5&amp;type=all" TargetMode="External"/><Relationship Id="rId2523" Type="http://schemas.openxmlformats.org/officeDocument/2006/relationships/hyperlink" Target="https://finance.yahoo.com/quote/AMZN260410C00207500/" TargetMode="External"/><Relationship Id="rId702" Type="http://schemas.openxmlformats.org/officeDocument/2006/relationships/hyperlink" Target="https://finance.yahoo.com/quote/AMZN/options/?straddle=false&amp;strike=105&amp;type=all" TargetMode="External"/><Relationship Id="rId1125" Type="http://schemas.openxmlformats.org/officeDocument/2006/relationships/hyperlink" Target="https://finance.yahoo.com/quote/AMZN260515P00165000/" TargetMode="External"/><Relationship Id="rId1332" Type="http://schemas.openxmlformats.org/officeDocument/2006/relationships/hyperlink" Target="https://finance.yahoo.com/quote/AMZN/options/?straddle=false&amp;strike=180&amp;type=all" TargetMode="External"/><Relationship Id="rId1777" Type="http://schemas.openxmlformats.org/officeDocument/2006/relationships/hyperlink" Target="https://finance.yahoo.com/quote/AMZN260306P00215000/" TargetMode="External"/><Relationship Id="rId1984" Type="http://schemas.openxmlformats.org/officeDocument/2006/relationships/hyperlink" Target="https://finance.yahoo.com/quote/AMZN/options/?straddle=false&amp;strike=175&amp;type=all" TargetMode="External"/><Relationship Id="rId69" Type="http://schemas.openxmlformats.org/officeDocument/2006/relationships/hyperlink" Target="https://finance.yahoo.com/quote/AMZN260123C00250000/" TargetMode="External"/><Relationship Id="rId1637" Type="http://schemas.openxmlformats.org/officeDocument/2006/relationships/hyperlink" Target="https://finance.yahoo.com/quote/AMZN260306C00185000/" TargetMode="External"/><Relationship Id="rId1844" Type="http://schemas.openxmlformats.org/officeDocument/2006/relationships/hyperlink" Target="https://finance.yahoo.com/quote/AMZN/options/?straddle=false&amp;strike=215&amp;type=all" TargetMode="External"/><Relationship Id="rId1704" Type="http://schemas.openxmlformats.org/officeDocument/2006/relationships/hyperlink" Target="https://finance.yahoo.com/quote/AMZN/options/?straddle=false&amp;strike=300&amp;type=all" TargetMode="External"/><Relationship Id="rId285" Type="http://schemas.openxmlformats.org/officeDocument/2006/relationships/hyperlink" Target="https://finance.yahoo.com/quote/AMZN260515C00315000/" TargetMode="External"/><Relationship Id="rId1911" Type="http://schemas.openxmlformats.org/officeDocument/2006/relationships/hyperlink" Target="https://finance.yahoo.com/quote/AMZN260318P00195000/" TargetMode="External"/><Relationship Id="rId492" Type="http://schemas.openxmlformats.org/officeDocument/2006/relationships/hyperlink" Target="https://finance.yahoo.com/quote/AMZN/options/?straddle=false&amp;strike=330&amp;type=all" TargetMode="External"/><Relationship Id="rId797" Type="http://schemas.openxmlformats.org/officeDocument/2006/relationships/hyperlink" Target="https://finance.yahoo.com/quote/AMZN260515P00360000/" TargetMode="External"/><Relationship Id="rId2173" Type="http://schemas.openxmlformats.org/officeDocument/2006/relationships/hyperlink" Target="https://finance.yahoo.com/quote/AMZN260327C00290000/" TargetMode="External"/><Relationship Id="rId2380" Type="http://schemas.openxmlformats.org/officeDocument/2006/relationships/hyperlink" Target="https://finance.yahoo.com/quote/AMZN/options/?straddle=false&amp;strike=315&amp;type=all" TargetMode="External"/><Relationship Id="rId2478" Type="http://schemas.openxmlformats.org/officeDocument/2006/relationships/hyperlink" Target="https://finance.yahoo.com/quote/AMZN/options/?straddle=false&amp;strike=130&amp;type=all" TargetMode="External"/><Relationship Id="rId145" Type="http://schemas.openxmlformats.org/officeDocument/2006/relationships/hyperlink" Target="https://finance.yahoo.com/quote/AMZN260123P00220000/" TargetMode="External"/><Relationship Id="rId352" Type="http://schemas.openxmlformats.org/officeDocument/2006/relationships/hyperlink" Target="https://finance.yahoo.com/quote/AMZN/options/?straddle=false&amp;strike=230&amp;type=all" TargetMode="External"/><Relationship Id="rId1287" Type="http://schemas.openxmlformats.org/officeDocument/2006/relationships/hyperlink" Target="https://finance.yahoo.com/quote/AMZN260515C00320000/" TargetMode="External"/><Relationship Id="rId2033" Type="http://schemas.openxmlformats.org/officeDocument/2006/relationships/hyperlink" Target="https://finance.yahoo.com/quote/AMZN260320P00250000/" TargetMode="External"/><Relationship Id="rId2240" Type="http://schemas.openxmlformats.org/officeDocument/2006/relationships/hyperlink" Target="https://finance.yahoo.com/quote/AMZN/options/?straddle=false&amp;strike=207.5&amp;type=all" TargetMode="External"/><Relationship Id="rId212" Type="http://schemas.openxmlformats.org/officeDocument/2006/relationships/hyperlink" Target="https://finance.yahoo.com/quote/AMZN/options/?straddle=false&amp;strike=130&amp;type=all" TargetMode="External"/><Relationship Id="rId657" Type="http://schemas.openxmlformats.org/officeDocument/2006/relationships/hyperlink" Target="https://finance.yahoo.com/quote/AMZN260515C00245000/" TargetMode="External"/><Relationship Id="rId864" Type="http://schemas.openxmlformats.org/officeDocument/2006/relationships/hyperlink" Target="https://finance.yahoo.com/quote/AMZN/options/?straddle=false&amp;strike=260&amp;type=all" TargetMode="External"/><Relationship Id="rId1494" Type="http://schemas.openxmlformats.org/officeDocument/2006/relationships/hyperlink" Target="https://finance.yahoo.com/quote/AMZN/options/?straddle=false&amp;strike=300&amp;type=all" TargetMode="External"/><Relationship Id="rId1799" Type="http://schemas.openxmlformats.org/officeDocument/2006/relationships/hyperlink" Target="https://finance.yahoo.com/quote/AMZN260306P00255000/" TargetMode="External"/><Relationship Id="rId2100" Type="http://schemas.openxmlformats.org/officeDocument/2006/relationships/hyperlink" Target="https://finance.yahoo.com/quote/AMZN/options/?straddle=false&amp;strike=170&amp;type=all" TargetMode="External"/><Relationship Id="rId2338" Type="http://schemas.openxmlformats.org/officeDocument/2006/relationships/hyperlink" Target="https://finance.yahoo.com/quote/AMZN/options/?straddle=false&amp;strike=225&amp;type=all" TargetMode="External"/><Relationship Id="rId2545" Type="http://schemas.openxmlformats.org/officeDocument/2006/relationships/hyperlink" Target="https://finance.yahoo.com/quote/AMZN260410C00235000/" TargetMode="External"/><Relationship Id="rId517" Type="http://schemas.openxmlformats.org/officeDocument/2006/relationships/hyperlink" Target="https://finance.yahoo.com/quote/AMZN260515P00145000/" TargetMode="External"/><Relationship Id="rId724" Type="http://schemas.openxmlformats.org/officeDocument/2006/relationships/hyperlink" Target="https://finance.yahoo.com/quote/AMZN/options/?straddle=false&amp;strike=160&amp;type=all" TargetMode="External"/><Relationship Id="rId931" Type="http://schemas.openxmlformats.org/officeDocument/2006/relationships/hyperlink" Target="https://finance.yahoo.com/quote/AMZN260515C00180000/" TargetMode="External"/><Relationship Id="rId1147" Type="http://schemas.openxmlformats.org/officeDocument/2006/relationships/hyperlink" Target="https://finance.yahoo.com/quote/AMZN260515P00220000/" TargetMode="External"/><Relationship Id="rId1354" Type="http://schemas.openxmlformats.org/officeDocument/2006/relationships/hyperlink" Target="https://finance.yahoo.com/quote/AMZN/options/?straddle=false&amp;strike=235&amp;type=all" TargetMode="External"/><Relationship Id="rId1561" Type="http://schemas.openxmlformats.org/officeDocument/2006/relationships/hyperlink" Target="https://finance.yahoo.com/quote/AMZN260227P00207500/" TargetMode="External"/><Relationship Id="rId2405" Type="http://schemas.openxmlformats.org/officeDocument/2006/relationships/hyperlink" Target="https://finance.yahoo.com/quote/AMZN260327P00165000/" TargetMode="External"/><Relationship Id="rId2612" Type="http://schemas.openxmlformats.org/officeDocument/2006/relationships/hyperlink" Target="https://finance.yahoo.com/quote/AMZN/options/?straddle=false&amp;strike=190&amp;type=all" TargetMode="External"/><Relationship Id="rId60" Type="http://schemas.openxmlformats.org/officeDocument/2006/relationships/hyperlink" Target="https://finance.yahoo.com/quote/AMZN/options/?straddle=false&amp;strike=237.5&amp;type=all" TargetMode="External"/><Relationship Id="rId1007" Type="http://schemas.openxmlformats.org/officeDocument/2006/relationships/hyperlink" Target="https://finance.yahoo.com/quote/AMZN260515C00120000/" TargetMode="External"/><Relationship Id="rId1214" Type="http://schemas.openxmlformats.org/officeDocument/2006/relationships/hyperlink" Target="https://finance.yahoo.com/quote/AMZN/options/?straddle=false&amp;strike=135&amp;type=all" TargetMode="External"/><Relationship Id="rId1421" Type="http://schemas.openxmlformats.org/officeDocument/2006/relationships/hyperlink" Target="https://finance.yahoo.com/quote/AMZN260227C00177500/" TargetMode="External"/><Relationship Id="rId1659" Type="http://schemas.openxmlformats.org/officeDocument/2006/relationships/hyperlink" Target="https://finance.yahoo.com/quote/AMZN260306C00212500/" TargetMode="External"/><Relationship Id="rId1866" Type="http://schemas.openxmlformats.org/officeDocument/2006/relationships/hyperlink" Target="https://finance.yahoo.com/quote/AMZN/options/?straddle=false&amp;strike=250&amp;type=all" TargetMode="External"/><Relationship Id="rId1519" Type="http://schemas.openxmlformats.org/officeDocument/2006/relationships/hyperlink" Target="https://finance.yahoo.com/quote/AMZN260227P00140000/" TargetMode="External"/><Relationship Id="rId1726" Type="http://schemas.openxmlformats.org/officeDocument/2006/relationships/hyperlink" Target="https://finance.yahoo.com/quote/AMZN/options/?straddle=false&amp;strike=130&amp;type=all" TargetMode="External"/><Relationship Id="rId1933" Type="http://schemas.openxmlformats.org/officeDocument/2006/relationships/hyperlink" Target="https://finance.yahoo.com/quote/AMZN260318P00222500/" TargetMode="External"/><Relationship Id="rId18" Type="http://schemas.openxmlformats.org/officeDocument/2006/relationships/hyperlink" Target="https://finance.yahoo.com/quote/AMZN/options/?straddle=false&amp;strike=165&amp;type=all" TargetMode="External"/><Relationship Id="rId2195" Type="http://schemas.openxmlformats.org/officeDocument/2006/relationships/hyperlink" Target="https://finance.yahoo.com/quote/AMZN260327P00130000/" TargetMode="External"/><Relationship Id="rId167" Type="http://schemas.openxmlformats.org/officeDocument/2006/relationships/hyperlink" Target="https://finance.yahoo.com/quote/AMZN260123P00247500/" TargetMode="External"/><Relationship Id="rId374" Type="http://schemas.openxmlformats.org/officeDocument/2006/relationships/hyperlink" Target="https://finance.yahoo.com/quote/AMZN/options/?straddle=false&amp;strike=285&amp;type=all" TargetMode="External"/><Relationship Id="rId581" Type="http://schemas.openxmlformats.org/officeDocument/2006/relationships/hyperlink" Target="https://finance.yahoo.com/quote/AMZN260515P00305000/" TargetMode="External"/><Relationship Id="rId2055" Type="http://schemas.openxmlformats.org/officeDocument/2006/relationships/hyperlink" Target="https://finance.yahoo.com/quote/AMZN260320P00305000/" TargetMode="External"/><Relationship Id="rId2262" Type="http://schemas.openxmlformats.org/officeDocument/2006/relationships/hyperlink" Target="https://finance.yahoo.com/quote/AMZN/options/?straddle=false&amp;strike=235&amp;type=all" TargetMode="External"/><Relationship Id="rId234" Type="http://schemas.openxmlformats.org/officeDocument/2006/relationships/hyperlink" Target="https://finance.yahoo.com/quote/AMZN/options/?straddle=false&amp;strike=185&amp;type=all" TargetMode="External"/><Relationship Id="rId679" Type="http://schemas.openxmlformats.org/officeDocument/2006/relationships/hyperlink" Target="https://finance.yahoo.com/quote/AMZN260515C00300000/" TargetMode="External"/><Relationship Id="rId886" Type="http://schemas.openxmlformats.org/officeDocument/2006/relationships/hyperlink" Target="https://finance.yahoo.com/quote/AMZN/options/?straddle=false&amp;strike=315&amp;type=all" TargetMode="External"/><Relationship Id="rId2567" Type="http://schemas.openxmlformats.org/officeDocument/2006/relationships/hyperlink" Target="https://finance.yahoo.com/quote/AMZN260410C00290000/" TargetMode="External"/><Relationship Id="rId2" Type="http://schemas.openxmlformats.org/officeDocument/2006/relationships/hyperlink" Target="https://finance.yahoo.com/quote/AMZN/options/?straddle=false&amp;strike=125&amp;type=all" TargetMode="External"/><Relationship Id="rId441" Type="http://schemas.openxmlformats.org/officeDocument/2006/relationships/hyperlink" Target="https://finance.yahoo.com/quote/AMZN260515C00205000/" TargetMode="External"/><Relationship Id="rId539" Type="http://schemas.openxmlformats.org/officeDocument/2006/relationships/hyperlink" Target="https://finance.yahoo.com/quote/AMZN260515P00200000/" TargetMode="External"/><Relationship Id="rId746" Type="http://schemas.openxmlformats.org/officeDocument/2006/relationships/hyperlink" Target="https://finance.yahoo.com/quote/AMZN/options/?straddle=false&amp;strike=215&amp;type=all" TargetMode="External"/><Relationship Id="rId1071" Type="http://schemas.openxmlformats.org/officeDocument/2006/relationships/hyperlink" Target="https://finance.yahoo.com/quote/AMZN260515C00280000/" TargetMode="External"/><Relationship Id="rId1169" Type="http://schemas.openxmlformats.org/officeDocument/2006/relationships/hyperlink" Target="https://finance.yahoo.com/quote/AMZN260515P00275000/" TargetMode="External"/><Relationship Id="rId1376" Type="http://schemas.openxmlformats.org/officeDocument/2006/relationships/hyperlink" Target="https://finance.yahoo.com/quote/AMZN/options/?straddle=false&amp;strike=290&amp;type=all" TargetMode="External"/><Relationship Id="rId1583" Type="http://schemas.openxmlformats.org/officeDocument/2006/relationships/hyperlink" Target="https://finance.yahoo.com/quote/AMZN260227P00240000/" TargetMode="External"/><Relationship Id="rId2122" Type="http://schemas.openxmlformats.org/officeDocument/2006/relationships/hyperlink" Target="https://finance.yahoo.com/quote/AMZN/options/?straddle=false&amp;strike=200&amp;type=all" TargetMode="External"/><Relationship Id="rId2427" Type="http://schemas.openxmlformats.org/officeDocument/2006/relationships/hyperlink" Target="https://finance.yahoo.com/quote/AMZN260327P00197500/" TargetMode="External"/><Relationship Id="rId301" Type="http://schemas.openxmlformats.org/officeDocument/2006/relationships/hyperlink" Target="https://finance.yahoo.com/quote/AMZN260515P00105000/" TargetMode="External"/><Relationship Id="rId953" Type="http://schemas.openxmlformats.org/officeDocument/2006/relationships/hyperlink" Target="https://finance.yahoo.com/quote/AMZN260515C00235000/" TargetMode="External"/><Relationship Id="rId1029" Type="http://schemas.openxmlformats.org/officeDocument/2006/relationships/hyperlink" Target="https://finance.yahoo.com/quote/AMZN260515C00175000/" TargetMode="External"/><Relationship Id="rId1236" Type="http://schemas.openxmlformats.org/officeDocument/2006/relationships/hyperlink" Target="https://finance.yahoo.com/quote/AMZN/options/?straddle=false&amp;strike=190&amp;type=all" TargetMode="External"/><Relationship Id="rId1790" Type="http://schemas.openxmlformats.org/officeDocument/2006/relationships/hyperlink" Target="https://finance.yahoo.com/quote/AMZN/options/?straddle=false&amp;strike=230&amp;type=all" TargetMode="External"/><Relationship Id="rId1888" Type="http://schemas.openxmlformats.org/officeDocument/2006/relationships/hyperlink" Target="https://finance.yahoo.com/quote/AMZN/options/?straddle=false&amp;strike=165&amp;type=all" TargetMode="External"/><Relationship Id="rId2634" Type="http://schemas.openxmlformats.org/officeDocument/2006/relationships/hyperlink" Target="https://finance.yahoo.com/quote/AMZN/options/?straddle=false&amp;strike=217.5&amp;type=all" TargetMode="External"/><Relationship Id="rId82" Type="http://schemas.openxmlformats.org/officeDocument/2006/relationships/hyperlink" Target="https://finance.yahoo.com/quote/AMZN/options/?straddle=false&amp;strike=265&amp;type=all" TargetMode="External"/><Relationship Id="rId606" Type="http://schemas.openxmlformats.org/officeDocument/2006/relationships/hyperlink" Target="https://finance.yahoo.com/quote/AMZN/options/?straddle=false&amp;strike=115&amp;type=all" TargetMode="External"/><Relationship Id="rId813" Type="http://schemas.openxmlformats.org/officeDocument/2006/relationships/hyperlink" Target="https://finance.yahoo.com/quote/AMZN260515P00135000/" TargetMode="External"/><Relationship Id="rId1443" Type="http://schemas.openxmlformats.org/officeDocument/2006/relationships/hyperlink" Target="https://finance.yahoo.com/quote/AMZN260227C00205000/" TargetMode="External"/><Relationship Id="rId1650" Type="http://schemas.openxmlformats.org/officeDocument/2006/relationships/hyperlink" Target="https://finance.yahoo.com/quote/AMZN/options/?straddle=false&amp;strike=200&amp;type=all" TargetMode="External"/><Relationship Id="rId1748" Type="http://schemas.openxmlformats.org/officeDocument/2006/relationships/hyperlink" Target="https://finance.yahoo.com/quote/AMZN/options/?straddle=false&amp;strike=177.5&amp;type=all" TargetMode="External"/><Relationship Id="rId1303" Type="http://schemas.openxmlformats.org/officeDocument/2006/relationships/hyperlink" Target="https://finance.yahoo.com/quote/AMZN260515P00110000/" TargetMode="External"/><Relationship Id="rId1510" Type="http://schemas.openxmlformats.org/officeDocument/2006/relationships/hyperlink" Target="https://finance.yahoo.com/quote/AMZN/options/?straddle=false&amp;strike=340&amp;type=all" TargetMode="External"/><Relationship Id="rId1955" Type="http://schemas.openxmlformats.org/officeDocument/2006/relationships/hyperlink" Target="https://finance.yahoo.com/quote/AMZN260320P00105000/" TargetMode="External"/><Relationship Id="rId1608" Type="http://schemas.openxmlformats.org/officeDocument/2006/relationships/hyperlink" Target="https://finance.yahoo.com/quote/AMZN/options/?straddle=false&amp;strike=125&amp;type=all" TargetMode="External"/><Relationship Id="rId1815" Type="http://schemas.openxmlformats.org/officeDocument/2006/relationships/hyperlink" Target="https://finance.yahoo.com/quote/AMZN260318C00150000/" TargetMode="External"/><Relationship Id="rId189" Type="http://schemas.openxmlformats.org/officeDocument/2006/relationships/hyperlink" Target="https://finance.yahoo.com/quote/AMZN260123P00340000/" TargetMode="External"/><Relationship Id="rId396" Type="http://schemas.openxmlformats.org/officeDocument/2006/relationships/hyperlink" Target="https://finance.yahoo.com/quote/AMZN/options/?straddle=false&amp;strike=350&amp;type=all" TargetMode="External"/><Relationship Id="rId2077" Type="http://schemas.openxmlformats.org/officeDocument/2006/relationships/hyperlink" Target="https://finance.yahoo.com/quote/AMZN260320P00360000/" TargetMode="External"/><Relationship Id="rId2284" Type="http://schemas.openxmlformats.org/officeDocument/2006/relationships/hyperlink" Target="https://finance.yahoo.com/quote/AMZN/options/?straddle=false&amp;strike=140&amp;type=all" TargetMode="External"/><Relationship Id="rId2491" Type="http://schemas.openxmlformats.org/officeDocument/2006/relationships/hyperlink" Target="https://finance.yahoo.com/quote/AMZN260410C00165000/" TargetMode="External"/><Relationship Id="rId256" Type="http://schemas.openxmlformats.org/officeDocument/2006/relationships/hyperlink" Target="https://finance.yahoo.com/quote/AMZN/options/?straddle=false&amp;strike=240&amp;type=all" TargetMode="External"/><Relationship Id="rId463" Type="http://schemas.openxmlformats.org/officeDocument/2006/relationships/hyperlink" Target="https://finance.yahoo.com/quote/AMZN260515C00260000/" TargetMode="External"/><Relationship Id="rId670" Type="http://schemas.openxmlformats.org/officeDocument/2006/relationships/hyperlink" Target="https://finance.yahoo.com/quote/AMZN/options/?straddle=false&amp;strike=275&amp;type=all" TargetMode="External"/><Relationship Id="rId1093" Type="http://schemas.openxmlformats.org/officeDocument/2006/relationships/hyperlink" Target="https://finance.yahoo.com/quote/AMZN260515C00340000/" TargetMode="External"/><Relationship Id="rId2144" Type="http://schemas.openxmlformats.org/officeDocument/2006/relationships/hyperlink" Target="https://finance.yahoo.com/quote/AMZN/options/?straddle=false&amp;strike=227.5&amp;type=all" TargetMode="External"/><Relationship Id="rId2351" Type="http://schemas.openxmlformats.org/officeDocument/2006/relationships/hyperlink" Target="https://finance.yahoo.com/quote/AMZN260327C00245000/" TargetMode="External"/><Relationship Id="rId2589" Type="http://schemas.openxmlformats.org/officeDocument/2006/relationships/hyperlink" Target="https://finance.yahoo.com/quote/AMZN260410P00155000/" TargetMode="External"/><Relationship Id="rId116" Type="http://schemas.openxmlformats.org/officeDocument/2006/relationships/hyperlink" Target="https://finance.yahoo.com/quote/AMZN/options/?straddle=false&amp;strike=160&amp;type=all" TargetMode="External"/><Relationship Id="rId323" Type="http://schemas.openxmlformats.org/officeDocument/2006/relationships/hyperlink" Target="https://finance.yahoo.com/quote/AMZN260515P00160000/" TargetMode="External"/><Relationship Id="rId530" Type="http://schemas.openxmlformats.org/officeDocument/2006/relationships/hyperlink" Target="https://finance.yahoo.com/quote/AMZN/options/?straddle=false&amp;strike=175&amp;type=all" TargetMode="External"/><Relationship Id="rId768" Type="http://schemas.openxmlformats.org/officeDocument/2006/relationships/hyperlink" Target="https://finance.yahoo.com/quote/AMZN/options/?straddle=false&amp;strike=270&amp;type=all" TargetMode="External"/><Relationship Id="rId975" Type="http://schemas.openxmlformats.org/officeDocument/2006/relationships/hyperlink" Target="https://finance.yahoo.com/quote/AMZN260515C00290000/" TargetMode="External"/><Relationship Id="rId1160" Type="http://schemas.openxmlformats.org/officeDocument/2006/relationships/hyperlink" Target="https://finance.yahoo.com/quote/AMZN/options/?straddle=false&amp;strike=250&amp;type=all" TargetMode="External"/><Relationship Id="rId1398" Type="http://schemas.openxmlformats.org/officeDocument/2006/relationships/hyperlink" Target="https://finance.yahoo.com/quote/AMZN/options/?straddle=false&amp;strike=360&amp;type=all" TargetMode="External"/><Relationship Id="rId2004" Type="http://schemas.openxmlformats.org/officeDocument/2006/relationships/hyperlink" Target="https://finance.yahoo.com/quote/AMZN/options/?straddle=false&amp;strike=205&amp;type=all" TargetMode="External"/><Relationship Id="rId2211" Type="http://schemas.openxmlformats.org/officeDocument/2006/relationships/hyperlink" Target="https://finance.yahoo.com/quote/AMZN260327P00170000/" TargetMode="External"/><Relationship Id="rId2449" Type="http://schemas.openxmlformats.org/officeDocument/2006/relationships/hyperlink" Target="https://finance.yahoo.com/quote/AMZN260327P00225000/" TargetMode="External"/><Relationship Id="rId2656" Type="http://schemas.openxmlformats.org/officeDocument/2006/relationships/hyperlink" Target="https://finance.yahoo.com/quote/AMZN/options/?straddle=false&amp;strike=275&amp;type=all" TargetMode="External"/><Relationship Id="rId628" Type="http://schemas.openxmlformats.org/officeDocument/2006/relationships/hyperlink" Target="https://finance.yahoo.com/quote/AMZN/options/?straddle=false&amp;strike=170&amp;type=all" TargetMode="External"/><Relationship Id="rId835" Type="http://schemas.openxmlformats.org/officeDocument/2006/relationships/hyperlink" Target="https://finance.yahoo.com/quote/AMZN260515P00190000/" TargetMode="External"/><Relationship Id="rId1258" Type="http://schemas.openxmlformats.org/officeDocument/2006/relationships/hyperlink" Target="https://finance.yahoo.com/quote/AMZN/options/?straddle=false&amp;strike=245&amp;type=all" TargetMode="External"/><Relationship Id="rId1465" Type="http://schemas.openxmlformats.org/officeDocument/2006/relationships/hyperlink" Target="https://finance.yahoo.com/quote/AMZN260227C00232500/" TargetMode="External"/><Relationship Id="rId1672" Type="http://schemas.openxmlformats.org/officeDocument/2006/relationships/hyperlink" Target="https://finance.yahoo.com/quote/AMZN/options/?straddle=false&amp;strike=227.5&amp;type=all" TargetMode="External"/><Relationship Id="rId2309" Type="http://schemas.openxmlformats.org/officeDocument/2006/relationships/hyperlink" Target="https://finance.yahoo.com/quote/AMZN260327C00190000/" TargetMode="External"/><Relationship Id="rId2516" Type="http://schemas.openxmlformats.org/officeDocument/2006/relationships/hyperlink" Target="https://finance.yahoo.com/quote/AMZN/options/?straddle=false&amp;strike=197.5&amp;type=all" TargetMode="External"/><Relationship Id="rId1020" Type="http://schemas.openxmlformats.org/officeDocument/2006/relationships/hyperlink" Target="https://finance.yahoo.com/quote/AMZN/options/?straddle=false&amp;strike=150&amp;type=all" TargetMode="External"/><Relationship Id="rId1118" Type="http://schemas.openxmlformats.org/officeDocument/2006/relationships/hyperlink" Target="https://finance.yahoo.com/quote/AMZN/options/?straddle=false&amp;strike=145&amp;type=all" TargetMode="External"/><Relationship Id="rId1325" Type="http://schemas.openxmlformats.org/officeDocument/2006/relationships/hyperlink" Target="https://finance.yahoo.com/quote/AMZN260515P00165000/" TargetMode="External"/><Relationship Id="rId1532" Type="http://schemas.openxmlformats.org/officeDocument/2006/relationships/hyperlink" Target="https://finance.yahoo.com/quote/AMZN/options/?straddle=false&amp;strike=170&amp;type=all" TargetMode="External"/><Relationship Id="rId1977" Type="http://schemas.openxmlformats.org/officeDocument/2006/relationships/hyperlink" Target="https://finance.yahoo.com/quote/AMZN260320P00160000/" TargetMode="External"/><Relationship Id="rId902" Type="http://schemas.openxmlformats.org/officeDocument/2006/relationships/hyperlink" Target="https://finance.yahoo.com/quote/AMZN/options/?straddle=false&amp;strike=105&amp;type=all" TargetMode="External"/><Relationship Id="rId1837" Type="http://schemas.openxmlformats.org/officeDocument/2006/relationships/hyperlink" Target="https://finance.yahoo.com/quote/AMZN260318C00207500/" TargetMode="External"/><Relationship Id="rId31" Type="http://schemas.openxmlformats.org/officeDocument/2006/relationships/hyperlink" Target="https://finance.yahoo.com/quote/AMZN260123C00200000/" TargetMode="External"/><Relationship Id="rId2099" Type="http://schemas.openxmlformats.org/officeDocument/2006/relationships/hyperlink" Target="https://finance.yahoo.com/quote/AMZN260327C00170000/" TargetMode="External"/><Relationship Id="rId180" Type="http://schemas.openxmlformats.org/officeDocument/2006/relationships/hyperlink" Target="https://finance.yahoo.com/quote/AMZN/options/?straddle=false&amp;strike=262.5&amp;type=all" TargetMode="External"/><Relationship Id="rId278" Type="http://schemas.openxmlformats.org/officeDocument/2006/relationships/hyperlink" Target="https://finance.yahoo.com/quote/AMZN/options/?straddle=false&amp;strike=295&amp;type=all" TargetMode="External"/><Relationship Id="rId1904" Type="http://schemas.openxmlformats.org/officeDocument/2006/relationships/hyperlink" Target="https://finance.yahoo.com/quote/AMZN/options/?straddle=false&amp;strike=185&amp;type=all" TargetMode="External"/><Relationship Id="rId485" Type="http://schemas.openxmlformats.org/officeDocument/2006/relationships/hyperlink" Target="https://finance.yahoo.com/quote/AMZN260515C00315000/" TargetMode="External"/><Relationship Id="rId692" Type="http://schemas.openxmlformats.org/officeDocument/2006/relationships/hyperlink" Target="https://finance.yahoo.com/quote/AMZN/options/?straddle=false&amp;strike=330&amp;type=all" TargetMode="External"/><Relationship Id="rId2166" Type="http://schemas.openxmlformats.org/officeDocument/2006/relationships/hyperlink" Target="https://finance.yahoo.com/quote/AMZN/options/?straddle=false&amp;strike=270&amp;type=all" TargetMode="External"/><Relationship Id="rId2373" Type="http://schemas.openxmlformats.org/officeDocument/2006/relationships/hyperlink" Target="https://finance.yahoo.com/quote/AMZN260327C00300000/" TargetMode="External"/><Relationship Id="rId2580" Type="http://schemas.openxmlformats.org/officeDocument/2006/relationships/hyperlink" Target="https://finance.yahoo.com/quote/AMZN/options/?straddle=false&amp;strike=130&amp;type=all" TargetMode="External"/><Relationship Id="rId138" Type="http://schemas.openxmlformats.org/officeDocument/2006/relationships/hyperlink" Target="https://finance.yahoo.com/quote/AMZN/options/?straddle=false&amp;strike=210&amp;type=all" TargetMode="External"/><Relationship Id="rId345" Type="http://schemas.openxmlformats.org/officeDocument/2006/relationships/hyperlink" Target="https://finance.yahoo.com/quote/AMZN260515P00215000/" TargetMode="External"/><Relationship Id="rId552" Type="http://schemas.openxmlformats.org/officeDocument/2006/relationships/hyperlink" Target="https://finance.yahoo.com/quote/AMZN/options/?straddle=false&amp;strike=230&amp;type=all" TargetMode="External"/><Relationship Id="rId997" Type="http://schemas.openxmlformats.org/officeDocument/2006/relationships/hyperlink" Target="https://finance.yahoo.com/quote/AMZN260515C00360000/" TargetMode="External"/><Relationship Id="rId1182" Type="http://schemas.openxmlformats.org/officeDocument/2006/relationships/hyperlink" Target="https://finance.yahoo.com/quote/AMZN/options/?straddle=false&amp;strike=305&amp;type=all" TargetMode="External"/><Relationship Id="rId2026" Type="http://schemas.openxmlformats.org/officeDocument/2006/relationships/hyperlink" Target="https://finance.yahoo.com/quote/AMZN/options/?straddle=false&amp;strike=232.5&amp;type=all" TargetMode="External"/><Relationship Id="rId2233" Type="http://schemas.openxmlformats.org/officeDocument/2006/relationships/hyperlink" Target="https://finance.yahoo.com/quote/AMZN260327P00200000/" TargetMode="External"/><Relationship Id="rId2440" Type="http://schemas.openxmlformats.org/officeDocument/2006/relationships/hyperlink" Target="https://finance.yahoo.com/quote/AMZN/options/?straddle=false&amp;strike=212.5&amp;type=all" TargetMode="External"/><Relationship Id="rId205" Type="http://schemas.openxmlformats.org/officeDocument/2006/relationships/hyperlink" Target="https://finance.yahoo.com/quote/AMZN260515C00115000/" TargetMode="External"/><Relationship Id="rId412" Type="http://schemas.openxmlformats.org/officeDocument/2006/relationships/hyperlink" Target="https://finance.yahoo.com/quote/AMZN/options/?straddle=false&amp;strike=130&amp;type=all" TargetMode="External"/><Relationship Id="rId857" Type="http://schemas.openxmlformats.org/officeDocument/2006/relationships/hyperlink" Target="https://finance.yahoo.com/quote/AMZN260515P00245000/" TargetMode="External"/><Relationship Id="rId1042" Type="http://schemas.openxmlformats.org/officeDocument/2006/relationships/hyperlink" Target="https://finance.yahoo.com/quote/AMZN/options/?straddle=false&amp;strike=205&amp;type=all" TargetMode="External"/><Relationship Id="rId1487" Type="http://schemas.openxmlformats.org/officeDocument/2006/relationships/hyperlink" Target="https://finance.yahoo.com/quote/AMZN260227C00285000/" TargetMode="External"/><Relationship Id="rId1694" Type="http://schemas.openxmlformats.org/officeDocument/2006/relationships/hyperlink" Target="https://finance.yahoo.com/quote/AMZN/options/?straddle=false&amp;strike=275&amp;type=all" TargetMode="External"/><Relationship Id="rId2300" Type="http://schemas.openxmlformats.org/officeDocument/2006/relationships/hyperlink" Target="https://finance.yahoo.com/quote/AMZN/options/?straddle=false&amp;strike=177.5&amp;type=all" TargetMode="External"/><Relationship Id="rId2538" Type="http://schemas.openxmlformats.org/officeDocument/2006/relationships/hyperlink" Target="https://finance.yahoo.com/quote/AMZN/options/?straddle=false&amp;strike=225&amp;type=all" TargetMode="External"/><Relationship Id="rId717" Type="http://schemas.openxmlformats.org/officeDocument/2006/relationships/hyperlink" Target="https://finance.yahoo.com/quote/AMZN260515P00145000/" TargetMode="External"/><Relationship Id="rId924" Type="http://schemas.openxmlformats.org/officeDocument/2006/relationships/hyperlink" Target="https://finance.yahoo.com/quote/AMZN/options/?straddle=false&amp;strike=160&amp;type=all" TargetMode="External"/><Relationship Id="rId1347" Type="http://schemas.openxmlformats.org/officeDocument/2006/relationships/hyperlink" Target="https://finance.yahoo.com/quote/AMZN260515P00220000/" TargetMode="External"/><Relationship Id="rId1554" Type="http://schemas.openxmlformats.org/officeDocument/2006/relationships/hyperlink" Target="https://finance.yahoo.com/quote/AMZN/options/?straddle=false&amp;strike=197.5&amp;type=all" TargetMode="External"/><Relationship Id="rId1761" Type="http://schemas.openxmlformats.org/officeDocument/2006/relationships/hyperlink" Target="https://finance.yahoo.com/quote/AMZN260306P00195000/" TargetMode="External"/><Relationship Id="rId1999" Type="http://schemas.openxmlformats.org/officeDocument/2006/relationships/hyperlink" Target="https://finance.yahoo.com/quote/AMZN260320P00200000/" TargetMode="External"/><Relationship Id="rId2605" Type="http://schemas.openxmlformats.org/officeDocument/2006/relationships/hyperlink" Target="https://finance.yahoo.com/quote/AMZN260410P00182500/" TargetMode="External"/><Relationship Id="rId53" Type="http://schemas.openxmlformats.org/officeDocument/2006/relationships/hyperlink" Target="https://finance.yahoo.com/quote/AMZN260123C00230000/" TargetMode="External"/><Relationship Id="rId1207" Type="http://schemas.openxmlformats.org/officeDocument/2006/relationships/hyperlink" Target="https://finance.yahoo.com/quote/AMZN260515C00120000/" TargetMode="External"/><Relationship Id="rId1414" Type="http://schemas.openxmlformats.org/officeDocument/2006/relationships/hyperlink" Target="https://finance.yahoo.com/quote/AMZN/options/?straddle=false&amp;strike=160&amp;type=all" TargetMode="External"/><Relationship Id="rId1621" Type="http://schemas.openxmlformats.org/officeDocument/2006/relationships/hyperlink" Target="https://finance.yahoo.com/quote/AMZN260306C00160000/" TargetMode="External"/><Relationship Id="rId1859" Type="http://schemas.openxmlformats.org/officeDocument/2006/relationships/hyperlink" Target="https://finance.yahoo.com/quote/AMZN260318C00235000/" TargetMode="External"/><Relationship Id="rId1719" Type="http://schemas.openxmlformats.org/officeDocument/2006/relationships/hyperlink" Target="https://finance.yahoo.com/quote/AMZN260306C00340000/" TargetMode="External"/><Relationship Id="rId1926" Type="http://schemas.openxmlformats.org/officeDocument/2006/relationships/hyperlink" Target="https://finance.yahoo.com/quote/AMZN/options/?straddle=false&amp;strike=212.5&amp;type=all" TargetMode="External"/><Relationship Id="rId2090" Type="http://schemas.openxmlformats.org/officeDocument/2006/relationships/hyperlink" Target="https://finance.yahoo.com/quote/AMZN/options/?straddle=false&amp;strike=145&amp;type=all" TargetMode="External"/><Relationship Id="rId2188" Type="http://schemas.openxmlformats.org/officeDocument/2006/relationships/hyperlink" Target="https://finance.yahoo.com/quote/AMZN/options/?straddle=false&amp;strike=325&amp;type=all" TargetMode="External"/><Relationship Id="rId2395" Type="http://schemas.openxmlformats.org/officeDocument/2006/relationships/hyperlink" Target="https://finance.yahoo.com/quote/AMZN260327P00140000/" TargetMode="External"/><Relationship Id="rId367" Type="http://schemas.openxmlformats.org/officeDocument/2006/relationships/hyperlink" Target="https://finance.yahoo.com/quote/AMZN260515P00270000/" TargetMode="External"/><Relationship Id="rId574" Type="http://schemas.openxmlformats.org/officeDocument/2006/relationships/hyperlink" Target="https://finance.yahoo.com/quote/AMZN/options/?straddle=false&amp;strike=285&amp;type=all" TargetMode="External"/><Relationship Id="rId2048" Type="http://schemas.openxmlformats.org/officeDocument/2006/relationships/hyperlink" Target="https://finance.yahoo.com/quote/AMZN/options/?straddle=false&amp;strike=285&amp;type=all" TargetMode="External"/><Relationship Id="rId2255" Type="http://schemas.openxmlformats.org/officeDocument/2006/relationships/hyperlink" Target="https://finance.yahoo.com/quote/AMZN260327P00227500/" TargetMode="External"/><Relationship Id="rId227" Type="http://schemas.openxmlformats.org/officeDocument/2006/relationships/hyperlink" Target="https://finance.yahoo.com/quote/AMZN260515C00170000/" TargetMode="External"/><Relationship Id="rId781" Type="http://schemas.openxmlformats.org/officeDocument/2006/relationships/hyperlink" Target="https://finance.yahoo.com/quote/AMZN260515P00305000/" TargetMode="External"/><Relationship Id="rId879" Type="http://schemas.openxmlformats.org/officeDocument/2006/relationships/hyperlink" Target="https://finance.yahoo.com/quote/AMZN260515P00300000/" TargetMode="External"/><Relationship Id="rId2462" Type="http://schemas.openxmlformats.org/officeDocument/2006/relationships/hyperlink" Target="https://finance.yahoo.com/quote/AMZN/options/?straddle=false&amp;strike=240&amp;type=all" TargetMode="External"/><Relationship Id="rId434" Type="http://schemas.openxmlformats.org/officeDocument/2006/relationships/hyperlink" Target="https://finance.yahoo.com/quote/AMZN/options/?straddle=false&amp;strike=185&amp;type=all" TargetMode="External"/><Relationship Id="rId641" Type="http://schemas.openxmlformats.org/officeDocument/2006/relationships/hyperlink" Target="https://finance.yahoo.com/quote/AMZN260515C00205000/" TargetMode="External"/><Relationship Id="rId739" Type="http://schemas.openxmlformats.org/officeDocument/2006/relationships/hyperlink" Target="https://finance.yahoo.com/quote/AMZN260515P00200000/" TargetMode="External"/><Relationship Id="rId1064" Type="http://schemas.openxmlformats.org/officeDocument/2006/relationships/hyperlink" Target="https://finance.yahoo.com/quote/AMZN/options/?straddle=false&amp;strike=260&amp;type=all" TargetMode="External"/><Relationship Id="rId1271" Type="http://schemas.openxmlformats.org/officeDocument/2006/relationships/hyperlink" Target="https://finance.yahoo.com/quote/AMZN260515C00280000/" TargetMode="External"/><Relationship Id="rId1369" Type="http://schemas.openxmlformats.org/officeDocument/2006/relationships/hyperlink" Target="https://finance.yahoo.com/quote/AMZN260515P00275000/" TargetMode="External"/><Relationship Id="rId1576" Type="http://schemas.openxmlformats.org/officeDocument/2006/relationships/hyperlink" Target="https://finance.yahoo.com/quote/AMZN/options/?straddle=false&amp;strike=225&amp;type=all" TargetMode="External"/><Relationship Id="rId2115" Type="http://schemas.openxmlformats.org/officeDocument/2006/relationships/hyperlink" Target="https://finance.yahoo.com/quote/AMZN260327C00192500/" TargetMode="External"/><Relationship Id="rId2322" Type="http://schemas.openxmlformats.org/officeDocument/2006/relationships/hyperlink" Target="https://finance.yahoo.com/quote/AMZN/options/?straddle=false&amp;strike=205&amp;type=all" TargetMode="External"/><Relationship Id="rId501" Type="http://schemas.openxmlformats.org/officeDocument/2006/relationships/hyperlink" Target="https://finance.yahoo.com/quote/AMZN260515P00105000/" TargetMode="External"/><Relationship Id="rId946" Type="http://schemas.openxmlformats.org/officeDocument/2006/relationships/hyperlink" Target="https://finance.yahoo.com/quote/AMZN/options/?straddle=false&amp;strike=215&amp;type=all" TargetMode="External"/><Relationship Id="rId1131" Type="http://schemas.openxmlformats.org/officeDocument/2006/relationships/hyperlink" Target="https://finance.yahoo.com/quote/AMZN260515P00180000/" TargetMode="External"/><Relationship Id="rId1229" Type="http://schemas.openxmlformats.org/officeDocument/2006/relationships/hyperlink" Target="https://finance.yahoo.com/quote/AMZN260515C00175000/" TargetMode="External"/><Relationship Id="rId1783" Type="http://schemas.openxmlformats.org/officeDocument/2006/relationships/hyperlink" Target="https://finance.yahoo.com/quote/AMZN260306P00222500/" TargetMode="External"/><Relationship Id="rId1990" Type="http://schemas.openxmlformats.org/officeDocument/2006/relationships/hyperlink" Target="https://finance.yahoo.com/quote/AMZN/options/?straddle=false&amp;strike=187.5&amp;type=all" TargetMode="External"/><Relationship Id="rId2627" Type="http://schemas.openxmlformats.org/officeDocument/2006/relationships/hyperlink" Target="https://finance.yahoo.com/quote/AMZN260410P00210000/" TargetMode="External"/><Relationship Id="rId75" Type="http://schemas.openxmlformats.org/officeDocument/2006/relationships/hyperlink" Target="https://finance.yahoo.com/quote/AMZN260123C00257500/" TargetMode="External"/><Relationship Id="rId806" Type="http://schemas.openxmlformats.org/officeDocument/2006/relationships/hyperlink" Target="https://finance.yahoo.com/quote/AMZN/options/?straddle=false&amp;strike=115&amp;type=all" TargetMode="External"/><Relationship Id="rId1436" Type="http://schemas.openxmlformats.org/officeDocument/2006/relationships/hyperlink" Target="https://finance.yahoo.com/quote/AMZN/options/?straddle=false&amp;strike=195&amp;type=all" TargetMode="External"/><Relationship Id="rId1643" Type="http://schemas.openxmlformats.org/officeDocument/2006/relationships/hyperlink" Target="https://finance.yahoo.com/quote/AMZN260306C00192500/" TargetMode="External"/><Relationship Id="rId1850" Type="http://schemas.openxmlformats.org/officeDocument/2006/relationships/hyperlink" Target="https://finance.yahoo.com/quote/AMZN/options/?straddle=false&amp;strike=222.5&amp;type=all" TargetMode="External"/><Relationship Id="rId1503" Type="http://schemas.openxmlformats.org/officeDocument/2006/relationships/hyperlink" Target="https://finance.yahoo.com/quote/AMZN260227C00325000/" TargetMode="External"/><Relationship Id="rId1710" Type="http://schemas.openxmlformats.org/officeDocument/2006/relationships/hyperlink" Target="https://finance.yahoo.com/quote/AMZN/options/?straddle=false&amp;strike=315&amp;type=all" TargetMode="External"/><Relationship Id="rId1948" Type="http://schemas.openxmlformats.org/officeDocument/2006/relationships/hyperlink" Target="https://finance.yahoo.com/quote/AMZN/options/?straddle=false&amp;strike=85&amp;type=all" TargetMode="External"/><Relationship Id="rId291" Type="http://schemas.openxmlformats.org/officeDocument/2006/relationships/hyperlink" Target="https://finance.yahoo.com/quote/AMZN260515C00330000/" TargetMode="External"/><Relationship Id="rId1808" Type="http://schemas.openxmlformats.org/officeDocument/2006/relationships/hyperlink" Target="https://finance.yahoo.com/quote/AMZN/options/?straddle=false&amp;strike=275&amp;type=all" TargetMode="External"/><Relationship Id="rId151" Type="http://schemas.openxmlformats.org/officeDocument/2006/relationships/hyperlink" Target="https://finance.yahoo.com/quote/AMZN260123P00227500/" TargetMode="External"/><Relationship Id="rId389" Type="http://schemas.openxmlformats.org/officeDocument/2006/relationships/hyperlink" Target="https://finance.yahoo.com/quote/AMZN260515P00325000/" TargetMode="External"/><Relationship Id="rId596" Type="http://schemas.openxmlformats.org/officeDocument/2006/relationships/hyperlink" Target="https://finance.yahoo.com/quote/AMZN/options/?straddle=false&amp;strike=350&amp;type=all" TargetMode="External"/><Relationship Id="rId2277" Type="http://schemas.openxmlformats.org/officeDocument/2006/relationships/hyperlink" Target="https://finance.yahoo.com/quote/AMZN260327C00125000/" TargetMode="External"/><Relationship Id="rId2484" Type="http://schemas.openxmlformats.org/officeDocument/2006/relationships/hyperlink" Target="https://finance.yahoo.com/quote/AMZN/options/?straddle=false&amp;strike=145&amp;type=all" TargetMode="External"/><Relationship Id="rId249" Type="http://schemas.openxmlformats.org/officeDocument/2006/relationships/hyperlink" Target="https://finance.yahoo.com/quote/AMZN260515C00225000/" TargetMode="External"/><Relationship Id="rId456" Type="http://schemas.openxmlformats.org/officeDocument/2006/relationships/hyperlink" Target="https://finance.yahoo.com/quote/AMZN/options/?straddle=false&amp;strike=240&amp;type=all" TargetMode="External"/><Relationship Id="rId663" Type="http://schemas.openxmlformats.org/officeDocument/2006/relationships/hyperlink" Target="https://finance.yahoo.com/quote/AMZN260515C00260000/" TargetMode="External"/><Relationship Id="rId870" Type="http://schemas.openxmlformats.org/officeDocument/2006/relationships/hyperlink" Target="https://finance.yahoo.com/quote/AMZN/options/?straddle=false&amp;strike=275&amp;type=all" TargetMode="External"/><Relationship Id="rId1086" Type="http://schemas.openxmlformats.org/officeDocument/2006/relationships/hyperlink" Target="https://finance.yahoo.com/quote/AMZN/options/?straddle=false&amp;strike=315&amp;type=all" TargetMode="External"/><Relationship Id="rId1293" Type="http://schemas.openxmlformats.org/officeDocument/2006/relationships/hyperlink" Target="https://finance.yahoo.com/quote/AMZN260515C00340000/" TargetMode="External"/><Relationship Id="rId2137" Type="http://schemas.openxmlformats.org/officeDocument/2006/relationships/hyperlink" Target="https://finance.yahoo.com/quote/AMZN260327C00220000/" TargetMode="External"/><Relationship Id="rId2344" Type="http://schemas.openxmlformats.org/officeDocument/2006/relationships/hyperlink" Target="https://finance.yahoo.com/quote/AMZN/options/?straddle=false&amp;strike=232.5&amp;type=all" TargetMode="External"/><Relationship Id="rId2551" Type="http://schemas.openxmlformats.org/officeDocument/2006/relationships/hyperlink" Target="https://finance.yahoo.com/quote/AMZN260410C00250000/" TargetMode="External"/><Relationship Id="rId109" Type="http://schemas.openxmlformats.org/officeDocument/2006/relationships/hyperlink" Target="https://finance.yahoo.com/quote/AMZN260123P00145000/" TargetMode="External"/><Relationship Id="rId316" Type="http://schemas.openxmlformats.org/officeDocument/2006/relationships/hyperlink" Target="https://finance.yahoo.com/quote/AMZN/options/?straddle=false&amp;strike=140&amp;type=all" TargetMode="External"/><Relationship Id="rId523" Type="http://schemas.openxmlformats.org/officeDocument/2006/relationships/hyperlink" Target="https://finance.yahoo.com/quote/AMZN260515P00160000/" TargetMode="External"/><Relationship Id="rId968" Type="http://schemas.openxmlformats.org/officeDocument/2006/relationships/hyperlink" Target="https://finance.yahoo.com/quote/AMZN/options/?straddle=false&amp;strike=270&amp;type=all" TargetMode="External"/><Relationship Id="rId1153" Type="http://schemas.openxmlformats.org/officeDocument/2006/relationships/hyperlink" Target="https://finance.yahoo.com/quote/AMZN260515P00235000/" TargetMode="External"/><Relationship Id="rId1598" Type="http://schemas.openxmlformats.org/officeDocument/2006/relationships/hyperlink" Target="https://finance.yahoo.com/quote/AMZN/options/?straddle=false&amp;strike=275&amp;type=all" TargetMode="External"/><Relationship Id="rId2204" Type="http://schemas.openxmlformats.org/officeDocument/2006/relationships/hyperlink" Target="https://finance.yahoo.com/quote/AMZN/options/?straddle=false&amp;strike=150&amp;type=all" TargetMode="External"/><Relationship Id="rId2649" Type="http://schemas.openxmlformats.org/officeDocument/2006/relationships/hyperlink" Target="https://finance.yahoo.com/quote/AMZN260410P00240000/" TargetMode="External"/><Relationship Id="rId97" Type="http://schemas.openxmlformats.org/officeDocument/2006/relationships/hyperlink" Target="https://finance.yahoo.com/quote/AMZN260123C00300000/" TargetMode="External"/><Relationship Id="rId730" Type="http://schemas.openxmlformats.org/officeDocument/2006/relationships/hyperlink" Target="https://finance.yahoo.com/quote/AMZN/options/?straddle=false&amp;strike=175&amp;type=all" TargetMode="External"/><Relationship Id="rId828" Type="http://schemas.openxmlformats.org/officeDocument/2006/relationships/hyperlink" Target="https://finance.yahoo.com/quote/AMZN/options/?straddle=false&amp;strike=170&amp;type=all" TargetMode="External"/><Relationship Id="rId1013" Type="http://schemas.openxmlformats.org/officeDocument/2006/relationships/hyperlink" Target="https://finance.yahoo.com/quote/AMZN260515C00135000/" TargetMode="External"/><Relationship Id="rId1360" Type="http://schemas.openxmlformats.org/officeDocument/2006/relationships/hyperlink" Target="https://finance.yahoo.com/quote/AMZN/options/?straddle=false&amp;strike=250&amp;type=all" TargetMode="External"/><Relationship Id="rId1458" Type="http://schemas.openxmlformats.org/officeDocument/2006/relationships/hyperlink" Target="https://finance.yahoo.com/quote/AMZN/options/?straddle=false&amp;strike=222.5&amp;type=all" TargetMode="External"/><Relationship Id="rId1665" Type="http://schemas.openxmlformats.org/officeDocument/2006/relationships/hyperlink" Target="https://finance.yahoo.com/quote/AMZN260306C00220000/" TargetMode="External"/><Relationship Id="rId1872" Type="http://schemas.openxmlformats.org/officeDocument/2006/relationships/hyperlink" Target="https://finance.yahoo.com/quote/AMZN/options/?straddle=false&amp;strike=270&amp;type=all" TargetMode="External"/><Relationship Id="rId2411" Type="http://schemas.openxmlformats.org/officeDocument/2006/relationships/hyperlink" Target="https://finance.yahoo.com/quote/AMZN260327P00177500/" TargetMode="External"/><Relationship Id="rId2509" Type="http://schemas.openxmlformats.org/officeDocument/2006/relationships/hyperlink" Target="https://finance.yahoo.com/quote/AMZN260410C00190000/" TargetMode="External"/><Relationship Id="rId1220" Type="http://schemas.openxmlformats.org/officeDocument/2006/relationships/hyperlink" Target="https://finance.yahoo.com/quote/AMZN/options/?straddle=false&amp;strike=150&amp;type=all" TargetMode="External"/><Relationship Id="rId1318" Type="http://schemas.openxmlformats.org/officeDocument/2006/relationships/hyperlink" Target="https://finance.yahoo.com/quote/AMZN/options/?straddle=false&amp;strike=145&amp;type=all" TargetMode="External"/><Relationship Id="rId1525" Type="http://schemas.openxmlformats.org/officeDocument/2006/relationships/hyperlink" Target="https://finance.yahoo.com/quote/AMZN260227P00155000/" TargetMode="External"/><Relationship Id="rId1732" Type="http://schemas.openxmlformats.org/officeDocument/2006/relationships/hyperlink" Target="https://finance.yahoo.com/quote/AMZN/options/?straddle=false&amp;strike=145&amp;type=all" TargetMode="External"/><Relationship Id="rId24" Type="http://schemas.openxmlformats.org/officeDocument/2006/relationships/hyperlink" Target="https://finance.yahoo.com/quote/AMZN/options/?straddle=false&amp;strike=180&amp;type=all" TargetMode="External"/><Relationship Id="rId2299" Type="http://schemas.openxmlformats.org/officeDocument/2006/relationships/hyperlink" Target="https://finance.yahoo.com/quote/AMZN260327C00177500/" TargetMode="External"/><Relationship Id="rId173" Type="http://schemas.openxmlformats.org/officeDocument/2006/relationships/hyperlink" Target="https://finance.yahoo.com/quote/AMZN260123P00255000/" TargetMode="External"/><Relationship Id="rId380" Type="http://schemas.openxmlformats.org/officeDocument/2006/relationships/hyperlink" Target="https://finance.yahoo.com/quote/AMZN/options/?straddle=false&amp;strike=300&amp;type=all" TargetMode="External"/><Relationship Id="rId2061" Type="http://schemas.openxmlformats.org/officeDocument/2006/relationships/hyperlink" Target="https://finance.yahoo.com/quote/AMZN260320P00320000/" TargetMode="External"/><Relationship Id="rId240" Type="http://schemas.openxmlformats.org/officeDocument/2006/relationships/hyperlink" Target="https://finance.yahoo.com/quote/AMZN/options/?straddle=false&amp;strike=200&amp;type=all" TargetMode="External"/><Relationship Id="rId478" Type="http://schemas.openxmlformats.org/officeDocument/2006/relationships/hyperlink" Target="https://finance.yahoo.com/quote/AMZN/options/?straddle=false&amp;strike=295&amp;type=all" TargetMode="External"/><Relationship Id="rId685" Type="http://schemas.openxmlformats.org/officeDocument/2006/relationships/hyperlink" Target="https://finance.yahoo.com/quote/AMZN260515C00315000/" TargetMode="External"/><Relationship Id="rId892" Type="http://schemas.openxmlformats.org/officeDocument/2006/relationships/hyperlink" Target="https://finance.yahoo.com/quote/AMZN/options/?straddle=false&amp;strike=330&amp;type=all" TargetMode="External"/><Relationship Id="rId2159" Type="http://schemas.openxmlformats.org/officeDocument/2006/relationships/hyperlink" Target="https://finance.yahoo.com/quote/AMZN260327C00255000/" TargetMode="External"/><Relationship Id="rId2366" Type="http://schemas.openxmlformats.org/officeDocument/2006/relationships/hyperlink" Target="https://finance.yahoo.com/quote/AMZN/options/?straddle=false&amp;strike=280&amp;type=all" TargetMode="External"/><Relationship Id="rId2573" Type="http://schemas.openxmlformats.org/officeDocument/2006/relationships/hyperlink" Target="https://finance.yahoo.com/quote/AMZN260410C00305000/" TargetMode="External"/><Relationship Id="rId100" Type="http://schemas.openxmlformats.org/officeDocument/2006/relationships/hyperlink" Target="https://finance.yahoo.com/quote/AMZN/options/?straddle=false&amp;strike=305&amp;type=all" TargetMode="External"/><Relationship Id="rId338" Type="http://schemas.openxmlformats.org/officeDocument/2006/relationships/hyperlink" Target="https://finance.yahoo.com/quote/AMZN/options/?straddle=false&amp;strike=195&amp;type=all" TargetMode="External"/><Relationship Id="rId545" Type="http://schemas.openxmlformats.org/officeDocument/2006/relationships/hyperlink" Target="https://finance.yahoo.com/quote/AMZN260515P00215000/" TargetMode="External"/><Relationship Id="rId752" Type="http://schemas.openxmlformats.org/officeDocument/2006/relationships/hyperlink" Target="https://finance.yahoo.com/quote/AMZN/options/?straddle=false&amp;strike=230&amp;type=all" TargetMode="External"/><Relationship Id="rId1175" Type="http://schemas.openxmlformats.org/officeDocument/2006/relationships/hyperlink" Target="https://finance.yahoo.com/quote/AMZN260515P00290000/" TargetMode="External"/><Relationship Id="rId1382" Type="http://schemas.openxmlformats.org/officeDocument/2006/relationships/hyperlink" Target="https://finance.yahoo.com/quote/AMZN/options/?straddle=false&amp;strike=305&amp;type=all" TargetMode="External"/><Relationship Id="rId2019" Type="http://schemas.openxmlformats.org/officeDocument/2006/relationships/hyperlink" Target="https://finance.yahoo.com/quote/AMZN260320P00225000/" TargetMode="External"/><Relationship Id="rId2226" Type="http://schemas.openxmlformats.org/officeDocument/2006/relationships/hyperlink" Target="https://finance.yahoo.com/quote/AMZN/options/?straddle=false&amp;strike=190&amp;type=all" TargetMode="External"/><Relationship Id="rId2433" Type="http://schemas.openxmlformats.org/officeDocument/2006/relationships/hyperlink" Target="https://finance.yahoo.com/quote/AMZN260327P00205000/" TargetMode="External"/><Relationship Id="rId2640" Type="http://schemas.openxmlformats.org/officeDocument/2006/relationships/hyperlink" Target="https://finance.yahoo.com/quote/AMZN/options/?straddle=false&amp;strike=225&amp;type=all" TargetMode="External"/><Relationship Id="rId405" Type="http://schemas.openxmlformats.org/officeDocument/2006/relationships/hyperlink" Target="https://finance.yahoo.com/quote/AMZN260515C00115000/" TargetMode="External"/><Relationship Id="rId612" Type="http://schemas.openxmlformats.org/officeDocument/2006/relationships/hyperlink" Target="https://finance.yahoo.com/quote/AMZN/options/?straddle=false&amp;strike=130&amp;type=all" TargetMode="External"/><Relationship Id="rId1035" Type="http://schemas.openxmlformats.org/officeDocument/2006/relationships/hyperlink" Target="https://finance.yahoo.com/quote/AMZN260515C00190000/" TargetMode="External"/><Relationship Id="rId1242" Type="http://schemas.openxmlformats.org/officeDocument/2006/relationships/hyperlink" Target="https://finance.yahoo.com/quote/AMZN/options/?straddle=false&amp;strike=205&amp;type=all" TargetMode="External"/><Relationship Id="rId1687" Type="http://schemas.openxmlformats.org/officeDocument/2006/relationships/hyperlink" Target="https://finance.yahoo.com/quote/AMZN260306C00260000/" TargetMode="External"/><Relationship Id="rId1894" Type="http://schemas.openxmlformats.org/officeDocument/2006/relationships/hyperlink" Target="https://finance.yahoo.com/quote/AMZN/options/?straddle=false&amp;strike=172.5&amp;type=all" TargetMode="External"/><Relationship Id="rId2500" Type="http://schemas.openxmlformats.org/officeDocument/2006/relationships/hyperlink" Target="https://finance.yahoo.com/quote/AMZN/options/?straddle=false&amp;strike=177.5&amp;type=all" TargetMode="External"/><Relationship Id="rId917" Type="http://schemas.openxmlformats.org/officeDocument/2006/relationships/hyperlink" Target="https://finance.yahoo.com/quote/AMZN260515C00145000/" TargetMode="External"/><Relationship Id="rId1102" Type="http://schemas.openxmlformats.org/officeDocument/2006/relationships/hyperlink" Target="https://finance.yahoo.com/quote/AMZN/options/?straddle=false&amp;strike=105&amp;type=all" TargetMode="External"/><Relationship Id="rId1547" Type="http://schemas.openxmlformats.org/officeDocument/2006/relationships/hyperlink" Target="https://finance.yahoo.com/quote/AMZN260227P00190000/" TargetMode="External"/><Relationship Id="rId1754" Type="http://schemas.openxmlformats.org/officeDocument/2006/relationships/hyperlink" Target="https://finance.yahoo.com/quote/AMZN/options/?straddle=false&amp;strike=185&amp;type=all" TargetMode="External"/><Relationship Id="rId1961" Type="http://schemas.openxmlformats.org/officeDocument/2006/relationships/hyperlink" Target="https://finance.yahoo.com/quote/AMZN260320P00120000/" TargetMode="External"/><Relationship Id="rId46" Type="http://schemas.openxmlformats.org/officeDocument/2006/relationships/hyperlink" Target="https://finance.yahoo.com/quote/AMZN/options/?straddle=false&amp;strike=220&amp;type=all" TargetMode="External"/><Relationship Id="rId1407" Type="http://schemas.openxmlformats.org/officeDocument/2006/relationships/hyperlink" Target="https://finance.yahoo.com/quote/AMZN260227C00145000/" TargetMode="External"/><Relationship Id="rId1614" Type="http://schemas.openxmlformats.org/officeDocument/2006/relationships/hyperlink" Target="https://finance.yahoo.com/quote/AMZN/options/?straddle=false&amp;strike=140&amp;type=all" TargetMode="External"/><Relationship Id="rId1821" Type="http://schemas.openxmlformats.org/officeDocument/2006/relationships/hyperlink" Target="https://finance.yahoo.com/quote/AMZN260318C00180000/" TargetMode="External"/><Relationship Id="rId195" Type="http://schemas.openxmlformats.org/officeDocument/2006/relationships/hyperlink" Target="https://finance.yahoo.com/quote/AMZN260515P00350000/" TargetMode="External"/><Relationship Id="rId1919" Type="http://schemas.openxmlformats.org/officeDocument/2006/relationships/hyperlink" Target="https://finance.yahoo.com/quote/AMZN260318P00205000/" TargetMode="External"/><Relationship Id="rId2083" Type="http://schemas.openxmlformats.org/officeDocument/2006/relationships/hyperlink" Target="https://finance.yahoo.com/quote/AMZN260327C00130000/" TargetMode="External"/><Relationship Id="rId2290" Type="http://schemas.openxmlformats.org/officeDocument/2006/relationships/hyperlink" Target="https://finance.yahoo.com/quote/AMZN/options/?straddle=false&amp;strike=155&amp;type=all" TargetMode="External"/><Relationship Id="rId2388" Type="http://schemas.openxmlformats.org/officeDocument/2006/relationships/hyperlink" Target="https://finance.yahoo.com/quote/AMZN/options/?straddle=false&amp;strike=335&amp;type=all" TargetMode="External"/><Relationship Id="rId2595" Type="http://schemas.openxmlformats.org/officeDocument/2006/relationships/hyperlink" Target="https://finance.yahoo.com/quote/AMZN260410P00170000/" TargetMode="External"/><Relationship Id="rId262" Type="http://schemas.openxmlformats.org/officeDocument/2006/relationships/hyperlink" Target="https://finance.yahoo.com/quote/AMZN/options/?straddle=false&amp;strike=255&amp;type=all" TargetMode="External"/><Relationship Id="rId567" Type="http://schemas.openxmlformats.org/officeDocument/2006/relationships/hyperlink" Target="https://finance.yahoo.com/quote/AMZN260515P00270000/" TargetMode="External"/><Relationship Id="rId1197" Type="http://schemas.openxmlformats.org/officeDocument/2006/relationships/hyperlink" Target="https://finance.yahoo.com/quote/AMZN260515P00360000/" TargetMode="External"/><Relationship Id="rId2150" Type="http://schemas.openxmlformats.org/officeDocument/2006/relationships/hyperlink" Target="https://finance.yahoo.com/quote/AMZN/options/?straddle=false&amp;strike=235&amp;type=all" TargetMode="External"/><Relationship Id="rId2248" Type="http://schemas.openxmlformats.org/officeDocument/2006/relationships/hyperlink" Target="https://finance.yahoo.com/quote/AMZN/options/?straddle=false&amp;strike=217.5&amp;type=all" TargetMode="External"/><Relationship Id="rId122" Type="http://schemas.openxmlformats.org/officeDocument/2006/relationships/hyperlink" Target="https://finance.yahoo.com/quote/AMZN/options/?straddle=false&amp;strike=175&amp;type=all" TargetMode="External"/><Relationship Id="rId774" Type="http://schemas.openxmlformats.org/officeDocument/2006/relationships/hyperlink" Target="https://finance.yahoo.com/quote/AMZN/options/?straddle=false&amp;strike=285&amp;type=all" TargetMode="External"/><Relationship Id="rId981" Type="http://schemas.openxmlformats.org/officeDocument/2006/relationships/hyperlink" Target="https://finance.yahoo.com/quote/AMZN260515C00305000/" TargetMode="External"/><Relationship Id="rId1057" Type="http://schemas.openxmlformats.org/officeDocument/2006/relationships/hyperlink" Target="https://finance.yahoo.com/quote/AMZN260515C00245000/" TargetMode="External"/><Relationship Id="rId2010" Type="http://schemas.openxmlformats.org/officeDocument/2006/relationships/hyperlink" Target="https://finance.yahoo.com/quote/AMZN/options/?straddle=false&amp;strike=212.5&amp;type=all" TargetMode="External"/><Relationship Id="rId2455" Type="http://schemas.openxmlformats.org/officeDocument/2006/relationships/hyperlink" Target="https://finance.yahoo.com/quote/AMZN260327P00232500/" TargetMode="External"/><Relationship Id="rId427" Type="http://schemas.openxmlformats.org/officeDocument/2006/relationships/hyperlink" Target="https://finance.yahoo.com/quote/AMZN260515C00170000/" TargetMode="External"/><Relationship Id="rId634" Type="http://schemas.openxmlformats.org/officeDocument/2006/relationships/hyperlink" Target="https://finance.yahoo.com/quote/AMZN/options/?straddle=false&amp;strike=185&amp;type=all" TargetMode="External"/><Relationship Id="rId841" Type="http://schemas.openxmlformats.org/officeDocument/2006/relationships/hyperlink" Target="https://finance.yahoo.com/quote/AMZN260515P00205000/" TargetMode="External"/><Relationship Id="rId1264" Type="http://schemas.openxmlformats.org/officeDocument/2006/relationships/hyperlink" Target="https://finance.yahoo.com/quote/AMZN/options/?straddle=false&amp;strike=260&amp;type=all" TargetMode="External"/><Relationship Id="rId1471" Type="http://schemas.openxmlformats.org/officeDocument/2006/relationships/hyperlink" Target="https://finance.yahoo.com/quote/AMZN260227C00245000/" TargetMode="External"/><Relationship Id="rId1569" Type="http://schemas.openxmlformats.org/officeDocument/2006/relationships/hyperlink" Target="https://finance.yahoo.com/quote/AMZN260227P00217500/" TargetMode="External"/><Relationship Id="rId2108" Type="http://schemas.openxmlformats.org/officeDocument/2006/relationships/hyperlink" Target="https://finance.yahoo.com/quote/AMZN/options/?straddle=false&amp;strike=182.5&amp;type=all" TargetMode="External"/><Relationship Id="rId2315" Type="http://schemas.openxmlformats.org/officeDocument/2006/relationships/hyperlink" Target="https://finance.yahoo.com/quote/AMZN260327C00197500/" TargetMode="External"/><Relationship Id="rId2522" Type="http://schemas.openxmlformats.org/officeDocument/2006/relationships/hyperlink" Target="https://finance.yahoo.com/quote/AMZN/options/?straddle=false&amp;strike=205&amp;type=all" TargetMode="External"/><Relationship Id="rId701" Type="http://schemas.openxmlformats.org/officeDocument/2006/relationships/hyperlink" Target="https://finance.yahoo.com/quote/AMZN260515P00105000/" TargetMode="External"/><Relationship Id="rId939" Type="http://schemas.openxmlformats.org/officeDocument/2006/relationships/hyperlink" Target="https://finance.yahoo.com/quote/AMZN260515C00200000/" TargetMode="External"/><Relationship Id="rId1124" Type="http://schemas.openxmlformats.org/officeDocument/2006/relationships/hyperlink" Target="https://finance.yahoo.com/quote/AMZN/options/?straddle=false&amp;strike=160&amp;type=all" TargetMode="External"/><Relationship Id="rId1331" Type="http://schemas.openxmlformats.org/officeDocument/2006/relationships/hyperlink" Target="https://finance.yahoo.com/quote/AMZN260515P00180000/" TargetMode="External"/><Relationship Id="rId1776" Type="http://schemas.openxmlformats.org/officeDocument/2006/relationships/hyperlink" Target="https://finance.yahoo.com/quote/AMZN/options/?straddle=false&amp;strike=212.5&amp;type=all" TargetMode="External"/><Relationship Id="rId1983" Type="http://schemas.openxmlformats.org/officeDocument/2006/relationships/hyperlink" Target="https://finance.yahoo.com/quote/AMZN260320P00175000/" TargetMode="External"/><Relationship Id="rId68" Type="http://schemas.openxmlformats.org/officeDocument/2006/relationships/hyperlink" Target="https://finance.yahoo.com/quote/AMZN/options/?straddle=false&amp;strike=247.5&amp;type=all" TargetMode="External"/><Relationship Id="rId1429" Type="http://schemas.openxmlformats.org/officeDocument/2006/relationships/hyperlink" Target="https://finance.yahoo.com/quote/AMZN260227C00187500/" TargetMode="External"/><Relationship Id="rId1636" Type="http://schemas.openxmlformats.org/officeDocument/2006/relationships/hyperlink" Target="https://finance.yahoo.com/quote/AMZN/options/?straddle=false&amp;strike=182.5&amp;type=all" TargetMode="External"/><Relationship Id="rId1843" Type="http://schemas.openxmlformats.org/officeDocument/2006/relationships/hyperlink" Target="https://finance.yahoo.com/quote/AMZN260318C00215000/" TargetMode="External"/><Relationship Id="rId1703" Type="http://schemas.openxmlformats.org/officeDocument/2006/relationships/hyperlink" Target="https://finance.yahoo.com/quote/AMZN260306C00300000/" TargetMode="External"/><Relationship Id="rId1910" Type="http://schemas.openxmlformats.org/officeDocument/2006/relationships/hyperlink" Target="https://finance.yahoo.com/quote/AMZN/options/?straddle=false&amp;strike=192.5&amp;type=all" TargetMode="External"/><Relationship Id="rId284" Type="http://schemas.openxmlformats.org/officeDocument/2006/relationships/hyperlink" Target="https://finance.yahoo.com/quote/AMZN/options/?straddle=false&amp;strike=310&amp;type=all" TargetMode="External"/><Relationship Id="rId491" Type="http://schemas.openxmlformats.org/officeDocument/2006/relationships/hyperlink" Target="https://finance.yahoo.com/quote/AMZN260515C00330000/" TargetMode="External"/><Relationship Id="rId2172" Type="http://schemas.openxmlformats.org/officeDocument/2006/relationships/hyperlink" Target="https://finance.yahoo.com/quote/AMZN/options/?straddle=false&amp;strike=285&amp;type=all" TargetMode="External"/><Relationship Id="rId144" Type="http://schemas.openxmlformats.org/officeDocument/2006/relationships/hyperlink" Target="https://finance.yahoo.com/quote/AMZN/options/?straddle=false&amp;strike=217.5&amp;type=all" TargetMode="External"/><Relationship Id="rId589" Type="http://schemas.openxmlformats.org/officeDocument/2006/relationships/hyperlink" Target="https://finance.yahoo.com/quote/AMZN260515P00325000/" TargetMode="External"/><Relationship Id="rId796" Type="http://schemas.openxmlformats.org/officeDocument/2006/relationships/hyperlink" Target="https://finance.yahoo.com/quote/AMZN/options/?straddle=false&amp;strike=350&amp;type=all" TargetMode="External"/><Relationship Id="rId2477" Type="http://schemas.openxmlformats.org/officeDocument/2006/relationships/hyperlink" Target="https://finance.yahoo.com/quote/AMZN260410C00130000/" TargetMode="External"/><Relationship Id="rId351" Type="http://schemas.openxmlformats.org/officeDocument/2006/relationships/hyperlink" Target="https://finance.yahoo.com/quote/AMZN260515P00230000/" TargetMode="External"/><Relationship Id="rId449" Type="http://schemas.openxmlformats.org/officeDocument/2006/relationships/hyperlink" Target="https://finance.yahoo.com/quote/AMZN260515C00225000/" TargetMode="External"/><Relationship Id="rId656" Type="http://schemas.openxmlformats.org/officeDocument/2006/relationships/hyperlink" Target="https://finance.yahoo.com/quote/AMZN/options/?straddle=false&amp;strike=240&amp;type=all" TargetMode="External"/><Relationship Id="rId863" Type="http://schemas.openxmlformats.org/officeDocument/2006/relationships/hyperlink" Target="https://finance.yahoo.com/quote/AMZN260515P00260000/" TargetMode="External"/><Relationship Id="rId1079" Type="http://schemas.openxmlformats.org/officeDocument/2006/relationships/hyperlink" Target="https://finance.yahoo.com/quote/AMZN260515C00300000/" TargetMode="External"/><Relationship Id="rId1286" Type="http://schemas.openxmlformats.org/officeDocument/2006/relationships/hyperlink" Target="https://finance.yahoo.com/quote/AMZN/options/?straddle=false&amp;strike=315&amp;type=all" TargetMode="External"/><Relationship Id="rId1493" Type="http://schemas.openxmlformats.org/officeDocument/2006/relationships/hyperlink" Target="https://finance.yahoo.com/quote/AMZN260227C00300000/" TargetMode="External"/><Relationship Id="rId2032" Type="http://schemas.openxmlformats.org/officeDocument/2006/relationships/hyperlink" Target="https://finance.yahoo.com/quote/AMZN/options/?straddle=false&amp;strike=245&amp;type=all" TargetMode="External"/><Relationship Id="rId2337" Type="http://schemas.openxmlformats.org/officeDocument/2006/relationships/hyperlink" Target="https://finance.yahoo.com/quote/AMZN260327C00225000/" TargetMode="External"/><Relationship Id="rId2544" Type="http://schemas.openxmlformats.org/officeDocument/2006/relationships/hyperlink" Target="https://finance.yahoo.com/quote/AMZN/options/?straddle=false&amp;strike=232.5&amp;type=all" TargetMode="External"/><Relationship Id="rId211" Type="http://schemas.openxmlformats.org/officeDocument/2006/relationships/hyperlink" Target="https://finance.yahoo.com/quote/AMZN260515C00130000/" TargetMode="External"/><Relationship Id="rId309" Type="http://schemas.openxmlformats.org/officeDocument/2006/relationships/hyperlink" Target="https://finance.yahoo.com/quote/AMZN260515P00125000/" TargetMode="External"/><Relationship Id="rId516" Type="http://schemas.openxmlformats.org/officeDocument/2006/relationships/hyperlink" Target="https://finance.yahoo.com/quote/AMZN/options/?straddle=false&amp;strike=140&amp;type=all" TargetMode="External"/><Relationship Id="rId1146" Type="http://schemas.openxmlformats.org/officeDocument/2006/relationships/hyperlink" Target="https://finance.yahoo.com/quote/AMZN/options/?straddle=false&amp;strike=215&amp;type=all" TargetMode="External"/><Relationship Id="rId1798" Type="http://schemas.openxmlformats.org/officeDocument/2006/relationships/hyperlink" Target="https://finance.yahoo.com/quote/AMZN/options/?straddle=false&amp;strike=250&amp;type=all" TargetMode="External"/><Relationship Id="rId723" Type="http://schemas.openxmlformats.org/officeDocument/2006/relationships/hyperlink" Target="https://finance.yahoo.com/quote/AMZN260515P00160000/" TargetMode="External"/><Relationship Id="rId930" Type="http://schemas.openxmlformats.org/officeDocument/2006/relationships/hyperlink" Target="https://finance.yahoo.com/quote/AMZN/options/?straddle=false&amp;strike=175&amp;type=all" TargetMode="External"/><Relationship Id="rId1006" Type="http://schemas.openxmlformats.org/officeDocument/2006/relationships/hyperlink" Target="https://finance.yahoo.com/quote/AMZN/options/?straddle=false&amp;strike=115&amp;type=all" TargetMode="External"/><Relationship Id="rId1353" Type="http://schemas.openxmlformats.org/officeDocument/2006/relationships/hyperlink" Target="https://finance.yahoo.com/quote/AMZN260515P00235000/" TargetMode="External"/><Relationship Id="rId1560" Type="http://schemas.openxmlformats.org/officeDocument/2006/relationships/hyperlink" Target="https://finance.yahoo.com/quote/AMZN/options/?straddle=false&amp;strike=205&amp;type=all" TargetMode="External"/><Relationship Id="rId1658" Type="http://schemas.openxmlformats.org/officeDocument/2006/relationships/hyperlink" Target="https://finance.yahoo.com/quote/AMZN/options/?straddle=false&amp;strike=210&amp;type=all" TargetMode="External"/><Relationship Id="rId1865" Type="http://schemas.openxmlformats.org/officeDocument/2006/relationships/hyperlink" Target="https://finance.yahoo.com/quote/AMZN260318C00250000/" TargetMode="External"/><Relationship Id="rId2404" Type="http://schemas.openxmlformats.org/officeDocument/2006/relationships/hyperlink" Target="https://finance.yahoo.com/quote/AMZN/options/?straddle=false&amp;strike=160&amp;type=all" TargetMode="External"/><Relationship Id="rId2611" Type="http://schemas.openxmlformats.org/officeDocument/2006/relationships/hyperlink" Target="https://finance.yahoo.com/quote/AMZN260410P00190000/" TargetMode="External"/><Relationship Id="rId1213" Type="http://schemas.openxmlformats.org/officeDocument/2006/relationships/hyperlink" Target="https://finance.yahoo.com/quote/AMZN260515C00135000/" TargetMode="External"/><Relationship Id="rId1420" Type="http://schemas.openxmlformats.org/officeDocument/2006/relationships/hyperlink" Target="https://finance.yahoo.com/quote/AMZN/options/?straddle=false&amp;strike=175&amp;type=all" TargetMode="External"/><Relationship Id="rId1518" Type="http://schemas.openxmlformats.org/officeDocument/2006/relationships/hyperlink" Target="https://finance.yahoo.com/quote/AMZN/options/?straddle=false&amp;strike=135&amp;type=all" TargetMode="External"/><Relationship Id="rId1725" Type="http://schemas.openxmlformats.org/officeDocument/2006/relationships/hyperlink" Target="https://finance.yahoo.com/quote/AMZN260306P00130000/" TargetMode="External"/><Relationship Id="rId1932" Type="http://schemas.openxmlformats.org/officeDocument/2006/relationships/hyperlink" Target="https://finance.yahoo.com/quote/AMZN/options/?straddle=false&amp;strike=220&amp;type=all" TargetMode="External"/><Relationship Id="rId17" Type="http://schemas.openxmlformats.org/officeDocument/2006/relationships/hyperlink" Target="https://finance.yahoo.com/quote/AMZN260123C00165000/" TargetMode="External"/><Relationship Id="rId2194" Type="http://schemas.openxmlformats.org/officeDocument/2006/relationships/hyperlink" Target="https://finance.yahoo.com/quote/AMZN/options/?straddle=false&amp;strike=125&amp;type=all" TargetMode="External"/><Relationship Id="rId166" Type="http://schemas.openxmlformats.org/officeDocument/2006/relationships/hyperlink" Target="https://finance.yahoo.com/quote/AMZN/options/?straddle=false&amp;strike=245&amp;type=all" TargetMode="External"/><Relationship Id="rId373" Type="http://schemas.openxmlformats.org/officeDocument/2006/relationships/hyperlink" Target="https://finance.yahoo.com/quote/AMZN260515P00285000/" TargetMode="External"/><Relationship Id="rId580" Type="http://schemas.openxmlformats.org/officeDocument/2006/relationships/hyperlink" Target="https://finance.yahoo.com/quote/AMZN/options/?straddle=false&amp;strike=300&amp;type=all" TargetMode="External"/><Relationship Id="rId2054" Type="http://schemas.openxmlformats.org/officeDocument/2006/relationships/hyperlink" Target="https://finance.yahoo.com/quote/AMZN/options/?straddle=false&amp;strike=300&amp;type=all" TargetMode="External"/><Relationship Id="rId2261" Type="http://schemas.openxmlformats.org/officeDocument/2006/relationships/hyperlink" Target="https://finance.yahoo.com/quote/AMZN260327P00235000/" TargetMode="External"/><Relationship Id="rId2499" Type="http://schemas.openxmlformats.org/officeDocument/2006/relationships/hyperlink" Target="https://finance.yahoo.com/quote/AMZN260410C00177500/" TargetMode="External"/><Relationship Id="rId1" Type="http://schemas.openxmlformats.org/officeDocument/2006/relationships/hyperlink" Target="https://finance.yahoo.com/quote/AMZN260123C00125000/" TargetMode="External"/><Relationship Id="rId233" Type="http://schemas.openxmlformats.org/officeDocument/2006/relationships/hyperlink" Target="https://finance.yahoo.com/quote/AMZN260515C00185000/" TargetMode="External"/><Relationship Id="rId440" Type="http://schemas.openxmlformats.org/officeDocument/2006/relationships/hyperlink" Target="https://finance.yahoo.com/quote/AMZN/options/?straddle=false&amp;strike=200&amp;type=all" TargetMode="External"/><Relationship Id="rId678" Type="http://schemas.openxmlformats.org/officeDocument/2006/relationships/hyperlink" Target="https://finance.yahoo.com/quote/AMZN/options/?straddle=false&amp;strike=295&amp;type=all" TargetMode="External"/><Relationship Id="rId885" Type="http://schemas.openxmlformats.org/officeDocument/2006/relationships/hyperlink" Target="https://finance.yahoo.com/quote/AMZN260515P00315000/" TargetMode="External"/><Relationship Id="rId1070" Type="http://schemas.openxmlformats.org/officeDocument/2006/relationships/hyperlink" Target="https://finance.yahoo.com/quote/AMZN/options/?straddle=false&amp;strike=275&amp;type=all" TargetMode="External"/><Relationship Id="rId2121" Type="http://schemas.openxmlformats.org/officeDocument/2006/relationships/hyperlink" Target="https://finance.yahoo.com/quote/AMZN260327C00200000/" TargetMode="External"/><Relationship Id="rId2359" Type="http://schemas.openxmlformats.org/officeDocument/2006/relationships/hyperlink" Target="https://finance.yahoo.com/quote/AMZN260327C00265000/" TargetMode="External"/><Relationship Id="rId2566" Type="http://schemas.openxmlformats.org/officeDocument/2006/relationships/hyperlink" Target="https://finance.yahoo.com/quote/AMZN/options/?straddle=false&amp;strike=285&amp;type=all" TargetMode="External"/><Relationship Id="rId300" Type="http://schemas.openxmlformats.org/officeDocument/2006/relationships/hyperlink" Target="https://finance.yahoo.com/quote/AMZN/options/?straddle=false&amp;strike=370&amp;type=all" TargetMode="External"/><Relationship Id="rId538" Type="http://schemas.openxmlformats.org/officeDocument/2006/relationships/hyperlink" Target="https://finance.yahoo.com/quote/AMZN/options/?straddle=false&amp;strike=195&amp;type=all" TargetMode="External"/><Relationship Id="rId745" Type="http://schemas.openxmlformats.org/officeDocument/2006/relationships/hyperlink" Target="https://finance.yahoo.com/quote/AMZN260515P00215000/" TargetMode="External"/><Relationship Id="rId952" Type="http://schemas.openxmlformats.org/officeDocument/2006/relationships/hyperlink" Target="https://finance.yahoo.com/quote/AMZN/options/?straddle=false&amp;strike=230&amp;type=all" TargetMode="External"/><Relationship Id="rId1168" Type="http://schemas.openxmlformats.org/officeDocument/2006/relationships/hyperlink" Target="https://finance.yahoo.com/quote/AMZN/options/?straddle=false&amp;strike=270&amp;type=all" TargetMode="External"/><Relationship Id="rId1375" Type="http://schemas.openxmlformats.org/officeDocument/2006/relationships/hyperlink" Target="https://finance.yahoo.com/quote/AMZN260515P00290000/" TargetMode="External"/><Relationship Id="rId1582" Type="http://schemas.openxmlformats.org/officeDocument/2006/relationships/hyperlink" Target="https://finance.yahoo.com/quote/AMZN/options/?straddle=false&amp;strike=235&amp;type=all" TargetMode="External"/><Relationship Id="rId2219" Type="http://schemas.openxmlformats.org/officeDocument/2006/relationships/hyperlink" Target="https://finance.yahoo.com/quote/AMZN260327P00182500/" TargetMode="External"/><Relationship Id="rId2426" Type="http://schemas.openxmlformats.org/officeDocument/2006/relationships/hyperlink" Target="https://finance.yahoo.com/quote/AMZN/options/?straddle=false&amp;strike=195&amp;type=all" TargetMode="External"/><Relationship Id="rId2633" Type="http://schemas.openxmlformats.org/officeDocument/2006/relationships/hyperlink" Target="https://finance.yahoo.com/quote/AMZN260410P00217500/" TargetMode="External"/><Relationship Id="rId81" Type="http://schemas.openxmlformats.org/officeDocument/2006/relationships/hyperlink" Target="https://finance.yahoo.com/quote/AMZN260123C00265000/" TargetMode="External"/><Relationship Id="rId605" Type="http://schemas.openxmlformats.org/officeDocument/2006/relationships/hyperlink" Target="https://finance.yahoo.com/quote/AMZN260515C00115000/" TargetMode="External"/><Relationship Id="rId812" Type="http://schemas.openxmlformats.org/officeDocument/2006/relationships/hyperlink" Target="https://finance.yahoo.com/quote/AMZN/options/?straddle=false&amp;strike=130&amp;type=all" TargetMode="External"/><Relationship Id="rId1028" Type="http://schemas.openxmlformats.org/officeDocument/2006/relationships/hyperlink" Target="https://finance.yahoo.com/quote/AMZN/options/?straddle=false&amp;strike=170&amp;type=all" TargetMode="External"/><Relationship Id="rId1235" Type="http://schemas.openxmlformats.org/officeDocument/2006/relationships/hyperlink" Target="https://finance.yahoo.com/quote/AMZN260515C00190000/" TargetMode="External"/><Relationship Id="rId1442" Type="http://schemas.openxmlformats.org/officeDocument/2006/relationships/hyperlink" Target="https://finance.yahoo.com/quote/AMZN/options/?straddle=false&amp;strike=202.5&amp;type=all" TargetMode="External"/><Relationship Id="rId1887" Type="http://schemas.openxmlformats.org/officeDocument/2006/relationships/hyperlink" Target="https://finance.yahoo.com/quote/AMZN260318P00165000/" TargetMode="External"/><Relationship Id="rId1302" Type="http://schemas.openxmlformats.org/officeDocument/2006/relationships/hyperlink" Target="https://finance.yahoo.com/quote/AMZN/options/?straddle=false&amp;strike=105&amp;type=all" TargetMode="External"/><Relationship Id="rId1747" Type="http://schemas.openxmlformats.org/officeDocument/2006/relationships/hyperlink" Target="https://finance.yahoo.com/quote/AMZN260306P00177500/" TargetMode="External"/><Relationship Id="rId1954" Type="http://schemas.openxmlformats.org/officeDocument/2006/relationships/hyperlink" Target="https://finance.yahoo.com/quote/AMZN/options/?straddle=false&amp;strike=100&amp;type=all" TargetMode="External"/><Relationship Id="rId39" Type="http://schemas.openxmlformats.org/officeDocument/2006/relationships/hyperlink" Target="https://finance.yahoo.com/quote/AMZN260123C00212500/" TargetMode="External"/><Relationship Id="rId1607" Type="http://schemas.openxmlformats.org/officeDocument/2006/relationships/hyperlink" Target="https://finance.yahoo.com/quote/AMZN260306C00125000/" TargetMode="External"/><Relationship Id="rId1814" Type="http://schemas.openxmlformats.org/officeDocument/2006/relationships/hyperlink" Target="https://finance.yahoo.com/quote/AMZN/options/?straddle=false&amp;strike=310&amp;type=all" TargetMode="External"/><Relationship Id="rId188" Type="http://schemas.openxmlformats.org/officeDocument/2006/relationships/hyperlink" Target="https://finance.yahoo.com/quote/AMZN/options/?straddle=false&amp;strike=290&amp;type=all" TargetMode="External"/><Relationship Id="rId395" Type="http://schemas.openxmlformats.org/officeDocument/2006/relationships/hyperlink" Target="https://finance.yahoo.com/quote/AMZN260515P00350000/" TargetMode="External"/><Relationship Id="rId2076" Type="http://schemas.openxmlformats.org/officeDocument/2006/relationships/hyperlink" Target="https://finance.yahoo.com/quote/AMZN/options/?straddle=false&amp;strike=355&amp;type=all" TargetMode="External"/><Relationship Id="rId2283" Type="http://schemas.openxmlformats.org/officeDocument/2006/relationships/hyperlink" Target="https://finance.yahoo.com/quote/AMZN260327C00140000/" TargetMode="External"/><Relationship Id="rId2490" Type="http://schemas.openxmlformats.org/officeDocument/2006/relationships/hyperlink" Target="https://finance.yahoo.com/quote/AMZN/options/?straddle=false&amp;strike=160&amp;type=all" TargetMode="External"/><Relationship Id="rId2588" Type="http://schemas.openxmlformats.org/officeDocument/2006/relationships/hyperlink" Target="https://finance.yahoo.com/quote/AMZN/options/?straddle=false&amp;strike=150&amp;type=all" TargetMode="External"/><Relationship Id="rId255" Type="http://schemas.openxmlformats.org/officeDocument/2006/relationships/hyperlink" Target="https://finance.yahoo.com/quote/AMZN260515C00240000/" TargetMode="External"/><Relationship Id="rId462" Type="http://schemas.openxmlformats.org/officeDocument/2006/relationships/hyperlink" Target="https://finance.yahoo.com/quote/AMZN/options/?straddle=false&amp;strike=255&amp;type=all" TargetMode="External"/><Relationship Id="rId1092" Type="http://schemas.openxmlformats.org/officeDocument/2006/relationships/hyperlink" Target="https://finance.yahoo.com/quote/AMZN/options/?straddle=false&amp;strike=330&amp;type=all" TargetMode="External"/><Relationship Id="rId1397" Type="http://schemas.openxmlformats.org/officeDocument/2006/relationships/hyperlink" Target="https://finance.yahoo.com/quote/AMZN260515P00360000/" TargetMode="External"/><Relationship Id="rId2143" Type="http://schemas.openxmlformats.org/officeDocument/2006/relationships/hyperlink" Target="https://finance.yahoo.com/quote/AMZN260327C00227500/" TargetMode="External"/><Relationship Id="rId2350" Type="http://schemas.openxmlformats.org/officeDocument/2006/relationships/hyperlink" Target="https://finance.yahoo.com/quote/AMZN/options/?straddle=false&amp;strike=240&amp;type=all" TargetMode="External"/><Relationship Id="rId115" Type="http://schemas.openxmlformats.org/officeDocument/2006/relationships/hyperlink" Target="https://finance.yahoo.com/quote/AMZN260123P00160000/" TargetMode="External"/><Relationship Id="rId322" Type="http://schemas.openxmlformats.org/officeDocument/2006/relationships/hyperlink" Target="https://finance.yahoo.com/quote/AMZN/options/?straddle=false&amp;strike=155&amp;type=all" TargetMode="External"/><Relationship Id="rId767" Type="http://schemas.openxmlformats.org/officeDocument/2006/relationships/hyperlink" Target="https://finance.yahoo.com/quote/AMZN260515P00270000/" TargetMode="External"/><Relationship Id="rId974" Type="http://schemas.openxmlformats.org/officeDocument/2006/relationships/hyperlink" Target="https://finance.yahoo.com/quote/AMZN/options/?straddle=false&amp;strike=285&amp;type=all" TargetMode="External"/><Relationship Id="rId2003" Type="http://schemas.openxmlformats.org/officeDocument/2006/relationships/hyperlink" Target="https://finance.yahoo.com/quote/AMZN260320P00205000/" TargetMode="External"/><Relationship Id="rId2210" Type="http://schemas.openxmlformats.org/officeDocument/2006/relationships/hyperlink" Target="https://finance.yahoo.com/quote/AMZN/options/?straddle=false&amp;strike=165&amp;type=all" TargetMode="External"/><Relationship Id="rId2448" Type="http://schemas.openxmlformats.org/officeDocument/2006/relationships/hyperlink" Target="https://finance.yahoo.com/quote/AMZN/options/?straddle=false&amp;strike=222.5&amp;type=all" TargetMode="External"/><Relationship Id="rId2655" Type="http://schemas.openxmlformats.org/officeDocument/2006/relationships/hyperlink" Target="https://finance.yahoo.com/quote/AMZN260410P00275000/" TargetMode="External"/><Relationship Id="rId627" Type="http://schemas.openxmlformats.org/officeDocument/2006/relationships/hyperlink" Target="https://finance.yahoo.com/quote/AMZN260515C00170000/" TargetMode="External"/><Relationship Id="rId834" Type="http://schemas.openxmlformats.org/officeDocument/2006/relationships/hyperlink" Target="https://finance.yahoo.com/quote/AMZN/options/?straddle=false&amp;strike=185&amp;type=all" TargetMode="External"/><Relationship Id="rId1257" Type="http://schemas.openxmlformats.org/officeDocument/2006/relationships/hyperlink" Target="https://finance.yahoo.com/quote/AMZN260515C00245000/" TargetMode="External"/><Relationship Id="rId1464" Type="http://schemas.openxmlformats.org/officeDocument/2006/relationships/hyperlink" Target="https://finance.yahoo.com/quote/AMZN/options/?straddle=false&amp;strike=230&amp;type=all" TargetMode="External"/><Relationship Id="rId1671" Type="http://schemas.openxmlformats.org/officeDocument/2006/relationships/hyperlink" Target="https://finance.yahoo.com/quote/AMZN260306C00227500/" TargetMode="External"/><Relationship Id="rId2308" Type="http://schemas.openxmlformats.org/officeDocument/2006/relationships/hyperlink" Target="https://finance.yahoo.com/quote/AMZN/options/?straddle=false&amp;strike=187.5&amp;type=all" TargetMode="External"/><Relationship Id="rId2515" Type="http://schemas.openxmlformats.org/officeDocument/2006/relationships/hyperlink" Target="https://finance.yahoo.com/quote/AMZN260410C00197500/" TargetMode="External"/><Relationship Id="rId901" Type="http://schemas.openxmlformats.org/officeDocument/2006/relationships/hyperlink" Target="https://finance.yahoo.com/quote/AMZN260515C00105000/" TargetMode="External"/><Relationship Id="rId1117" Type="http://schemas.openxmlformats.org/officeDocument/2006/relationships/hyperlink" Target="https://finance.yahoo.com/quote/AMZN260515P00145000/" TargetMode="External"/><Relationship Id="rId1324" Type="http://schemas.openxmlformats.org/officeDocument/2006/relationships/hyperlink" Target="https://finance.yahoo.com/quote/AMZN/options/?straddle=false&amp;strike=160&amp;type=all" TargetMode="External"/><Relationship Id="rId1531" Type="http://schemas.openxmlformats.org/officeDocument/2006/relationships/hyperlink" Target="https://finance.yahoo.com/quote/AMZN260227P00170000/" TargetMode="External"/><Relationship Id="rId1769" Type="http://schemas.openxmlformats.org/officeDocument/2006/relationships/hyperlink" Target="https://finance.yahoo.com/quote/AMZN260306P00205000/" TargetMode="External"/><Relationship Id="rId1976" Type="http://schemas.openxmlformats.org/officeDocument/2006/relationships/hyperlink" Target="https://finance.yahoo.com/quote/AMZN/options/?straddle=false&amp;strike=155&amp;type=all" TargetMode="External"/><Relationship Id="rId30" Type="http://schemas.openxmlformats.org/officeDocument/2006/relationships/hyperlink" Target="https://finance.yahoo.com/quote/AMZN/options/?straddle=false&amp;strike=195&amp;type=all" TargetMode="External"/><Relationship Id="rId1629" Type="http://schemas.openxmlformats.org/officeDocument/2006/relationships/hyperlink" Target="https://finance.yahoo.com/quote/AMZN260306C00175000/" TargetMode="External"/><Relationship Id="rId1836" Type="http://schemas.openxmlformats.org/officeDocument/2006/relationships/hyperlink" Target="https://finance.yahoo.com/quote/AMZN/options/?straddle=false&amp;strike=205&amp;type=all" TargetMode="External"/><Relationship Id="rId1903" Type="http://schemas.openxmlformats.org/officeDocument/2006/relationships/hyperlink" Target="https://finance.yahoo.com/quote/AMZN260318P00185000/" TargetMode="External"/><Relationship Id="rId2098" Type="http://schemas.openxmlformats.org/officeDocument/2006/relationships/hyperlink" Target="https://finance.yahoo.com/quote/AMZN/options/?straddle=false&amp;strike=165&amp;type=all" TargetMode="External"/><Relationship Id="rId277" Type="http://schemas.openxmlformats.org/officeDocument/2006/relationships/hyperlink" Target="https://finance.yahoo.com/quote/AMZN260515C00295000/" TargetMode="External"/><Relationship Id="rId484" Type="http://schemas.openxmlformats.org/officeDocument/2006/relationships/hyperlink" Target="https://finance.yahoo.com/quote/AMZN/options/?straddle=false&amp;strike=310&amp;type=all" TargetMode="External"/><Relationship Id="rId2165" Type="http://schemas.openxmlformats.org/officeDocument/2006/relationships/hyperlink" Target="https://finance.yahoo.com/quote/AMZN260327C00270000/" TargetMode="External"/><Relationship Id="rId137" Type="http://schemas.openxmlformats.org/officeDocument/2006/relationships/hyperlink" Target="https://finance.yahoo.com/quote/AMZN260123P00210000/" TargetMode="External"/><Relationship Id="rId344" Type="http://schemas.openxmlformats.org/officeDocument/2006/relationships/hyperlink" Target="https://finance.yahoo.com/quote/AMZN/options/?straddle=false&amp;strike=210&amp;type=all" TargetMode="External"/><Relationship Id="rId691" Type="http://schemas.openxmlformats.org/officeDocument/2006/relationships/hyperlink" Target="https://finance.yahoo.com/quote/AMZN260515C00330000/" TargetMode="External"/><Relationship Id="rId789" Type="http://schemas.openxmlformats.org/officeDocument/2006/relationships/hyperlink" Target="https://finance.yahoo.com/quote/AMZN260515P00325000/" TargetMode="External"/><Relationship Id="rId996" Type="http://schemas.openxmlformats.org/officeDocument/2006/relationships/hyperlink" Target="https://finance.yahoo.com/quote/AMZN/options/?straddle=false&amp;strike=350&amp;type=all" TargetMode="External"/><Relationship Id="rId2025" Type="http://schemas.openxmlformats.org/officeDocument/2006/relationships/hyperlink" Target="https://finance.yahoo.com/quote/AMZN260320P00232500/" TargetMode="External"/><Relationship Id="rId2372" Type="http://schemas.openxmlformats.org/officeDocument/2006/relationships/hyperlink" Target="https://finance.yahoo.com/quote/AMZN/options/?straddle=false&amp;strike=295&amp;type=all" TargetMode="External"/><Relationship Id="rId551" Type="http://schemas.openxmlformats.org/officeDocument/2006/relationships/hyperlink" Target="https://finance.yahoo.com/quote/AMZN260515P00230000/" TargetMode="External"/><Relationship Id="rId649" Type="http://schemas.openxmlformats.org/officeDocument/2006/relationships/hyperlink" Target="https://finance.yahoo.com/quote/AMZN260515C00225000/" TargetMode="External"/><Relationship Id="rId856" Type="http://schemas.openxmlformats.org/officeDocument/2006/relationships/hyperlink" Target="https://finance.yahoo.com/quote/AMZN/options/?straddle=false&amp;strike=240&amp;type=all" TargetMode="External"/><Relationship Id="rId1181" Type="http://schemas.openxmlformats.org/officeDocument/2006/relationships/hyperlink" Target="https://finance.yahoo.com/quote/AMZN260515P00305000/" TargetMode="External"/><Relationship Id="rId1279" Type="http://schemas.openxmlformats.org/officeDocument/2006/relationships/hyperlink" Target="https://finance.yahoo.com/quote/AMZN260515C00300000/" TargetMode="External"/><Relationship Id="rId1486" Type="http://schemas.openxmlformats.org/officeDocument/2006/relationships/hyperlink" Target="https://finance.yahoo.com/quote/AMZN/options/?straddle=false&amp;strike=280&amp;type=all" TargetMode="External"/><Relationship Id="rId2232" Type="http://schemas.openxmlformats.org/officeDocument/2006/relationships/hyperlink" Target="https://finance.yahoo.com/quote/AMZN/options/?straddle=false&amp;strike=197.5&amp;type=all" TargetMode="External"/><Relationship Id="rId2537" Type="http://schemas.openxmlformats.org/officeDocument/2006/relationships/hyperlink" Target="https://finance.yahoo.com/quote/AMZN260410C00225000/" TargetMode="External"/><Relationship Id="rId204" Type="http://schemas.openxmlformats.org/officeDocument/2006/relationships/hyperlink" Target="https://finance.yahoo.com/quote/AMZN/options/?straddle=false&amp;strike=110&amp;type=all" TargetMode="External"/><Relationship Id="rId411" Type="http://schemas.openxmlformats.org/officeDocument/2006/relationships/hyperlink" Target="https://finance.yahoo.com/quote/AMZN260515C00130000/" TargetMode="External"/><Relationship Id="rId509" Type="http://schemas.openxmlformats.org/officeDocument/2006/relationships/hyperlink" Target="https://finance.yahoo.com/quote/AMZN260515P00125000/" TargetMode="External"/><Relationship Id="rId1041" Type="http://schemas.openxmlformats.org/officeDocument/2006/relationships/hyperlink" Target="https://finance.yahoo.com/quote/AMZN260515C00205000/" TargetMode="External"/><Relationship Id="rId1139" Type="http://schemas.openxmlformats.org/officeDocument/2006/relationships/hyperlink" Target="https://finance.yahoo.com/quote/AMZN260515P00200000/" TargetMode="External"/><Relationship Id="rId1346" Type="http://schemas.openxmlformats.org/officeDocument/2006/relationships/hyperlink" Target="https://finance.yahoo.com/quote/AMZN/options/?straddle=false&amp;strike=215&amp;type=all" TargetMode="External"/><Relationship Id="rId1693" Type="http://schemas.openxmlformats.org/officeDocument/2006/relationships/hyperlink" Target="https://finance.yahoo.com/quote/AMZN260306C00275000/" TargetMode="External"/><Relationship Id="rId1998" Type="http://schemas.openxmlformats.org/officeDocument/2006/relationships/hyperlink" Target="https://finance.yahoo.com/quote/AMZN/options/?straddle=false&amp;strike=197.5&amp;type=all" TargetMode="External"/><Relationship Id="rId716" Type="http://schemas.openxmlformats.org/officeDocument/2006/relationships/hyperlink" Target="https://finance.yahoo.com/quote/AMZN/options/?straddle=false&amp;strike=140&amp;type=all" TargetMode="External"/><Relationship Id="rId923" Type="http://schemas.openxmlformats.org/officeDocument/2006/relationships/hyperlink" Target="https://finance.yahoo.com/quote/AMZN260515C00160000/" TargetMode="External"/><Relationship Id="rId1553" Type="http://schemas.openxmlformats.org/officeDocument/2006/relationships/hyperlink" Target="https://finance.yahoo.com/quote/AMZN260227P00197500/" TargetMode="External"/><Relationship Id="rId1760" Type="http://schemas.openxmlformats.org/officeDocument/2006/relationships/hyperlink" Target="https://finance.yahoo.com/quote/AMZN/options/?straddle=false&amp;strike=192.5&amp;type=all" TargetMode="External"/><Relationship Id="rId1858" Type="http://schemas.openxmlformats.org/officeDocument/2006/relationships/hyperlink" Target="https://finance.yahoo.com/quote/AMZN/options/?straddle=false&amp;strike=232.5&amp;type=all" TargetMode="External"/><Relationship Id="rId2604" Type="http://schemas.openxmlformats.org/officeDocument/2006/relationships/hyperlink" Target="https://finance.yahoo.com/quote/AMZN/options/?straddle=false&amp;strike=180&amp;type=all" TargetMode="External"/><Relationship Id="rId52" Type="http://schemas.openxmlformats.org/officeDocument/2006/relationships/hyperlink" Target="https://finance.yahoo.com/quote/AMZN/options/?straddle=false&amp;strike=227.5&amp;type=all" TargetMode="External"/><Relationship Id="rId1206" Type="http://schemas.openxmlformats.org/officeDocument/2006/relationships/hyperlink" Target="https://finance.yahoo.com/quote/AMZN/options/?straddle=false&amp;strike=115&amp;type=all" TargetMode="External"/><Relationship Id="rId1413" Type="http://schemas.openxmlformats.org/officeDocument/2006/relationships/hyperlink" Target="https://finance.yahoo.com/quote/AMZN260227C00160000/" TargetMode="External"/><Relationship Id="rId1620" Type="http://schemas.openxmlformats.org/officeDocument/2006/relationships/hyperlink" Target="https://finance.yahoo.com/quote/AMZN/options/?straddle=false&amp;strike=155&amp;type=all" TargetMode="External"/><Relationship Id="rId1718" Type="http://schemas.openxmlformats.org/officeDocument/2006/relationships/hyperlink" Target="https://finance.yahoo.com/quote/AMZN/options/?straddle=false&amp;strike=335&amp;type=all" TargetMode="External"/><Relationship Id="rId1925" Type="http://schemas.openxmlformats.org/officeDocument/2006/relationships/hyperlink" Target="https://finance.yahoo.com/quote/AMZN260318P00212500/" TargetMode="External"/><Relationship Id="rId299" Type="http://schemas.openxmlformats.org/officeDocument/2006/relationships/hyperlink" Target="https://finance.yahoo.com/quote/AMZN260515C00370000/" TargetMode="External"/><Relationship Id="rId2187" Type="http://schemas.openxmlformats.org/officeDocument/2006/relationships/hyperlink" Target="https://finance.yahoo.com/quote/AMZN260327C00325000/" TargetMode="External"/><Relationship Id="rId2394" Type="http://schemas.openxmlformats.org/officeDocument/2006/relationships/hyperlink" Target="https://finance.yahoo.com/quote/AMZN/options/?straddle=false&amp;strike=135&amp;type=all" TargetMode="External"/><Relationship Id="rId159" Type="http://schemas.openxmlformats.org/officeDocument/2006/relationships/hyperlink" Target="https://finance.yahoo.com/quote/AMZN260123P00237500/" TargetMode="External"/><Relationship Id="rId366" Type="http://schemas.openxmlformats.org/officeDocument/2006/relationships/hyperlink" Target="https://finance.yahoo.com/quote/AMZN/options/?straddle=false&amp;strike=265&amp;type=all" TargetMode="External"/><Relationship Id="rId573" Type="http://schemas.openxmlformats.org/officeDocument/2006/relationships/hyperlink" Target="https://finance.yahoo.com/quote/AMZN260515P00285000/" TargetMode="External"/><Relationship Id="rId780" Type="http://schemas.openxmlformats.org/officeDocument/2006/relationships/hyperlink" Target="https://finance.yahoo.com/quote/AMZN/options/?straddle=false&amp;strike=300&amp;type=all" TargetMode="External"/><Relationship Id="rId2047" Type="http://schemas.openxmlformats.org/officeDocument/2006/relationships/hyperlink" Target="https://finance.yahoo.com/quote/AMZN260320P00285000/" TargetMode="External"/><Relationship Id="rId2254" Type="http://schemas.openxmlformats.org/officeDocument/2006/relationships/hyperlink" Target="https://finance.yahoo.com/quote/AMZN/options/?straddle=false&amp;strike=225&amp;type=all" TargetMode="External"/><Relationship Id="rId2461" Type="http://schemas.openxmlformats.org/officeDocument/2006/relationships/hyperlink" Target="https://finance.yahoo.com/quote/AMZN260327P00240000/" TargetMode="External"/><Relationship Id="rId226" Type="http://schemas.openxmlformats.org/officeDocument/2006/relationships/hyperlink" Target="https://finance.yahoo.com/quote/AMZN/options/?straddle=false&amp;strike=165&amp;type=all" TargetMode="External"/><Relationship Id="rId433" Type="http://schemas.openxmlformats.org/officeDocument/2006/relationships/hyperlink" Target="https://finance.yahoo.com/quote/AMZN260515C00185000/" TargetMode="External"/><Relationship Id="rId878" Type="http://schemas.openxmlformats.org/officeDocument/2006/relationships/hyperlink" Target="https://finance.yahoo.com/quote/AMZN/options/?straddle=false&amp;strike=295&amp;type=all" TargetMode="External"/><Relationship Id="rId1063" Type="http://schemas.openxmlformats.org/officeDocument/2006/relationships/hyperlink" Target="https://finance.yahoo.com/quote/AMZN260515C00260000/" TargetMode="External"/><Relationship Id="rId1270" Type="http://schemas.openxmlformats.org/officeDocument/2006/relationships/hyperlink" Target="https://finance.yahoo.com/quote/AMZN/options/?straddle=false&amp;strike=275&amp;type=all" TargetMode="External"/><Relationship Id="rId2114" Type="http://schemas.openxmlformats.org/officeDocument/2006/relationships/hyperlink" Target="https://finance.yahoo.com/quote/AMZN/options/?straddle=false&amp;strike=190&amp;type=all" TargetMode="External"/><Relationship Id="rId2559" Type="http://schemas.openxmlformats.org/officeDocument/2006/relationships/hyperlink" Target="https://finance.yahoo.com/quote/AMZN260410C00270000/" TargetMode="External"/><Relationship Id="rId640" Type="http://schemas.openxmlformats.org/officeDocument/2006/relationships/hyperlink" Target="https://finance.yahoo.com/quote/AMZN/options/?straddle=false&amp;strike=200&amp;type=all" TargetMode="External"/><Relationship Id="rId738" Type="http://schemas.openxmlformats.org/officeDocument/2006/relationships/hyperlink" Target="https://finance.yahoo.com/quote/AMZN/options/?straddle=false&amp;strike=195&amp;type=all" TargetMode="External"/><Relationship Id="rId945" Type="http://schemas.openxmlformats.org/officeDocument/2006/relationships/hyperlink" Target="https://finance.yahoo.com/quote/AMZN260515C00215000/" TargetMode="External"/><Relationship Id="rId1368" Type="http://schemas.openxmlformats.org/officeDocument/2006/relationships/hyperlink" Target="https://finance.yahoo.com/quote/AMZN/options/?straddle=false&amp;strike=270&amp;type=all" TargetMode="External"/><Relationship Id="rId1575" Type="http://schemas.openxmlformats.org/officeDocument/2006/relationships/hyperlink" Target="https://finance.yahoo.com/quote/AMZN260227P00225000/" TargetMode="External"/><Relationship Id="rId1782" Type="http://schemas.openxmlformats.org/officeDocument/2006/relationships/hyperlink" Target="https://finance.yahoo.com/quote/AMZN/options/?straddle=false&amp;strike=220&amp;type=all" TargetMode="External"/><Relationship Id="rId2321" Type="http://schemas.openxmlformats.org/officeDocument/2006/relationships/hyperlink" Target="https://finance.yahoo.com/quote/AMZN260327C00205000/" TargetMode="External"/><Relationship Id="rId2419" Type="http://schemas.openxmlformats.org/officeDocument/2006/relationships/hyperlink" Target="https://finance.yahoo.com/quote/AMZN260327P00187500/" TargetMode="External"/><Relationship Id="rId2626" Type="http://schemas.openxmlformats.org/officeDocument/2006/relationships/hyperlink" Target="https://finance.yahoo.com/quote/AMZN/options/?straddle=false&amp;strike=207.5&amp;type=all" TargetMode="External"/><Relationship Id="rId74" Type="http://schemas.openxmlformats.org/officeDocument/2006/relationships/hyperlink" Target="https://finance.yahoo.com/quote/AMZN/options/?straddle=false&amp;strike=255&amp;type=all" TargetMode="External"/><Relationship Id="rId500" Type="http://schemas.openxmlformats.org/officeDocument/2006/relationships/hyperlink" Target="https://finance.yahoo.com/quote/AMZN/options/?straddle=false&amp;strike=370&amp;type=all" TargetMode="External"/><Relationship Id="rId805" Type="http://schemas.openxmlformats.org/officeDocument/2006/relationships/hyperlink" Target="https://finance.yahoo.com/quote/AMZN260515P00115000/" TargetMode="External"/><Relationship Id="rId1130" Type="http://schemas.openxmlformats.org/officeDocument/2006/relationships/hyperlink" Target="https://finance.yahoo.com/quote/AMZN/options/?straddle=false&amp;strike=175&amp;type=all" TargetMode="External"/><Relationship Id="rId1228" Type="http://schemas.openxmlformats.org/officeDocument/2006/relationships/hyperlink" Target="https://finance.yahoo.com/quote/AMZN/options/?straddle=false&amp;strike=170&amp;type=all" TargetMode="External"/><Relationship Id="rId1435" Type="http://schemas.openxmlformats.org/officeDocument/2006/relationships/hyperlink" Target="https://finance.yahoo.com/quote/AMZN260227C00195000/" TargetMode="External"/><Relationship Id="rId1642" Type="http://schemas.openxmlformats.org/officeDocument/2006/relationships/hyperlink" Target="https://finance.yahoo.com/quote/AMZN/options/?straddle=false&amp;strike=190&amp;type=all" TargetMode="External"/><Relationship Id="rId1947" Type="http://schemas.openxmlformats.org/officeDocument/2006/relationships/hyperlink" Target="https://finance.yahoo.com/quote/AMZN260320P00085000/" TargetMode="External"/><Relationship Id="rId1502" Type="http://schemas.openxmlformats.org/officeDocument/2006/relationships/hyperlink" Target="https://finance.yahoo.com/quote/AMZN/options/?straddle=false&amp;strike=320&amp;type=all" TargetMode="External"/><Relationship Id="rId1807" Type="http://schemas.openxmlformats.org/officeDocument/2006/relationships/hyperlink" Target="https://finance.yahoo.com/quote/AMZN260306P00275000/" TargetMode="External"/><Relationship Id="rId290" Type="http://schemas.openxmlformats.org/officeDocument/2006/relationships/hyperlink" Target="https://finance.yahoo.com/quote/AMZN/options/?straddle=false&amp;strike=325&amp;type=all" TargetMode="External"/><Relationship Id="rId388" Type="http://schemas.openxmlformats.org/officeDocument/2006/relationships/hyperlink" Target="https://finance.yahoo.com/quote/AMZN/options/?straddle=false&amp;strike=320&amp;type=all" TargetMode="External"/><Relationship Id="rId2069" Type="http://schemas.openxmlformats.org/officeDocument/2006/relationships/hyperlink" Target="https://finance.yahoo.com/quote/AMZN260320P00340000/" TargetMode="External"/><Relationship Id="rId150" Type="http://schemas.openxmlformats.org/officeDocument/2006/relationships/hyperlink" Target="https://finance.yahoo.com/quote/AMZN/options/?straddle=false&amp;strike=225&amp;type=all" TargetMode="External"/><Relationship Id="rId595" Type="http://schemas.openxmlformats.org/officeDocument/2006/relationships/hyperlink" Target="https://finance.yahoo.com/quote/AMZN260515P00350000/" TargetMode="External"/><Relationship Id="rId2276" Type="http://schemas.openxmlformats.org/officeDocument/2006/relationships/hyperlink" Target="https://finance.yahoo.com/quote/AMZN/options/?straddle=false&amp;strike=265&amp;type=all" TargetMode="External"/><Relationship Id="rId2483" Type="http://schemas.openxmlformats.org/officeDocument/2006/relationships/hyperlink" Target="https://finance.yahoo.com/quote/AMZN260410C00145000/" TargetMode="External"/><Relationship Id="rId248" Type="http://schemas.openxmlformats.org/officeDocument/2006/relationships/hyperlink" Target="https://finance.yahoo.com/quote/AMZN/options/?straddle=false&amp;strike=220&amp;type=all" TargetMode="External"/><Relationship Id="rId455" Type="http://schemas.openxmlformats.org/officeDocument/2006/relationships/hyperlink" Target="https://finance.yahoo.com/quote/AMZN260515C00240000/" TargetMode="External"/><Relationship Id="rId662" Type="http://schemas.openxmlformats.org/officeDocument/2006/relationships/hyperlink" Target="https://finance.yahoo.com/quote/AMZN/options/?straddle=false&amp;strike=255&amp;type=all" TargetMode="External"/><Relationship Id="rId1085" Type="http://schemas.openxmlformats.org/officeDocument/2006/relationships/hyperlink" Target="https://finance.yahoo.com/quote/AMZN260515C00315000/" TargetMode="External"/><Relationship Id="rId1292" Type="http://schemas.openxmlformats.org/officeDocument/2006/relationships/hyperlink" Target="https://finance.yahoo.com/quote/AMZN/options/?straddle=false&amp;strike=330&amp;type=all" TargetMode="External"/><Relationship Id="rId2136" Type="http://schemas.openxmlformats.org/officeDocument/2006/relationships/hyperlink" Target="https://finance.yahoo.com/quote/AMZN/options/?straddle=false&amp;strike=217.5&amp;type=all" TargetMode="External"/><Relationship Id="rId2343" Type="http://schemas.openxmlformats.org/officeDocument/2006/relationships/hyperlink" Target="https://finance.yahoo.com/quote/AMZN260327C00232500/" TargetMode="External"/><Relationship Id="rId2550" Type="http://schemas.openxmlformats.org/officeDocument/2006/relationships/hyperlink" Target="https://finance.yahoo.com/quote/AMZN/options/?straddle=false&amp;strike=245&amp;type=all" TargetMode="External"/><Relationship Id="rId108" Type="http://schemas.openxmlformats.org/officeDocument/2006/relationships/hyperlink" Target="https://finance.yahoo.com/quote/AMZN/options/?straddle=false&amp;strike=140&amp;type=all" TargetMode="External"/><Relationship Id="rId315" Type="http://schemas.openxmlformats.org/officeDocument/2006/relationships/hyperlink" Target="https://finance.yahoo.com/quote/AMZN260515P00140000/" TargetMode="External"/><Relationship Id="rId522" Type="http://schemas.openxmlformats.org/officeDocument/2006/relationships/hyperlink" Target="https://finance.yahoo.com/quote/AMZN/options/?straddle=false&amp;strike=155&amp;type=all" TargetMode="External"/><Relationship Id="rId967" Type="http://schemas.openxmlformats.org/officeDocument/2006/relationships/hyperlink" Target="https://finance.yahoo.com/quote/AMZN260515C00270000/" TargetMode="External"/><Relationship Id="rId1152" Type="http://schemas.openxmlformats.org/officeDocument/2006/relationships/hyperlink" Target="https://finance.yahoo.com/quote/AMZN/options/?straddle=false&amp;strike=230&amp;type=all" TargetMode="External"/><Relationship Id="rId1597" Type="http://schemas.openxmlformats.org/officeDocument/2006/relationships/hyperlink" Target="https://finance.yahoo.com/quote/AMZN260227P00275000/" TargetMode="External"/><Relationship Id="rId2203" Type="http://schemas.openxmlformats.org/officeDocument/2006/relationships/hyperlink" Target="https://finance.yahoo.com/quote/AMZN260327P00150000/" TargetMode="External"/><Relationship Id="rId2410" Type="http://schemas.openxmlformats.org/officeDocument/2006/relationships/hyperlink" Target="https://finance.yahoo.com/quote/AMZN/options/?straddle=false&amp;strike=175&amp;type=all" TargetMode="External"/><Relationship Id="rId2648" Type="http://schemas.openxmlformats.org/officeDocument/2006/relationships/hyperlink" Target="https://finance.yahoo.com/quote/AMZN/options/?straddle=false&amp;strike=235&amp;type=all" TargetMode="External"/><Relationship Id="rId96" Type="http://schemas.openxmlformats.org/officeDocument/2006/relationships/hyperlink" Target="https://finance.yahoo.com/quote/AMZN/options/?straddle=false&amp;strike=295&amp;type=all" TargetMode="External"/><Relationship Id="rId827" Type="http://schemas.openxmlformats.org/officeDocument/2006/relationships/hyperlink" Target="https://finance.yahoo.com/quote/AMZN260515P00170000/" TargetMode="External"/><Relationship Id="rId1012" Type="http://schemas.openxmlformats.org/officeDocument/2006/relationships/hyperlink" Target="https://finance.yahoo.com/quote/AMZN/options/?straddle=false&amp;strike=130&amp;type=all" TargetMode="External"/><Relationship Id="rId1457" Type="http://schemas.openxmlformats.org/officeDocument/2006/relationships/hyperlink" Target="https://finance.yahoo.com/quote/AMZN260227C00222500/" TargetMode="External"/><Relationship Id="rId1664" Type="http://schemas.openxmlformats.org/officeDocument/2006/relationships/hyperlink" Target="https://finance.yahoo.com/quote/AMZN/options/?straddle=false&amp;strike=217.5&amp;type=all" TargetMode="External"/><Relationship Id="rId1871" Type="http://schemas.openxmlformats.org/officeDocument/2006/relationships/hyperlink" Target="https://finance.yahoo.com/quote/AMZN260318C00270000/" TargetMode="External"/><Relationship Id="rId2508" Type="http://schemas.openxmlformats.org/officeDocument/2006/relationships/hyperlink" Target="https://finance.yahoo.com/quote/AMZN/options/?straddle=false&amp;strike=187.5&amp;type=all" TargetMode="External"/><Relationship Id="rId1317" Type="http://schemas.openxmlformats.org/officeDocument/2006/relationships/hyperlink" Target="https://finance.yahoo.com/quote/AMZN260515P00145000/" TargetMode="External"/><Relationship Id="rId1524" Type="http://schemas.openxmlformats.org/officeDocument/2006/relationships/hyperlink" Target="https://finance.yahoo.com/quote/AMZN/options/?straddle=false&amp;strike=150&amp;type=all" TargetMode="External"/><Relationship Id="rId1731" Type="http://schemas.openxmlformats.org/officeDocument/2006/relationships/hyperlink" Target="https://finance.yahoo.com/quote/AMZN260306P00145000/" TargetMode="External"/><Relationship Id="rId1969" Type="http://schemas.openxmlformats.org/officeDocument/2006/relationships/hyperlink" Target="https://finance.yahoo.com/quote/AMZN260320P00140000/" TargetMode="External"/><Relationship Id="rId23" Type="http://schemas.openxmlformats.org/officeDocument/2006/relationships/hyperlink" Target="https://finance.yahoo.com/quote/AMZN260123C00180000/" TargetMode="External"/><Relationship Id="rId1829" Type="http://schemas.openxmlformats.org/officeDocument/2006/relationships/hyperlink" Target="https://finance.yahoo.com/quote/AMZN260318C00197500/" TargetMode="External"/><Relationship Id="rId2298" Type="http://schemas.openxmlformats.org/officeDocument/2006/relationships/hyperlink" Target="https://finance.yahoo.com/quote/AMZN/options/?straddle=false&amp;strike=175&amp;type=all" TargetMode="External"/><Relationship Id="rId172" Type="http://schemas.openxmlformats.org/officeDocument/2006/relationships/hyperlink" Target="https://finance.yahoo.com/quote/AMZN/options/?straddle=false&amp;strike=252.5&amp;type=all" TargetMode="External"/><Relationship Id="rId477" Type="http://schemas.openxmlformats.org/officeDocument/2006/relationships/hyperlink" Target="https://finance.yahoo.com/quote/AMZN260515C00295000/" TargetMode="External"/><Relationship Id="rId684" Type="http://schemas.openxmlformats.org/officeDocument/2006/relationships/hyperlink" Target="https://finance.yahoo.com/quote/AMZN/options/?straddle=false&amp;strike=310&amp;type=all" TargetMode="External"/><Relationship Id="rId2060" Type="http://schemas.openxmlformats.org/officeDocument/2006/relationships/hyperlink" Target="https://finance.yahoo.com/quote/AMZN/options/?straddle=false&amp;strike=315&amp;type=all" TargetMode="External"/><Relationship Id="rId2158" Type="http://schemas.openxmlformats.org/officeDocument/2006/relationships/hyperlink" Target="https://finance.yahoo.com/quote/AMZN/options/?straddle=false&amp;strike=250&amp;type=all" TargetMode="External"/><Relationship Id="rId2365" Type="http://schemas.openxmlformats.org/officeDocument/2006/relationships/hyperlink" Target="https://finance.yahoo.com/quote/AMZN260327C00280000/" TargetMode="External"/><Relationship Id="rId337" Type="http://schemas.openxmlformats.org/officeDocument/2006/relationships/hyperlink" Target="https://finance.yahoo.com/quote/AMZN260515P00195000/" TargetMode="External"/><Relationship Id="rId891" Type="http://schemas.openxmlformats.org/officeDocument/2006/relationships/hyperlink" Target="https://finance.yahoo.com/quote/AMZN260515P00330000/" TargetMode="External"/><Relationship Id="rId989" Type="http://schemas.openxmlformats.org/officeDocument/2006/relationships/hyperlink" Target="https://finance.yahoo.com/quote/AMZN260515C00325000/" TargetMode="External"/><Relationship Id="rId2018" Type="http://schemas.openxmlformats.org/officeDocument/2006/relationships/hyperlink" Target="https://finance.yahoo.com/quote/AMZN/options/?straddle=false&amp;strike=222.5&amp;type=all" TargetMode="External"/><Relationship Id="rId2572" Type="http://schemas.openxmlformats.org/officeDocument/2006/relationships/hyperlink" Target="https://finance.yahoo.com/quote/AMZN/options/?straddle=false&amp;strike=300&amp;type=all" TargetMode="External"/><Relationship Id="rId544" Type="http://schemas.openxmlformats.org/officeDocument/2006/relationships/hyperlink" Target="https://finance.yahoo.com/quote/AMZN/options/?straddle=false&amp;strike=210&amp;type=all" TargetMode="External"/><Relationship Id="rId751" Type="http://schemas.openxmlformats.org/officeDocument/2006/relationships/hyperlink" Target="https://finance.yahoo.com/quote/AMZN260515P00230000/" TargetMode="External"/><Relationship Id="rId849" Type="http://schemas.openxmlformats.org/officeDocument/2006/relationships/hyperlink" Target="https://finance.yahoo.com/quote/AMZN260515P00225000/" TargetMode="External"/><Relationship Id="rId1174" Type="http://schemas.openxmlformats.org/officeDocument/2006/relationships/hyperlink" Target="https://finance.yahoo.com/quote/AMZN/options/?straddle=false&amp;strike=285&amp;type=all" TargetMode="External"/><Relationship Id="rId1381" Type="http://schemas.openxmlformats.org/officeDocument/2006/relationships/hyperlink" Target="https://finance.yahoo.com/quote/AMZN260515P00305000/" TargetMode="External"/><Relationship Id="rId1479" Type="http://schemas.openxmlformats.org/officeDocument/2006/relationships/hyperlink" Target="https://finance.yahoo.com/quote/AMZN260227C00265000/" TargetMode="External"/><Relationship Id="rId1686" Type="http://schemas.openxmlformats.org/officeDocument/2006/relationships/hyperlink" Target="https://finance.yahoo.com/quote/AMZN/options/?straddle=false&amp;strike=255&amp;type=all" TargetMode="External"/><Relationship Id="rId2225" Type="http://schemas.openxmlformats.org/officeDocument/2006/relationships/hyperlink" Target="https://finance.yahoo.com/quote/AMZN260327P00190000/" TargetMode="External"/><Relationship Id="rId2432" Type="http://schemas.openxmlformats.org/officeDocument/2006/relationships/hyperlink" Target="https://finance.yahoo.com/quote/AMZN/options/?straddle=false&amp;strike=202.5&amp;type=all" TargetMode="External"/><Relationship Id="rId404" Type="http://schemas.openxmlformats.org/officeDocument/2006/relationships/hyperlink" Target="https://finance.yahoo.com/quote/AMZN/options/?straddle=false&amp;strike=110&amp;type=all" TargetMode="External"/><Relationship Id="rId611" Type="http://schemas.openxmlformats.org/officeDocument/2006/relationships/hyperlink" Target="https://finance.yahoo.com/quote/AMZN260515C00130000/" TargetMode="External"/><Relationship Id="rId1034" Type="http://schemas.openxmlformats.org/officeDocument/2006/relationships/hyperlink" Target="https://finance.yahoo.com/quote/AMZN/options/?straddle=false&amp;strike=185&amp;type=all" TargetMode="External"/><Relationship Id="rId1241" Type="http://schemas.openxmlformats.org/officeDocument/2006/relationships/hyperlink" Target="https://finance.yahoo.com/quote/AMZN260515C00205000/" TargetMode="External"/><Relationship Id="rId1339" Type="http://schemas.openxmlformats.org/officeDocument/2006/relationships/hyperlink" Target="https://finance.yahoo.com/quote/AMZN260515P00200000/" TargetMode="External"/><Relationship Id="rId1893" Type="http://schemas.openxmlformats.org/officeDocument/2006/relationships/hyperlink" Target="https://finance.yahoo.com/quote/AMZN260318P00172500/" TargetMode="External"/><Relationship Id="rId709" Type="http://schemas.openxmlformats.org/officeDocument/2006/relationships/hyperlink" Target="https://finance.yahoo.com/quote/AMZN260515P00125000/" TargetMode="External"/><Relationship Id="rId916" Type="http://schemas.openxmlformats.org/officeDocument/2006/relationships/hyperlink" Target="https://finance.yahoo.com/quote/AMZN/options/?straddle=false&amp;strike=140&amp;type=all" TargetMode="External"/><Relationship Id="rId1101" Type="http://schemas.openxmlformats.org/officeDocument/2006/relationships/hyperlink" Target="https://finance.yahoo.com/quote/AMZN260515P00105000/" TargetMode="External"/><Relationship Id="rId1546" Type="http://schemas.openxmlformats.org/officeDocument/2006/relationships/hyperlink" Target="https://finance.yahoo.com/quote/AMZN/options/?straddle=false&amp;strike=187.5&amp;type=all" TargetMode="External"/><Relationship Id="rId1753" Type="http://schemas.openxmlformats.org/officeDocument/2006/relationships/hyperlink" Target="https://finance.yahoo.com/quote/AMZN260306P00185000/" TargetMode="External"/><Relationship Id="rId1960" Type="http://schemas.openxmlformats.org/officeDocument/2006/relationships/hyperlink" Target="https://finance.yahoo.com/quote/AMZN/options/?straddle=false&amp;strike=115&amp;type=all" TargetMode="External"/><Relationship Id="rId45" Type="http://schemas.openxmlformats.org/officeDocument/2006/relationships/hyperlink" Target="https://finance.yahoo.com/quote/AMZN260123C00220000/" TargetMode="External"/><Relationship Id="rId1406" Type="http://schemas.openxmlformats.org/officeDocument/2006/relationships/hyperlink" Target="https://finance.yahoo.com/quote/AMZN/options/?straddle=false&amp;strike=140&amp;type=all" TargetMode="External"/><Relationship Id="rId1613" Type="http://schemas.openxmlformats.org/officeDocument/2006/relationships/hyperlink" Target="https://finance.yahoo.com/quote/AMZN260306C00140000/" TargetMode="External"/><Relationship Id="rId1820" Type="http://schemas.openxmlformats.org/officeDocument/2006/relationships/hyperlink" Target="https://finance.yahoo.com/quote/AMZN/options/?straddle=false&amp;strike=175&amp;type=all" TargetMode="External"/><Relationship Id="rId194" Type="http://schemas.openxmlformats.org/officeDocument/2006/relationships/hyperlink" Target="https://finance.yahoo.com/quote/AMZN/options/?straddle=false&amp;strike=340&amp;type=all" TargetMode="External"/><Relationship Id="rId1918" Type="http://schemas.openxmlformats.org/officeDocument/2006/relationships/hyperlink" Target="https://finance.yahoo.com/quote/AMZN/options/?straddle=false&amp;strike=202.5&amp;type=all" TargetMode="External"/><Relationship Id="rId2082" Type="http://schemas.openxmlformats.org/officeDocument/2006/relationships/hyperlink" Target="https://finance.yahoo.com/quote/AMZN/options/?straddle=false&amp;strike=125&amp;type=all" TargetMode="External"/><Relationship Id="rId261" Type="http://schemas.openxmlformats.org/officeDocument/2006/relationships/hyperlink" Target="https://finance.yahoo.com/quote/AMZN260515C00255000/" TargetMode="External"/><Relationship Id="rId499" Type="http://schemas.openxmlformats.org/officeDocument/2006/relationships/hyperlink" Target="https://finance.yahoo.com/quote/AMZN260515C00370000/" TargetMode="External"/><Relationship Id="rId2387" Type="http://schemas.openxmlformats.org/officeDocument/2006/relationships/hyperlink" Target="https://finance.yahoo.com/quote/AMZN260327C00335000/" TargetMode="External"/><Relationship Id="rId2594" Type="http://schemas.openxmlformats.org/officeDocument/2006/relationships/hyperlink" Target="https://finance.yahoo.com/quote/AMZN/options/?straddle=false&amp;strike=165&amp;type=all" TargetMode="External"/><Relationship Id="rId359" Type="http://schemas.openxmlformats.org/officeDocument/2006/relationships/hyperlink" Target="https://finance.yahoo.com/quote/AMZN260515P00250000/" TargetMode="External"/><Relationship Id="rId566" Type="http://schemas.openxmlformats.org/officeDocument/2006/relationships/hyperlink" Target="https://finance.yahoo.com/quote/AMZN/options/?straddle=false&amp;strike=265&amp;type=all" TargetMode="External"/><Relationship Id="rId773" Type="http://schemas.openxmlformats.org/officeDocument/2006/relationships/hyperlink" Target="https://finance.yahoo.com/quote/AMZN260515P00285000/" TargetMode="External"/><Relationship Id="rId1196" Type="http://schemas.openxmlformats.org/officeDocument/2006/relationships/hyperlink" Target="https://finance.yahoo.com/quote/AMZN/options/?straddle=false&amp;strike=350&amp;type=all" TargetMode="External"/><Relationship Id="rId2247" Type="http://schemas.openxmlformats.org/officeDocument/2006/relationships/hyperlink" Target="https://finance.yahoo.com/quote/AMZN260327P00217500/" TargetMode="External"/><Relationship Id="rId2454" Type="http://schemas.openxmlformats.org/officeDocument/2006/relationships/hyperlink" Target="https://finance.yahoo.com/quote/AMZN/options/?straddle=false&amp;strike=230&amp;type=all" TargetMode="External"/><Relationship Id="rId121" Type="http://schemas.openxmlformats.org/officeDocument/2006/relationships/hyperlink" Target="https://finance.yahoo.com/quote/AMZN260123P00175000/" TargetMode="External"/><Relationship Id="rId219" Type="http://schemas.openxmlformats.org/officeDocument/2006/relationships/hyperlink" Target="https://finance.yahoo.com/quote/AMZN260515C00150000/" TargetMode="External"/><Relationship Id="rId426" Type="http://schemas.openxmlformats.org/officeDocument/2006/relationships/hyperlink" Target="https://finance.yahoo.com/quote/AMZN/options/?straddle=false&amp;strike=165&amp;type=all" TargetMode="External"/><Relationship Id="rId633" Type="http://schemas.openxmlformats.org/officeDocument/2006/relationships/hyperlink" Target="https://finance.yahoo.com/quote/AMZN260515C00185000/" TargetMode="External"/><Relationship Id="rId980" Type="http://schemas.openxmlformats.org/officeDocument/2006/relationships/hyperlink" Target="https://finance.yahoo.com/quote/AMZN/options/?straddle=false&amp;strike=300&amp;type=all" TargetMode="External"/><Relationship Id="rId1056" Type="http://schemas.openxmlformats.org/officeDocument/2006/relationships/hyperlink" Target="https://finance.yahoo.com/quote/AMZN/options/?straddle=false&amp;strike=240&amp;type=all" TargetMode="External"/><Relationship Id="rId1263" Type="http://schemas.openxmlformats.org/officeDocument/2006/relationships/hyperlink" Target="https://finance.yahoo.com/quote/AMZN260515C00260000/" TargetMode="External"/><Relationship Id="rId2107" Type="http://schemas.openxmlformats.org/officeDocument/2006/relationships/hyperlink" Target="https://finance.yahoo.com/quote/AMZN260327C00182500/" TargetMode="External"/><Relationship Id="rId2314" Type="http://schemas.openxmlformats.org/officeDocument/2006/relationships/hyperlink" Target="https://finance.yahoo.com/quote/AMZN/options/?straddle=false&amp;strike=195&amp;type=all" TargetMode="External"/><Relationship Id="rId840" Type="http://schemas.openxmlformats.org/officeDocument/2006/relationships/hyperlink" Target="https://finance.yahoo.com/quote/AMZN/options/?straddle=false&amp;strike=200&amp;type=all" TargetMode="External"/><Relationship Id="rId938" Type="http://schemas.openxmlformats.org/officeDocument/2006/relationships/hyperlink" Target="https://finance.yahoo.com/quote/AMZN/options/?straddle=false&amp;strike=195&amp;type=all" TargetMode="External"/><Relationship Id="rId1470" Type="http://schemas.openxmlformats.org/officeDocument/2006/relationships/hyperlink" Target="https://finance.yahoo.com/quote/AMZN/options/?straddle=false&amp;strike=240&amp;type=all" TargetMode="External"/><Relationship Id="rId1568" Type="http://schemas.openxmlformats.org/officeDocument/2006/relationships/hyperlink" Target="https://finance.yahoo.com/quote/AMZN/options/?straddle=false&amp;strike=215&amp;type=all" TargetMode="External"/><Relationship Id="rId1775" Type="http://schemas.openxmlformats.org/officeDocument/2006/relationships/hyperlink" Target="https://finance.yahoo.com/quote/AMZN260306P00212500/" TargetMode="External"/><Relationship Id="rId2521" Type="http://schemas.openxmlformats.org/officeDocument/2006/relationships/hyperlink" Target="https://finance.yahoo.com/quote/AMZN260410C00205000/" TargetMode="External"/><Relationship Id="rId2619" Type="http://schemas.openxmlformats.org/officeDocument/2006/relationships/hyperlink" Target="https://finance.yahoo.com/quote/AMZN260410P00200000/" TargetMode="External"/><Relationship Id="rId67" Type="http://schemas.openxmlformats.org/officeDocument/2006/relationships/hyperlink" Target="https://finance.yahoo.com/quote/AMZN260123C00247500/" TargetMode="External"/><Relationship Id="rId700" Type="http://schemas.openxmlformats.org/officeDocument/2006/relationships/hyperlink" Target="https://finance.yahoo.com/quote/AMZN/options/?straddle=false&amp;strike=370&amp;type=all" TargetMode="External"/><Relationship Id="rId1123" Type="http://schemas.openxmlformats.org/officeDocument/2006/relationships/hyperlink" Target="https://finance.yahoo.com/quote/AMZN260515P00160000/" TargetMode="External"/><Relationship Id="rId1330" Type="http://schemas.openxmlformats.org/officeDocument/2006/relationships/hyperlink" Target="https://finance.yahoo.com/quote/AMZN/options/?straddle=false&amp;strike=175&amp;type=all" TargetMode="External"/><Relationship Id="rId1428" Type="http://schemas.openxmlformats.org/officeDocument/2006/relationships/hyperlink" Target="https://finance.yahoo.com/quote/AMZN/options/?straddle=false&amp;strike=185&amp;type=all" TargetMode="External"/><Relationship Id="rId1635" Type="http://schemas.openxmlformats.org/officeDocument/2006/relationships/hyperlink" Target="https://finance.yahoo.com/quote/AMZN260306C00182500/" TargetMode="External"/><Relationship Id="rId1982" Type="http://schemas.openxmlformats.org/officeDocument/2006/relationships/hyperlink" Target="https://finance.yahoo.com/quote/AMZN/options/?straddle=false&amp;strike=170&amp;type=all" TargetMode="External"/><Relationship Id="rId1842" Type="http://schemas.openxmlformats.org/officeDocument/2006/relationships/hyperlink" Target="https://finance.yahoo.com/quote/AMZN/options/?straddle=false&amp;strike=212.5&amp;type=all" TargetMode="External"/><Relationship Id="rId1702" Type="http://schemas.openxmlformats.org/officeDocument/2006/relationships/hyperlink" Target="https://finance.yahoo.com/quote/AMZN/options/?straddle=false&amp;strike=295&amp;type=all" TargetMode="External"/><Relationship Id="rId283" Type="http://schemas.openxmlformats.org/officeDocument/2006/relationships/hyperlink" Target="https://finance.yahoo.com/quote/AMZN260515C00310000/" TargetMode="External"/><Relationship Id="rId490" Type="http://schemas.openxmlformats.org/officeDocument/2006/relationships/hyperlink" Target="https://finance.yahoo.com/quote/AMZN/options/?straddle=false&amp;strike=325&amp;type=all" TargetMode="External"/><Relationship Id="rId2171" Type="http://schemas.openxmlformats.org/officeDocument/2006/relationships/hyperlink" Target="https://finance.yahoo.com/quote/AMZN260327C00285000/" TargetMode="External"/><Relationship Id="rId143" Type="http://schemas.openxmlformats.org/officeDocument/2006/relationships/hyperlink" Target="https://finance.yahoo.com/quote/AMZN260123P00217500/" TargetMode="External"/><Relationship Id="rId350" Type="http://schemas.openxmlformats.org/officeDocument/2006/relationships/hyperlink" Target="https://finance.yahoo.com/quote/AMZN/options/?straddle=false&amp;strike=225&amp;type=all" TargetMode="External"/><Relationship Id="rId588" Type="http://schemas.openxmlformats.org/officeDocument/2006/relationships/hyperlink" Target="https://finance.yahoo.com/quote/AMZN/options/?straddle=false&amp;strike=320&amp;type=all" TargetMode="External"/><Relationship Id="rId795" Type="http://schemas.openxmlformats.org/officeDocument/2006/relationships/hyperlink" Target="https://finance.yahoo.com/quote/AMZN260515P00350000/" TargetMode="External"/><Relationship Id="rId2031" Type="http://schemas.openxmlformats.org/officeDocument/2006/relationships/hyperlink" Target="https://finance.yahoo.com/quote/AMZN260320P00245000/" TargetMode="External"/><Relationship Id="rId2269" Type="http://schemas.openxmlformats.org/officeDocument/2006/relationships/hyperlink" Target="https://finance.yahoo.com/quote/AMZN260327P00250000/" TargetMode="External"/><Relationship Id="rId2476" Type="http://schemas.openxmlformats.org/officeDocument/2006/relationships/hyperlink" Target="https://finance.yahoo.com/quote/AMZN/options/?straddle=false&amp;strike=125&amp;type=all" TargetMode="External"/><Relationship Id="rId9" Type="http://schemas.openxmlformats.org/officeDocument/2006/relationships/hyperlink" Target="https://finance.yahoo.com/quote/AMZN260123C00145000/" TargetMode="External"/><Relationship Id="rId210" Type="http://schemas.openxmlformats.org/officeDocument/2006/relationships/hyperlink" Target="https://finance.yahoo.com/quote/AMZN/options/?straddle=false&amp;strike=125&amp;type=all" TargetMode="External"/><Relationship Id="rId448" Type="http://schemas.openxmlformats.org/officeDocument/2006/relationships/hyperlink" Target="https://finance.yahoo.com/quote/AMZN/options/?straddle=false&amp;strike=220&amp;type=all" TargetMode="External"/><Relationship Id="rId655" Type="http://schemas.openxmlformats.org/officeDocument/2006/relationships/hyperlink" Target="https://finance.yahoo.com/quote/AMZN260515C00240000/" TargetMode="External"/><Relationship Id="rId862" Type="http://schemas.openxmlformats.org/officeDocument/2006/relationships/hyperlink" Target="https://finance.yahoo.com/quote/AMZN/options/?straddle=false&amp;strike=255&amp;type=all" TargetMode="External"/><Relationship Id="rId1078" Type="http://schemas.openxmlformats.org/officeDocument/2006/relationships/hyperlink" Target="https://finance.yahoo.com/quote/AMZN/options/?straddle=false&amp;strike=295&amp;type=all" TargetMode="External"/><Relationship Id="rId1285" Type="http://schemas.openxmlformats.org/officeDocument/2006/relationships/hyperlink" Target="https://finance.yahoo.com/quote/AMZN260515C00315000/" TargetMode="External"/><Relationship Id="rId1492" Type="http://schemas.openxmlformats.org/officeDocument/2006/relationships/hyperlink" Target="https://finance.yahoo.com/quote/AMZN/options/?straddle=false&amp;strike=295&amp;type=all" TargetMode="External"/><Relationship Id="rId2129" Type="http://schemas.openxmlformats.org/officeDocument/2006/relationships/hyperlink" Target="https://finance.yahoo.com/quote/AMZN260327C00210000/" TargetMode="External"/><Relationship Id="rId2336" Type="http://schemas.openxmlformats.org/officeDocument/2006/relationships/hyperlink" Target="https://finance.yahoo.com/quote/AMZN/options/?straddle=false&amp;strike=222.5&amp;type=all" TargetMode="External"/><Relationship Id="rId2543" Type="http://schemas.openxmlformats.org/officeDocument/2006/relationships/hyperlink" Target="https://finance.yahoo.com/quote/AMZN260410C00232500/" TargetMode="External"/><Relationship Id="rId308" Type="http://schemas.openxmlformats.org/officeDocument/2006/relationships/hyperlink" Target="https://finance.yahoo.com/quote/AMZN/options/?straddle=false&amp;strike=120&amp;type=all" TargetMode="External"/><Relationship Id="rId515" Type="http://schemas.openxmlformats.org/officeDocument/2006/relationships/hyperlink" Target="https://finance.yahoo.com/quote/AMZN260515P00140000/" TargetMode="External"/><Relationship Id="rId722" Type="http://schemas.openxmlformats.org/officeDocument/2006/relationships/hyperlink" Target="https://finance.yahoo.com/quote/AMZN/options/?straddle=false&amp;strike=155&amp;type=all" TargetMode="External"/><Relationship Id="rId1145" Type="http://schemas.openxmlformats.org/officeDocument/2006/relationships/hyperlink" Target="https://finance.yahoo.com/quote/AMZN260515P00215000/" TargetMode="External"/><Relationship Id="rId1352" Type="http://schemas.openxmlformats.org/officeDocument/2006/relationships/hyperlink" Target="https://finance.yahoo.com/quote/AMZN/options/?straddle=false&amp;strike=230&amp;type=all" TargetMode="External"/><Relationship Id="rId1797" Type="http://schemas.openxmlformats.org/officeDocument/2006/relationships/hyperlink" Target="https://finance.yahoo.com/quote/AMZN260306P00250000/" TargetMode="External"/><Relationship Id="rId2403" Type="http://schemas.openxmlformats.org/officeDocument/2006/relationships/hyperlink" Target="https://finance.yahoo.com/quote/AMZN260327P00160000/" TargetMode="External"/><Relationship Id="rId89" Type="http://schemas.openxmlformats.org/officeDocument/2006/relationships/hyperlink" Target="https://finance.yahoo.com/quote/AMZN260123C00280000/" TargetMode="External"/><Relationship Id="rId1005" Type="http://schemas.openxmlformats.org/officeDocument/2006/relationships/hyperlink" Target="https://finance.yahoo.com/quote/AMZN260515C00115000/" TargetMode="External"/><Relationship Id="rId1212" Type="http://schemas.openxmlformats.org/officeDocument/2006/relationships/hyperlink" Target="https://finance.yahoo.com/quote/AMZN/options/?straddle=false&amp;strike=130&amp;type=all" TargetMode="External"/><Relationship Id="rId1657" Type="http://schemas.openxmlformats.org/officeDocument/2006/relationships/hyperlink" Target="https://finance.yahoo.com/quote/AMZN260306C00210000/" TargetMode="External"/><Relationship Id="rId1864" Type="http://schemas.openxmlformats.org/officeDocument/2006/relationships/hyperlink" Target="https://finance.yahoo.com/quote/AMZN/options/?straddle=false&amp;strike=245&amp;type=all" TargetMode="External"/><Relationship Id="rId2610" Type="http://schemas.openxmlformats.org/officeDocument/2006/relationships/hyperlink" Target="https://finance.yahoo.com/quote/AMZN/options/?straddle=false&amp;strike=187.5&amp;type=all" TargetMode="External"/><Relationship Id="rId1517" Type="http://schemas.openxmlformats.org/officeDocument/2006/relationships/hyperlink" Target="https://finance.yahoo.com/quote/AMZN260227P00135000/" TargetMode="External"/><Relationship Id="rId1724" Type="http://schemas.openxmlformats.org/officeDocument/2006/relationships/hyperlink" Target="https://finance.yahoo.com/quote/AMZN/options/?straddle=false&amp;strike=125&amp;type=all" TargetMode="External"/><Relationship Id="rId16" Type="http://schemas.openxmlformats.org/officeDocument/2006/relationships/hyperlink" Target="https://finance.yahoo.com/quote/AMZN/options/?straddle=false&amp;strike=160&amp;type=all" TargetMode="External"/><Relationship Id="rId1931" Type="http://schemas.openxmlformats.org/officeDocument/2006/relationships/hyperlink" Target="https://finance.yahoo.com/quote/AMZN260318P00220000/" TargetMode="External"/><Relationship Id="rId2193" Type="http://schemas.openxmlformats.org/officeDocument/2006/relationships/hyperlink" Target="https://finance.yahoo.com/quote/AMZN260327P00125000/" TargetMode="External"/><Relationship Id="rId2498" Type="http://schemas.openxmlformats.org/officeDocument/2006/relationships/hyperlink" Target="https://finance.yahoo.com/quote/AMZN/options/?straddle=false&amp;strike=175&amp;type=all" TargetMode="External"/><Relationship Id="rId165" Type="http://schemas.openxmlformats.org/officeDocument/2006/relationships/hyperlink" Target="https://finance.yahoo.com/quote/AMZN260123P00245000/" TargetMode="External"/><Relationship Id="rId372" Type="http://schemas.openxmlformats.org/officeDocument/2006/relationships/hyperlink" Target="https://finance.yahoo.com/quote/AMZN/options/?straddle=false&amp;strike=280&amp;type=all" TargetMode="External"/><Relationship Id="rId677" Type="http://schemas.openxmlformats.org/officeDocument/2006/relationships/hyperlink" Target="https://finance.yahoo.com/quote/AMZN260515C00295000/" TargetMode="External"/><Relationship Id="rId2053" Type="http://schemas.openxmlformats.org/officeDocument/2006/relationships/hyperlink" Target="https://finance.yahoo.com/quote/AMZN260320P00300000/" TargetMode="External"/><Relationship Id="rId2260" Type="http://schemas.openxmlformats.org/officeDocument/2006/relationships/hyperlink" Target="https://finance.yahoo.com/quote/AMZN/options/?straddle=false&amp;strike=232.5&amp;type=all" TargetMode="External"/><Relationship Id="rId2358" Type="http://schemas.openxmlformats.org/officeDocument/2006/relationships/hyperlink" Target="https://finance.yahoo.com/quote/AMZN/options/?straddle=false&amp;strike=260&amp;type=all" TargetMode="External"/><Relationship Id="rId232" Type="http://schemas.openxmlformats.org/officeDocument/2006/relationships/hyperlink" Target="https://finance.yahoo.com/quote/AMZN/options/?straddle=false&amp;strike=180&amp;type=all" TargetMode="External"/><Relationship Id="rId884" Type="http://schemas.openxmlformats.org/officeDocument/2006/relationships/hyperlink" Target="https://finance.yahoo.com/quote/AMZN/options/?straddle=false&amp;strike=310&amp;type=all" TargetMode="External"/><Relationship Id="rId2120" Type="http://schemas.openxmlformats.org/officeDocument/2006/relationships/hyperlink" Target="https://finance.yahoo.com/quote/AMZN/options/?straddle=false&amp;strike=197.5&amp;type=all" TargetMode="External"/><Relationship Id="rId2565" Type="http://schemas.openxmlformats.org/officeDocument/2006/relationships/hyperlink" Target="https://finance.yahoo.com/quote/AMZN260410C00285000/" TargetMode="External"/><Relationship Id="rId537" Type="http://schemas.openxmlformats.org/officeDocument/2006/relationships/hyperlink" Target="https://finance.yahoo.com/quote/AMZN260515P00195000/" TargetMode="External"/><Relationship Id="rId744" Type="http://schemas.openxmlformats.org/officeDocument/2006/relationships/hyperlink" Target="https://finance.yahoo.com/quote/AMZN/options/?straddle=false&amp;strike=210&amp;type=all" TargetMode="External"/><Relationship Id="rId951" Type="http://schemas.openxmlformats.org/officeDocument/2006/relationships/hyperlink" Target="https://finance.yahoo.com/quote/AMZN260515C00230000/" TargetMode="External"/><Relationship Id="rId1167" Type="http://schemas.openxmlformats.org/officeDocument/2006/relationships/hyperlink" Target="https://finance.yahoo.com/quote/AMZN260515P00270000/" TargetMode="External"/><Relationship Id="rId1374" Type="http://schemas.openxmlformats.org/officeDocument/2006/relationships/hyperlink" Target="https://finance.yahoo.com/quote/AMZN/options/?straddle=false&amp;strike=285&amp;type=all" TargetMode="External"/><Relationship Id="rId1581" Type="http://schemas.openxmlformats.org/officeDocument/2006/relationships/hyperlink" Target="https://finance.yahoo.com/quote/AMZN260227P00235000/" TargetMode="External"/><Relationship Id="rId1679" Type="http://schemas.openxmlformats.org/officeDocument/2006/relationships/hyperlink" Target="https://finance.yahoo.com/quote/AMZN260306C00240000/" TargetMode="External"/><Relationship Id="rId2218" Type="http://schemas.openxmlformats.org/officeDocument/2006/relationships/hyperlink" Target="https://finance.yahoo.com/quote/AMZN/options/?straddle=false&amp;strike=180&amp;type=all" TargetMode="External"/><Relationship Id="rId2425" Type="http://schemas.openxmlformats.org/officeDocument/2006/relationships/hyperlink" Target="https://finance.yahoo.com/quote/AMZN260327P00195000/" TargetMode="External"/><Relationship Id="rId2632" Type="http://schemas.openxmlformats.org/officeDocument/2006/relationships/hyperlink" Target="https://finance.yahoo.com/quote/AMZN/options/?straddle=false&amp;strike=215&amp;type=all" TargetMode="External"/><Relationship Id="rId80" Type="http://schemas.openxmlformats.org/officeDocument/2006/relationships/hyperlink" Target="https://finance.yahoo.com/quote/AMZN/options/?straddle=false&amp;strike=262.5&amp;type=all" TargetMode="External"/><Relationship Id="rId604" Type="http://schemas.openxmlformats.org/officeDocument/2006/relationships/hyperlink" Target="https://finance.yahoo.com/quote/AMZN/options/?straddle=false&amp;strike=110&amp;type=all" TargetMode="External"/><Relationship Id="rId811" Type="http://schemas.openxmlformats.org/officeDocument/2006/relationships/hyperlink" Target="https://finance.yahoo.com/quote/AMZN260515P00130000/" TargetMode="External"/><Relationship Id="rId1027" Type="http://schemas.openxmlformats.org/officeDocument/2006/relationships/hyperlink" Target="https://finance.yahoo.com/quote/AMZN260515C00170000/" TargetMode="External"/><Relationship Id="rId1234" Type="http://schemas.openxmlformats.org/officeDocument/2006/relationships/hyperlink" Target="https://finance.yahoo.com/quote/AMZN/options/?straddle=false&amp;strike=185&amp;type=all" TargetMode="External"/><Relationship Id="rId1441" Type="http://schemas.openxmlformats.org/officeDocument/2006/relationships/hyperlink" Target="https://finance.yahoo.com/quote/AMZN260227C00202500/" TargetMode="External"/><Relationship Id="rId1886" Type="http://schemas.openxmlformats.org/officeDocument/2006/relationships/hyperlink" Target="https://finance.yahoo.com/quote/AMZN/options/?straddle=false&amp;strike=160&amp;type=all" TargetMode="External"/><Relationship Id="rId909" Type="http://schemas.openxmlformats.org/officeDocument/2006/relationships/hyperlink" Target="https://finance.yahoo.com/quote/AMZN260515C00125000/" TargetMode="External"/><Relationship Id="rId1301" Type="http://schemas.openxmlformats.org/officeDocument/2006/relationships/hyperlink" Target="https://finance.yahoo.com/quote/AMZN260515P00105000/" TargetMode="External"/><Relationship Id="rId1539" Type="http://schemas.openxmlformats.org/officeDocument/2006/relationships/hyperlink" Target="https://finance.yahoo.com/quote/AMZN260227P00180000/" TargetMode="External"/><Relationship Id="rId1746" Type="http://schemas.openxmlformats.org/officeDocument/2006/relationships/hyperlink" Target="https://finance.yahoo.com/quote/AMZN/options/?straddle=false&amp;strike=175&amp;type=all" TargetMode="External"/><Relationship Id="rId1953" Type="http://schemas.openxmlformats.org/officeDocument/2006/relationships/hyperlink" Target="https://finance.yahoo.com/quote/AMZN260320P00100000/" TargetMode="External"/><Relationship Id="rId38" Type="http://schemas.openxmlformats.org/officeDocument/2006/relationships/hyperlink" Target="https://finance.yahoo.com/quote/AMZN/options/?straddle=false&amp;strike=210&amp;type=all" TargetMode="External"/><Relationship Id="rId1606" Type="http://schemas.openxmlformats.org/officeDocument/2006/relationships/hyperlink" Target="https://finance.yahoo.com/quote/AMZN/options/?straddle=false&amp;strike=315&amp;type=all" TargetMode="External"/><Relationship Id="rId1813" Type="http://schemas.openxmlformats.org/officeDocument/2006/relationships/hyperlink" Target="https://finance.yahoo.com/quote/AMZN260306P00310000/" TargetMode="External"/><Relationship Id="rId187" Type="http://schemas.openxmlformats.org/officeDocument/2006/relationships/hyperlink" Target="https://finance.yahoo.com/quote/AMZN260123P00290000/" TargetMode="External"/><Relationship Id="rId394" Type="http://schemas.openxmlformats.org/officeDocument/2006/relationships/hyperlink" Target="https://finance.yahoo.com/quote/AMZN/options/?straddle=false&amp;strike=340&amp;type=all" TargetMode="External"/><Relationship Id="rId2075" Type="http://schemas.openxmlformats.org/officeDocument/2006/relationships/hyperlink" Target="https://finance.yahoo.com/quote/AMZN260320P00355000/" TargetMode="External"/><Relationship Id="rId2282" Type="http://schemas.openxmlformats.org/officeDocument/2006/relationships/hyperlink" Target="https://finance.yahoo.com/quote/AMZN/options/?straddle=false&amp;strike=135&amp;type=all" TargetMode="External"/><Relationship Id="rId254" Type="http://schemas.openxmlformats.org/officeDocument/2006/relationships/hyperlink" Target="https://finance.yahoo.com/quote/AMZN/options/?straddle=false&amp;strike=235&amp;type=all" TargetMode="External"/><Relationship Id="rId699" Type="http://schemas.openxmlformats.org/officeDocument/2006/relationships/hyperlink" Target="https://finance.yahoo.com/quote/AMZN260515C00370000/" TargetMode="External"/><Relationship Id="rId1091" Type="http://schemas.openxmlformats.org/officeDocument/2006/relationships/hyperlink" Target="https://finance.yahoo.com/quote/AMZN260515C00330000/" TargetMode="External"/><Relationship Id="rId2587" Type="http://schemas.openxmlformats.org/officeDocument/2006/relationships/hyperlink" Target="https://finance.yahoo.com/quote/AMZN260410P00150000/" TargetMode="External"/><Relationship Id="rId114" Type="http://schemas.openxmlformats.org/officeDocument/2006/relationships/hyperlink" Target="https://finance.yahoo.com/quote/AMZN/options/?straddle=false&amp;strike=155&amp;type=all" TargetMode="External"/><Relationship Id="rId461" Type="http://schemas.openxmlformats.org/officeDocument/2006/relationships/hyperlink" Target="https://finance.yahoo.com/quote/AMZN260515C00255000/" TargetMode="External"/><Relationship Id="rId559" Type="http://schemas.openxmlformats.org/officeDocument/2006/relationships/hyperlink" Target="https://finance.yahoo.com/quote/AMZN260515P00250000/" TargetMode="External"/><Relationship Id="rId766" Type="http://schemas.openxmlformats.org/officeDocument/2006/relationships/hyperlink" Target="https://finance.yahoo.com/quote/AMZN/options/?straddle=false&amp;strike=265&amp;type=all" TargetMode="External"/><Relationship Id="rId1189" Type="http://schemas.openxmlformats.org/officeDocument/2006/relationships/hyperlink" Target="https://finance.yahoo.com/quote/AMZN260515P00325000/" TargetMode="External"/><Relationship Id="rId1396" Type="http://schemas.openxmlformats.org/officeDocument/2006/relationships/hyperlink" Target="https://finance.yahoo.com/quote/AMZN/options/?straddle=false&amp;strike=350&amp;type=all" TargetMode="External"/><Relationship Id="rId2142" Type="http://schemas.openxmlformats.org/officeDocument/2006/relationships/hyperlink" Target="https://finance.yahoo.com/quote/AMZN/options/?straddle=false&amp;strike=225&amp;type=all" TargetMode="External"/><Relationship Id="rId2447" Type="http://schemas.openxmlformats.org/officeDocument/2006/relationships/hyperlink" Target="https://finance.yahoo.com/quote/AMZN260327P00222500/" TargetMode="External"/><Relationship Id="rId321" Type="http://schemas.openxmlformats.org/officeDocument/2006/relationships/hyperlink" Target="https://finance.yahoo.com/quote/AMZN260515P00155000/" TargetMode="External"/><Relationship Id="rId419" Type="http://schemas.openxmlformats.org/officeDocument/2006/relationships/hyperlink" Target="https://finance.yahoo.com/quote/AMZN260515C00150000/" TargetMode="External"/><Relationship Id="rId626" Type="http://schemas.openxmlformats.org/officeDocument/2006/relationships/hyperlink" Target="https://finance.yahoo.com/quote/AMZN/options/?straddle=false&amp;strike=165&amp;type=all" TargetMode="External"/><Relationship Id="rId973" Type="http://schemas.openxmlformats.org/officeDocument/2006/relationships/hyperlink" Target="https://finance.yahoo.com/quote/AMZN260515C00285000/" TargetMode="External"/><Relationship Id="rId1049" Type="http://schemas.openxmlformats.org/officeDocument/2006/relationships/hyperlink" Target="https://finance.yahoo.com/quote/AMZN260515C00225000/" TargetMode="External"/><Relationship Id="rId1256" Type="http://schemas.openxmlformats.org/officeDocument/2006/relationships/hyperlink" Target="https://finance.yahoo.com/quote/AMZN/options/?straddle=false&amp;strike=240&amp;type=all" TargetMode="External"/><Relationship Id="rId2002" Type="http://schemas.openxmlformats.org/officeDocument/2006/relationships/hyperlink" Target="https://finance.yahoo.com/quote/AMZN/options/?straddle=false&amp;strike=202.5&amp;type=all" TargetMode="External"/><Relationship Id="rId2307" Type="http://schemas.openxmlformats.org/officeDocument/2006/relationships/hyperlink" Target="https://finance.yahoo.com/quote/AMZN260327C00187500/" TargetMode="External"/><Relationship Id="rId2654" Type="http://schemas.openxmlformats.org/officeDocument/2006/relationships/hyperlink" Target="https://finance.yahoo.com/quote/AMZN/options/?straddle=false&amp;strike=250&amp;type=all" TargetMode="External"/><Relationship Id="rId833" Type="http://schemas.openxmlformats.org/officeDocument/2006/relationships/hyperlink" Target="https://finance.yahoo.com/quote/AMZN260515P00185000/" TargetMode="External"/><Relationship Id="rId1116" Type="http://schemas.openxmlformats.org/officeDocument/2006/relationships/hyperlink" Target="https://finance.yahoo.com/quote/AMZN/options/?straddle=false&amp;strike=140&amp;type=all" TargetMode="External"/><Relationship Id="rId1463" Type="http://schemas.openxmlformats.org/officeDocument/2006/relationships/hyperlink" Target="https://finance.yahoo.com/quote/AMZN260227C00230000/" TargetMode="External"/><Relationship Id="rId1670" Type="http://schemas.openxmlformats.org/officeDocument/2006/relationships/hyperlink" Target="https://finance.yahoo.com/quote/AMZN/options/?straddle=false&amp;strike=225&amp;type=all" TargetMode="External"/><Relationship Id="rId1768" Type="http://schemas.openxmlformats.org/officeDocument/2006/relationships/hyperlink" Target="https://finance.yahoo.com/quote/AMZN/options/?straddle=false&amp;strike=202.5&amp;type=all" TargetMode="External"/><Relationship Id="rId2514" Type="http://schemas.openxmlformats.org/officeDocument/2006/relationships/hyperlink" Target="https://finance.yahoo.com/quote/AMZN/options/?straddle=false&amp;strike=195&amp;type=all" TargetMode="External"/><Relationship Id="rId900" Type="http://schemas.openxmlformats.org/officeDocument/2006/relationships/hyperlink" Target="https://finance.yahoo.com/quote/AMZN/options/?straddle=false&amp;strike=370&amp;type=all" TargetMode="External"/><Relationship Id="rId1323" Type="http://schemas.openxmlformats.org/officeDocument/2006/relationships/hyperlink" Target="https://finance.yahoo.com/quote/AMZN260515P00160000/" TargetMode="External"/><Relationship Id="rId1530" Type="http://schemas.openxmlformats.org/officeDocument/2006/relationships/hyperlink" Target="https://finance.yahoo.com/quote/AMZN/options/?straddle=false&amp;strike=165&amp;type=all" TargetMode="External"/><Relationship Id="rId1628" Type="http://schemas.openxmlformats.org/officeDocument/2006/relationships/hyperlink" Target="https://finance.yahoo.com/quote/AMZN/options/?straddle=false&amp;strike=172.5&amp;type=all" TargetMode="External"/><Relationship Id="rId1975" Type="http://schemas.openxmlformats.org/officeDocument/2006/relationships/hyperlink" Target="https://finance.yahoo.com/quote/AMZN260320P00155000/" TargetMode="External"/><Relationship Id="rId1835" Type="http://schemas.openxmlformats.org/officeDocument/2006/relationships/hyperlink" Target="https://finance.yahoo.com/quote/AMZN260318C00205000/" TargetMode="External"/><Relationship Id="rId1902" Type="http://schemas.openxmlformats.org/officeDocument/2006/relationships/hyperlink" Target="https://finance.yahoo.com/quote/AMZN/options/?straddle=false&amp;strike=182.5&amp;type=all" TargetMode="External"/><Relationship Id="rId2097" Type="http://schemas.openxmlformats.org/officeDocument/2006/relationships/hyperlink" Target="https://finance.yahoo.com/quote/AMZN260327C00165000/" TargetMode="External"/><Relationship Id="rId276" Type="http://schemas.openxmlformats.org/officeDocument/2006/relationships/hyperlink" Target="https://finance.yahoo.com/quote/AMZN/options/?straddle=false&amp;strike=290&amp;type=all" TargetMode="External"/><Relationship Id="rId483" Type="http://schemas.openxmlformats.org/officeDocument/2006/relationships/hyperlink" Target="https://finance.yahoo.com/quote/AMZN260515C00310000/" TargetMode="External"/><Relationship Id="rId690" Type="http://schemas.openxmlformats.org/officeDocument/2006/relationships/hyperlink" Target="https://finance.yahoo.com/quote/AMZN/options/?straddle=false&amp;strike=325&amp;type=all" TargetMode="External"/><Relationship Id="rId2164" Type="http://schemas.openxmlformats.org/officeDocument/2006/relationships/hyperlink" Target="https://finance.yahoo.com/quote/AMZN/options/?straddle=false&amp;strike=265&amp;type=all" TargetMode="External"/><Relationship Id="rId2371" Type="http://schemas.openxmlformats.org/officeDocument/2006/relationships/hyperlink" Target="https://finance.yahoo.com/quote/AMZN260327C00295000/" TargetMode="External"/><Relationship Id="rId136" Type="http://schemas.openxmlformats.org/officeDocument/2006/relationships/hyperlink" Target="https://finance.yahoo.com/quote/AMZN/options/?straddle=false&amp;strike=207.5&amp;type=all" TargetMode="External"/><Relationship Id="rId343" Type="http://schemas.openxmlformats.org/officeDocument/2006/relationships/hyperlink" Target="https://finance.yahoo.com/quote/AMZN260515P00210000/" TargetMode="External"/><Relationship Id="rId550" Type="http://schemas.openxmlformats.org/officeDocument/2006/relationships/hyperlink" Target="https://finance.yahoo.com/quote/AMZN/options/?straddle=false&amp;strike=225&amp;type=all" TargetMode="External"/><Relationship Id="rId788" Type="http://schemas.openxmlformats.org/officeDocument/2006/relationships/hyperlink" Target="https://finance.yahoo.com/quote/AMZN/options/?straddle=false&amp;strike=320&amp;type=all" TargetMode="External"/><Relationship Id="rId995" Type="http://schemas.openxmlformats.org/officeDocument/2006/relationships/hyperlink" Target="https://finance.yahoo.com/quote/AMZN260515C00350000/" TargetMode="External"/><Relationship Id="rId1180" Type="http://schemas.openxmlformats.org/officeDocument/2006/relationships/hyperlink" Target="https://finance.yahoo.com/quote/AMZN/options/?straddle=false&amp;strike=300&amp;type=all" TargetMode="External"/><Relationship Id="rId2024" Type="http://schemas.openxmlformats.org/officeDocument/2006/relationships/hyperlink" Target="https://finance.yahoo.com/quote/AMZN/options/?straddle=false&amp;strike=230&amp;type=all" TargetMode="External"/><Relationship Id="rId2231" Type="http://schemas.openxmlformats.org/officeDocument/2006/relationships/hyperlink" Target="https://finance.yahoo.com/quote/AMZN260327P00197500/" TargetMode="External"/><Relationship Id="rId2469" Type="http://schemas.openxmlformats.org/officeDocument/2006/relationships/hyperlink" Target="https://finance.yahoo.com/quote/AMZN260327P00260000/" TargetMode="External"/><Relationship Id="rId203" Type="http://schemas.openxmlformats.org/officeDocument/2006/relationships/hyperlink" Target="https://finance.yahoo.com/quote/AMZN260515C00110000/" TargetMode="External"/><Relationship Id="rId648" Type="http://schemas.openxmlformats.org/officeDocument/2006/relationships/hyperlink" Target="https://finance.yahoo.com/quote/AMZN/options/?straddle=false&amp;strike=220&amp;type=all" TargetMode="External"/><Relationship Id="rId855" Type="http://schemas.openxmlformats.org/officeDocument/2006/relationships/hyperlink" Target="https://finance.yahoo.com/quote/AMZN260515P00240000/" TargetMode="External"/><Relationship Id="rId1040" Type="http://schemas.openxmlformats.org/officeDocument/2006/relationships/hyperlink" Target="https://finance.yahoo.com/quote/AMZN/options/?straddle=false&amp;strike=200&amp;type=all" TargetMode="External"/><Relationship Id="rId1278" Type="http://schemas.openxmlformats.org/officeDocument/2006/relationships/hyperlink" Target="https://finance.yahoo.com/quote/AMZN/options/?straddle=false&amp;strike=295&amp;type=all" TargetMode="External"/><Relationship Id="rId1485" Type="http://schemas.openxmlformats.org/officeDocument/2006/relationships/hyperlink" Target="https://finance.yahoo.com/quote/AMZN260227C00280000/" TargetMode="External"/><Relationship Id="rId1692" Type="http://schemas.openxmlformats.org/officeDocument/2006/relationships/hyperlink" Target="https://finance.yahoo.com/quote/AMZN/options/?straddle=false&amp;strike=270&amp;type=all" TargetMode="External"/><Relationship Id="rId2329" Type="http://schemas.openxmlformats.org/officeDocument/2006/relationships/hyperlink" Target="https://finance.yahoo.com/quote/AMZN260327C00215000/" TargetMode="External"/><Relationship Id="rId2536" Type="http://schemas.openxmlformats.org/officeDocument/2006/relationships/hyperlink" Target="https://finance.yahoo.com/quote/AMZN/options/?straddle=false&amp;strike=222.5&amp;type=all" TargetMode="External"/><Relationship Id="rId410" Type="http://schemas.openxmlformats.org/officeDocument/2006/relationships/hyperlink" Target="https://finance.yahoo.com/quote/AMZN/options/?straddle=false&amp;strike=125&amp;type=all" TargetMode="External"/><Relationship Id="rId508" Type="http://schemas.openxmlformats.org/officeDocument/2006/relationships/hyperlink" Target="https://finance.yahoo.com/quote/AMZN/options/?straddle=false&amp;strike=120&amp;type=all" TargetMode="External"/><Relationship Id="rId715" Type="http://schemas.openxmlformats.org/officeDocument/2006/relationships/hyperlink" Target="https://finance.yahoo.com/quote/AMZN260515P00140000/" TargetMode="External"/><Relationship Id="rId922" Type="http://schemas.openxmlformats.org/officeDocument/2006/relationships/hyperlink" Target="https://finance.yahoo.com/quote/AMZN/options/?straddle=false&amp;strike=155&amp;type=all" TargetMode="External"/><Relationship Id="rId1138" Type="http://schemas.openxmlformats.org/officeDocument/2006/relationships/hyperlink" Target="https://finance.yahoo.com/quote/AMZN/options/?straddle=false&amp;strike=195&amp;type=all" TargetMode="External"/><Relationship Id="rId1345" Type="http://schemas.openxmlformats.org/officeDocument/2006/relationships/hyperlink" Target="https://finance.yahoo.com/quote/AMZN260515P00215000/" TargetMode="External"/><Relationship Id="rId1552" Type="http://schemas.openxmlformats.org/officeDocument/2006/relationships/hyperlink" Target="https://finance.yahoo.com/quote/AMZN/options/?straddle=false&amp;strike=195&amp;type=all" TargetMode="External"/><Relationship Id="rId1997" Type="http://schemas.openxmlformats.org/officeDocument/2006/relationships/hyperlink" Target="https://finance.yahoo.com/quote/AMZN260320P00197500/" TargetMode="External"/><Relationship Id="rId2603" Type="http://schemas.openxmlformats.org/officeDocument/2006/relationships/hyperlink" Target="https://finance.yahoo.com/quote/AMZN260410P00180000/" TargetMode="External"/><Relationship Id="rId1205" Type="http://schemas.openxmlformats.org/officeDocument/2006/relationships/hyperlink" Target="https://finance.yahoo.com/quote/AMZN260515C00115000/" TargetMode="External"/><Relationship Id="rId1857" Type="http://schemas.openxmlformats.org/officeDocument/2006/relationships/hyperlink" Target="https://finance.yahoo.com/quote/AMZN260318C00232500/" TargetMode="External"/><Relationship Id="rId51" Type="http://schemas.openxmlformats.org/officeDocument/2006/relationships/hyperlink" Target="https://finance.yahoo.com/quote/AMZN260123C00227500/" TargetMode="External"/><Relationship Id="rId1412" Type="http://schemas.openxmlformats.org/officeDocument/2006/relationships/hyperlink" Target="https://finance.yahoo.com/quote/AMZN/options/?straddle=false&amp;strike=155&amp;type=all" TargetMode="External"/><Relationship Id="rId1717" Type="http://schemas.openxmlformats.org/officeDocument/2006/relationships/hyperlink" Target="https://finance.yahoo.com/quote/AMZN260306C00335000/" TargetMode="External"/><Relationship Id="rId1924" Type="http://schemas.openxmlformats.org/officeDocument/2006/relationships/hyperlink" Target="https://finance.yahoo.com/quote/AMZN/options/?straddle=false&amp;strike=210&amp;type=all" TargetMode="External"/><Relationship Id="rId298" Type="http://schemas.openxmlformats.org/officeDocument/2006/relationships/hyperlink" Target="https://finance.yahoo.com/quote/AMZN/options/?straddle=false&amp;strike=360&amp;type=all" TargetMode="External"/><Relationship Id="rId158" Type="http://schemas.openxmlformats.org/officeDocument/2006/relationships/hyperlink" Target="https://finance.yahoo.com/quote/AMZN/options/?straddle=false&amp;strike=235&amp;type=all" TargetMode="External"/><Relationship Id="rId2186" Type="http://schemas.openxmlformats.org/officeDocument/2006/relationships/hyperlink" Target="https://finance.yahoo.com/quote/AMZN/options/?straddle=false&amp;strike=320&amp;type=all" TargetMode="External"/><Relationship Id="rId2393" Type="http://schemas.openxmlformats.org/officeDocument/2006/relationships/hyperlink" Target="https://finance.yahoo.com/quote/AMZN260327P00135000/" TargetMode="External"/><Relationship Id="rId365" Type="http://schemas.openxmlformats.org/officeDocument/2006/relationships/hyperlink" Target="https://finance.yahoo.com/quote/AMZN260515P00265000/" TargetMode="External"/><Relationship Id="rId572" Type="http://schemas.openxmlformats.org/officeDocument/2006/relationships/hyperlink" Target="https://finance.yahoo.com/quote/AMZN/options/?straddle=false&amp;strike=280&amp;type=all" TargetMode="External"/><Relationship Id="rId2046" Type="http://schemas.openxmlformats.org/officeDocument/2006/relationships/hyperlink" Target="https://finance.yahoo.com/quote/AMZN/options/?straddle=false&amp;strike=280&amp;type=all" TargetMode="External"/><Relationship Id="rId2253" Type="http://schemas.openxmlformats.org/officeDocument/2006/relationships/hyperlink" Target="https://finance.yahoo.com/quote/AMZN260327P00225000/" TargetMode="External"/><Relationship Id="rId2460" Type="http://schemas.openxmlformats.org/officeDocument/2006/relationships/hyperlink" Target="https://finance.yahoo.com/quote/AMZN/options/?straddle=false&amp;strike=237.5&amp;type=all" TargetMode="External"/><Relationship Id="rId225" Type="http://schemas.openxmlformats.org/officeDocument/2006/relationships/hyperlink" Target="https://finance.yahoo.com/quote/AMZN260515C00165000/" TargetMode="External"/><Relationship Id="rId432" Type="http://schemas.openxmlformats.org/officeDocument/2006/relationships/hyperlink" Target="https://finance.yahoo.com/quote/AMZN/options/?straddle=false&amp;strike=180&amp;type=all" TargetMode="External"/><Relationship Id="rId877" Type="http://schemas.openxmlformats.org/officeDocument/2006/relationships/hyperlink" Target="https://finance.yahoo.com/quote/AMZN260515P00295000/" TargetMode="External"/><Relationship Id="rId1062" Type="http://schemas.openxmlformats.org/officeDocument/2006/relationships/hyperlink" Target="https://finance.yahoo.com/quote/AMZN/options/?straddle=false&amp;strike=255&amp;type=all" TargetMode="External"/><Relationship Id="rId2113" Type="http://schemas.openxmlformats.org/officeDocument/2006/relationships/hyperlink" Target="https://finance.yahoo.com/quote/AMZN260327C00190000/" TargetMode="External"/><Relationship Id="rId2320" Type="http://schemas.openxmlformats.org/officeDocument/2006/relationships/hyperlink" Target="https://finance.yahoo.com/quote/AMZN/options/?straddle=false&amp;strike=202.5&amp;type=all" TargetMode="External"/><Relationship Id="rId2558" Type="http://schemas.openxmlformats.org/officeDocument/2006/relationships/hyperlink" Target="https://finance.yahoo.com/quote/AMZN/options/?straddle=false&amp;strike=265&amp;type=all" TargetMode="External"/><Relationship Id="rId737" Type="http://schemas.openxmlformats.org/officeDocument/2006/relationships/hyperlink" Target="https://finance.yahoo.com/quote/AMZN260515P00195000/" TargetMode="External"/><Relationship Id="rId944" Type="http://schemas.openxmlformats.org/officeDocument/2006/relationships/hyperlink" Target="https://finance.yahoo.com/quote/AMZN/options/?straddle=false&amp;strike=210&amp;type=all" TargetMode="External"/><Relationship Id="rId1367" Type="http://schemas.openxmlformats.org/officeDocument/2006/relationships/hyperlink" Target="https://finance.yahoo.com/quote/AMZN260515P00270000/" TargetMode="External"/><Relationship Id="rId1574" Type="http://schemas.openxmlformats.org/officeDocument/2006/relationships/hyperlink" Target="https://finance.yahoo.com/quote/AMZN/options/?straddle=false&amp;strike=222.5&amp;type=all" TargetMode="External"/><Relationship Id="rId1781" Type="http://schemas.openxmlformats.org/officeDocument/2006/relationships/hyperlink" Target="https://finance.yahoo.com/quote/AMZN260306P00220000/" TargetMode="External"/><Relationship Id="rId2418" Type="http://schemas.openxmlformats.org/officeDocument/2006/relationships/hyperlink" Target="https://finance.yahoo.com/quote/AMZN/options/?straddle=false&amp;strike=185&amp;type=all" TargetMode="External"/><Relationship Id="rId2625" Type="http://schemas.openxmlformats.org/officeDocument/2006/relationships/hyperlink" Target="https://finance.yahoo.com/quote/AMZN260410P00207500/" TargetMode="External"/><Relationship Id="rId73" Type="http://schemas.openxmlformats.org/officeDocument/2006/relationships/hyperlink" Target="https://finance.yahoo.com/quote/AMZN260123C00255000/" TargetMode="External"/><Relationship Id="rId804" Type="http://schemas.openxmlformats.org/officeDocument/2006/relationships/hyperlink" Target="https://finance.yahoo.com/quote/AMZN/options/?straddle=false&amp;strike=110&amp;type=all" TargetMode="External"/><Relationship Id="rId1227" Type="http://schemas.openxmlformats.org/officeDocument/2006/relationships/hyperlink" Target="https://finance.yahoo.com/quote/AMZN260515C00170000/" TargetMode="External"/><Relationship Id="rId1434" Type="http://schemas.openxmlformats.org/officeDocument/2006/relationships/hyperlink" Target="https://finance.yahoo.com/quote/AMZN/options/?straddle=false&amp;strike=192.5&amp;type=all" TargetMode="External"/><Relationship Id="rId1641" Type="http://schemas.openxmlformats.org/officeDocument/2006/relationships/hyperlink" Target="https://finance.yahoo.com/quote/AMZN260306C00190000/" TargetMode="External"/><Relationship Id="rId1879" Type="http://schemas.openxmlformats.org/officeDocument/2006/relationships/hyperlink" Target="https://finance.yahoo.com/quote/AMZN260318P00145000/" TargetMode="External"/><Relationship Id="rId1501" Type="http://schemas.openxmlformats.org/officeDocument/2006/relationships/hyperlink" Target="https://finance.yahoo.com/quote/AMZN260227C00320000/" TargetMode="External"/><Relationship Id="rId1739" Type="http://schemas.openxmlformats.org/officeDocument/2006/relationships/hyperlink" Target="https://finance.yahoo.com/quote/AMZN260306P00165000/" TargetMode="External"/><Relationship Id="rId1946" Type="http://schemas.openxmlformats.org/officeDocument/2006/relationships/hyperlink" Target="https://finance.yahoo.com/quote/AMZN/options/?straddle=false&amp;strike=260&amp;type=all" TargetMode="External"/><Relationship Id="rId1806" Type="http://schemas.openxmlformats.org/officeDocument/2006/relationships/hyperlink" Target="https://finance.yahoo.com/quote/AMZN/options/?straddle=false&amp;strike=270&amp;type=all" TargetMode="External"/><Relationship Id="rId387" Type="http://schemas.openxmlformats.org/officeDocument/2006/relationships/hyperlink" Target="https://finance.yahoo.com/quote/AMZN260515P00320000/" TargetMode="External"/><Relationship Id="rId594" Type="http://schemas.openxmlformats.org/officeDocument/2006/relationships/hyperlink" Target="https://finance.yahoo.com/quote/AMZN/options/?straddle=false&amp;strike=340&amp;type=all" TargetMode="External"/><Relationship Id="rId2068" Type="http://schemas.openxmlformats.org/officeDocument/2006/relationships/hyperlink" Target="https://finance.yahoo.com/quote/AMZN/options/?straddle=false&amp;strike=335&amp;type=all" TargetMode="External"/><Relationship Id="rId2275" Type="http://schemas.openxmlformats.org/officeDocument/2006/relationships/hyperlink" Target="https://finance.yahoo.com/quote/AMZN260327P00265000/" TargetMode="External"/><Relationship Id="rId247" Type="http://schemas.openxmlformats.org/officeDocument/2006/relationships/hyperlink" Target="https://finance.yahoo.com/quote/AMZN260515C00220000/" TargetMode="External"/><Relationship Id="rId899" Type="http://schemas.openxmlformats.org/officeDocument/2006/relationships/hyperlink" Target="https://finance.yahoo.com/quote/AMZN260515P00370000/" TargetMode="External"/><Relationship Id="rId1084" Type="http://schemas.openxmlformats.org/officeDocument/2006/relationships/hyperlink" Target="https://finance.yahoo.com/quote/AMZN/options/?straddle=false&amp;strike=310&amp;type=all" TargetMode="External"/><Relationship Id="rId2482" Type="http://schemas.openxmlformats.org/officeDocument/2006/relationships/hyperlink" Target="https://finance.yahoo.com/quote/AMZN/options/?straddle=false&amp;strike=140&amp;type=all" TargetMode="External"/><Relationship Id="rId107" Type="http://schemas.openxmlformats.org/officeDocument/2006/relationships/hyperlink" Target="https://finance.yahoo.com/quote/AMZN260123P00140000/" TargetMode="External"/><Relationship Id="rId454" Type="http://schemas.openxmlformats.org/officeDocument/2006/relationships/hyperlink" Target="https://finance.yahoo.com/quote/AMZN/options/?straddle=false&amp;strike=235&amp;type=all" TargetMode="External"/><Relationship Id="rId661" Type="http://schemas.openxmlformats.org/officeDocument/2006/relationships/hyperlink" Target="https://finance.yahoo.com/quote/AMZN260515C00255000/" TargetMode="External"/><Relationship Id="rId759" Type="http://schemas.openxmlformats.org/officeDocument/2006/relationships/hyperlink" Target="https://finance.yahoo.com/quote/AMZN260515P00250000/" TargetMode="External"/><Relationship Id="rId966" Type="http://schemas.openxmlformats.org/officeDocument/2006/relationships/hyperlink" Target="https://finance.yahoo.com/quote/AMZN/options/?straddle=false&amp;strike=265&amp;type=all" TargetMode="External"/><Relationship Id="rId1291" Type="http://schemas.openxmlformats.org/officeDocument/2006/relationships/hyperlink" Target="https://finance.yahoo.com/quote/AMZN260515C00330000/" TargetMode="External"/><Relationship Id="rId1389" Type="http://schemas.openxmlformats.org/officeDocument/2006/relationships/hyperlink" Target="https://finance.yahoo.com/quote/AMZN260515P00325000/" TargetMode="External"/><Relationship Id="rId1596" Type="http://schemas.openxmlformats.org/officeDocument/2006/relationships/hyperlink" Target="https://finance.yahoo.com/quote/AMZN/options/?straddle=false&amp;strike=270&amp;type=all" TargetMode="External"/><Relationship Id="rId2135" Type="http://schemas.openxmlformats.org/officeDocument/2006/relationships/hyperlink" Target="https://finance.yahoo.com/quote/AMZN260327C00217500/" TargetMode="External"/><Relationship Id="rId2342" Type="http://schemas.openxmlformats.org/officeDocument/2006/relationships/hyperlink" Target="https://finance.yahoo.com/quote/AMZN/options/?straddle=false&amp;strike=230&amp;type=all" TargetMode="External"/><Relationship Id="rId2647" Type="http://schemas.openxmlformats.org/officeDocument/2006/relationships/hyperlink" Target="https://finance.yahoo.com/quote/AMZN260410P00235000/" TargetMode="External"/><Relationship Id="rId314" Type="http://schemas.openxmlformats.org/officeDocument/2006/relationships/hyperlink" Target="https://finance.yahoo.com/quote/AMZN/options/?straddle=false&amp;strike=135&amp;type=all" TargetMode="External"/><Relationship Id="rId521" Type="http://schemas.openxmlformats.org/officeDocument/2006/relationships/hyperlink" Target="https://finance.yahoo.com/quote/AMZN260515P00155000/" TargetMode="External"/><Relationship Id="rId619" Type="http://schemas.openxmlformats.org/officeDocument/2006/relationships/hyperlink" Target="https://finance.yahoo.com/quote/AMZN260515C00150000/" TargetMode="External"/><Relationship Id="rId1151" Type="http://schemas.openxmlformats.org/officeDocument/2006/relationships/hyperlink" Target="https://finance.yahoo.com/quote/AMZN260515P00230000/" TargetMode="External"/><Relationship Id="rId1249" Type="http://schemas.openxmlformats.org/officeDocument/2006/relationships/hyperlink" Target="https://finance.yahoo.com/quote/AMZN260515C00225000/" TargetMode="External"/><Relationship Id="rId2202" Type="http://schemas.openxmlformats.org/officeDocument/2006/relationships/hyperlink" Target="https://finance.yahoo.com/quote/AMZN/options/?straddle=false&amp;strike=145&amp;type=all" TargetMode="External"/><Relationship Id="rId95" Type="http://schemas.openxmlformats.org/officeDocument/2006/relationships/hyperlink" Target="https://finance.yahoo.com/quote/AMZN260123C00295000/" TargetMode="External"/><Relationship Id="rId826" Type="http://schemas.openxmlformats.org/officeDocument/2006/relationships/hyperlink" Target="https://finance.yahoo.com/quote/AMZN/options/?straddle=false&amp;strike=165&amp;type=all" TargetMode="External"/><Relationship Id="rId1011" Type="http://schemas.openxmlformats.org/officeDocument/2006/relationships/hyperlink" Target="https://finance.yahoo.com/quote/AMZN260515C00130000/" TargetMode="External"/><Relationship Id="rId1109" Type="http://schemas.openxmlformats.org/officeDocument/2006/relationships/hyperlink" Target="https://finance.yahoo.com/quote/AMZN260515P00125000/" TargetMode="External"/><Relationship Id="rId1456" Type="http://schemas.openxmlformats.org/officeDocument/2006/relationships/hyperlink" Target="https://finance.yahoo.com/quote/AMZN/options/?straddle=false&amp;strike=220&amp;type=all" TargetMode="External"/><Relationship Id="rId1663" Type="http://schemas.openxmlformats.org/officeDocument/2006/relationships/hyperlink" Target="https://finance.yahoo.com/quote/AMZN260306C00217500/" TargetMode="External"/><Relationship Id="rId1870" Type="http://schemas.openxmlformats.org/officeDocument/2006/relationships/hyperlink" Target="https://finance.yahoo.com/quote/AMZN/options/?straddle=false&amp;strike=265&amp;type=all" TargetMode="External"/><Relationship Id="rId1968" Type="http://schemas.openxmlformats.org/officeDocument/2006/relationships/hyperlink" Target="https://finance.yahoo.com/quote/AMZN/options/?straddle=false&amp;strike=135&amp;type=all" TargetMode="External"/><Relationship Id="rId2507" Type="http://schemas.openxmlformats.org/officeDocument/2006/relationships/hyperlink" Target="https://finance.yahoo.com/quote/AMZN260410C00187500/" TargetMode="External"/><Relationship Id="rId1316" Type="http://schemas.openxmlformats.org/officeDocument/2006/relationships/hyperlink" Target="https://finance.yahoo.com/quote/AMZN/options/?straddle=false&amp;strike=140&amp;type=all" TargetMode="External"/><Relationship Id="rId1523" Type="http://schemas.openxmlformats.org/officeDocument/2006/relationships/hyperlink" Target="https://finance.yahoo.com/quote/AMZN260227P00150000/" TargetMode="External"/><Relationship Id="rId1730" Type="http://schemas.openxmlformats.org/officeDocument/2006/relationships/hyperlink" Target="https://finance.yahoo.com/quote/AMZN/options/?straddle=false&amp;strike=140&amp;type=all" TargetMode="External"/><Relationship Id="rId22" Type="http://schemas.openxmlformats.org/officeDocument/2006/relationships/hyperlink" Target="https://finance.yahoo.com/quote/AMZN/options/?straddle=false&amp;strike=175&amp;type=all" TargetMode="External"/><Relationship Id="rId1828" Type="http://schemas.openxmlformats.org/officeDocument/2006/relationships/hyperlink" Target="https://finance.yahoo.com/quote/AMZN/options/?straddle=false&amp;strike=195&amp;type=all" TargetMode="External"/><Relationship Id="rId171" Type="http://schemas.openxmlformats.org/officeDocument/2006/relationships/hyperlink" Target="https://finance.yahoo.com/quote/AMZN260123P00252500/" TargetMode="External"/><Relationship Id="rId2297" Type="http://schemas.openxmlformats.org/officeDocument/2006/relationships/hyperlink" Target="https://finance.yahoo.com/quote/AMZN260327C00175000/" TargetMode="External"/><Relationship Id="rId269" Type="http://schemas.openxmlformats.org/officeDocument/2006/relationships/hyperlink" Target="https://finance.yahoo.com/quote/AMZN260515C00275000/" TargetMode="External"/><Relationship Id="rId476" Type="http://schemas.openxmlformats.org/officeDocument/2006/relationships/hyperlink" Target="https://finance.yahoo.com/quote/AMZN/options/?straddle=false&amp;strike=290&amp;type=all" TargetMode="External"/><Relationship Id="rId683" Type="http://schemas.openxmlformats.org/officeDocument/2006/relationships/hyperlink" Target="https://finance.yahoo.com/quote/AMZN260515C00310000/" TargetMode="External"/><Relationship Id="rId890" Type="http://schemas.openxmlformats.org/officeDocument/2006/relationships/hyperlink" Target="https://finance.yahoo.com/quote/AMZN/options/?straddle=false&amp;strike=325&amp;type=all" TargetMode="External"/><Relationship Id="rId2157" Type="http://schemas.openxmlformats.org/officeDocument/2006/relationships/hyperlink" Target="https://finance.yahoo.com/quote/AMZN260327C00250000/" TargetMode="External"/><Relationship Id="rId2364" Type="http://schemas.openxmlformats.org/officeDocument/2006/relationships/hyperlink" Target="https://finance.yahoo.com/quote/AMZN/options/?straddle=false&amp;strike=275&amp;type=all" TargetMode="External"/><Relationship Id="rId2571" Type="http://schemas.openxmlformats.org/officeDocument/2006/relationships/hyperlink" Target="https://finance.yahoo.com/quote/AMZN260410C00300000/" TargetMode="External"/><Relationship Id="rId129" Type="http://schemas.openxmlformats.org/officeDocument/2006/relationships/hyperlink" Target="https://finance.yahoo.com/quote/AMZN260123P00195000/" TargetMode="External"/><Relationship Id="rId336" Type="http://schemas.openxmlformats.org/officeDocument/2006/relationships/hyperlink" Target="https://finance.yahoo.com/quote/AMZN/options/?straddle=false&amp;strike=190&amp;type=all" TargetMode="External"/><Relationship Id="rId543" Type="http://schemas.openxmlformats.org/officeDocument/2006/relationships/hyperlink" Target="https://finance.yahoo.com/quote/AMZN260515P00210000/" TargetMode="External"/><Relationship Id="rId988" Type="http://schemas.openxmlformats.org/officeDocument/2006/relationships/hyperlink" Target="https://finance.yahoo.com/quote/AMZN/options/?straddle=false&amp;strike=320&amp;type=all" TargetMode="External"/><Relationship Id="rId1173" Type="http://schemas.openxmlformats.org/officeDocument/2006/relationships/hyperlink" Target="https://finance.yahoo.com/quote/AMZN260515P00285000/" TargetMode="External"/><Relationship Id="rId1380" Type="http://schemas.openxmlformats.org/officeDocument/2006/relationships/hyperlink" Target="https://finance.yahoo.com/quote/AMZN/options/?straddle=false&amp;strike=300&amp;type=all" TargetMode="External"/><Relationship Id="rId2017" Type="http://schemas.openxmlformats.org/officeDocument/2006/relationships/hyperlink" Target="https://finance.yahoo.com/quote/AMZN260320P00222500/" TargetMode="External"/><Relationship Id="rId2224" Type="http://schemas.openxmlformats.org/officeDocument/2006/relationships/hyperlink" Target="https://finance.yahoo.com/quote/AMZN/options/?straddle=false&amp;strike=187.5&amp;type=all" TargetMode="External"/><Relationship Id="rId403" Type="http://schemas.openxmlformats.org/officeDocument/2006/relationships/hyperlink" Target="https://finance.yahoo.com/quote/AMZN260515C00110000/" TargetMode="External"/><Relationship Id="rId750" Type="http://schemas.openxmlformats.org/officeDocument/2006/relationships/hyperlink" Target="https://finance.yahoo.com/quote/AMZN/options/?straddle=false&amp;strike=225&amp;type=all" TargetMode="External"/><Relationship Id="rId848" Type="http://schemas.openxmlformats.org/officeDocument/2006/relationships/hyperlink" Target="https://finance.yahoo.com/quote/AMZN/options/?straddle=false&amp;strike=220&amp;type=all" TargetMode="External"/><Relationship Id="rId1033" Type="http://schemas.openxmlformats.org/officeDocument/2006/relationships/hyperlink" Target="https://finance.yahoo.com/quote/AMZN260515C00185000/" TargetMode="External"/><Relationship Id="rId1478" Type="http://schemas.openxmlformats.org/officeDocument/2006/relationships/hyperlink" Target="https://finance.yahoo.com/quote/AMZN/options/?straddle=false&amp;strike=260&amp;type=all" TargetMode="External"/><Relationship Id="rId1685" Type="http://schemas.openxmlformats.org/officeDocument/2006/relationships/hyperlink" Target="https://finance.yahoo.com/quote/AMZN260306C00255000/" TargetMode="External"/><Relationship Id="rId1892" Type="http://schemas.openxmlformats.org/officeDocument/2006/relationships/hyperlink" Target="https://finance.yahoo.com/quote/AMZN/options/?straddle=false&amp;strike=170&amp;type=all" TargetMode="External"/><Relationship Id="rId2431" Type="http://schemas.openxmlformats.org/officeDocument/2006/relationships/hyperlink" Target="https://finance.yahoo.com/quote/AMZN260327P00202500/" TargetMode="External"/><Relationship Id="rId2529" Type="http://schemas.openxmlformats.org/officeDocument/2006/relationships/hyperlink" Target="https://finance.yahoo.com/quote/AMZN260410C00215000/" TargetMode="External"/><Relationship Id="rId610" Type="http://schemas.openxmlformats.org/officeDocument/2006/relationships/hyperlink" Target="https://finance.yahoo.com/quote/AMZN/options/?straddle=false&amp;strike=125&amp;type=all" TargetMode="External"/><Relationship Id="rId708" Type="http://schemas.openxmlformats.org/officeDocument/2006/relationships/hyperlink" Target="https://finance.yahoo.com/quote/AMZN/options/?straddle=false&amp;strike=120&amp;type=all" TargetMode="External"/><Relationship Id="rId915" Type="http://schemas.openxmlformats.org/officeDocument/2006/relationships/hyperlink" Target="https://finance.yahoo.com/quote/AMZN260515C00140000/" TargetMode="External"/><Relationship Id="rId1240" Type="http://schemas.openxmlformats.org/officeDocument/2006/relationships/hyperlink" Target="https://finance.yahoo.com/quote/AMZN/options/?straddle=false&amp;strike=200&amp;type=all" TargetMode="External"/><Relationship Id="rId1338" Type="http://schemas.openxmlformats.org/officeDocument/2006/relationships/hyperlink" Target="https://finance.yahoo.com/quote/AMZN/options/?straddle=false&amp;strike=195&amp;type=all" TargetMode="External"/><Relationship Id="rId1545" Type="http://schemas.openxmlformats.org/officeDocument/2006/relationships/hyperlink" Target="https://finance.yahoo.com/quote/AMZN260227P00187500/" TargetMode="External"/><Relationship Id="rId1100" Type="http://schemas.openxmlformats.org/officeDocument/2006/relationships/hyperlink" Target="https://finance.yahoo.com/quote/AMZN/options/?straddle=false&amp;strike=370&amp;type=all" TargetMode="External"/><Relationship Id="rId1405" Type="http://schemas.openxmlformats.org/officeDocument/2006/relationships/hyperlink" Target="https://finance.yahoo.com/quote/AMZN260227C00140000/" TargetMode="External"/><Relationship Id="rId1752" Type="http://schemas.openxmlformats.org/officeDocument/2006/relationships/hyperlink" Target="https://finance.yahoo.com/quote/AMZN/options/?straddle=false&amp;strike=182.5&amp;type=all" TargetMode="External"/><Relationship Id="rId44" Type="http://schemas.openxmlformats.org/officeDocument/2006/relationships/hyperlink" Target="https://finance.yahoo.com/quote/AMZN/options/?straddle=false&amp;strike=217.5&amp;type=all" TargetMode="External"/><Relationship Id="rId1612" Type="http://schemas.openxmlformats.org/officeDocument/2006/relationships/hyperlink" Target="https://finance.yahoo.com/quote/AMZN/options/?straddle=false&amp;strike=135&amp;type=all" TargetMode="External"/><Relationship Id="rId1917" Type="http://schemas.openxmlformats.org/officeDocument/2006/relationships/hyperlink" Target="https://finance.yahoo.com/quote/AMZN260318P00202500/" TargetMode="External"/><Relationship Id="rId193" Type="http://schemas.openxmlformats.org/officeDocument/2006/relationships/hyperlink" Target="https://finance.yahoo.com/quote/AMZN260515P00340000/" TargetMode="External"/><Relationship Id="rId498" Type="http://schemas.openxmlformats.org/officeDocument/2006/relationships/hyperlink" Target="https://finance.yahoo.com/quote/AMZN/options/?straddle=false&amp;strike=360&amp;type=all" TargetMode="External"/><Relationship Id="rId2081" Type="http://schemas.openxmlformats.org/officeDocument/2006/relationships/hyperlink" Target="https://finance.yahoo.com/quote/AMZN260327C00125000/" TargetMode="External"/><Relationship Id="rId2179" Type="http://schemas.openxmlformats.org/officeDocument/2006/relationships/hyperlink" Target="https://finance.yahoo.com/quote/AMZN260327C00305000/" TargetMode="External"/><Relationship Id="rId260" Type="http://schemas.openxmlformats.org/officeDocument/2006/relationships/hyperlink" Target="https://finance.yahoo.com/quote/AMZN/options/?straddle=false&amp;strike=250&amp;type=all" TargetMode="External"/><Relationship Id="rId2386" Type="http://schemas.openxmlformats.org/officeDocument/2006/relationships/hyperlink" Target="https://finance.yahoo.com/quote/AMZN/options/?straddle=false&amp;strike=330&amp;type=all" TargetMode="External"/><Relationship Id="rId2593" Type="http://schemas.openxmlformats.org/officeDocument/2006/relationships/hyperlink" Target="https://finance.yahoo.com/quote/AMZN260410P00165000/" TargetMode="External"/><Relationship Id="rId120" Type="http://schemas.openxmlformats.org/officeDocument/2006/relationships/hyperlink" Target="https://finance.yahoo.com/quote/AMZN/options/?straddle=false&amp;strike=170&amp;type=all" TargetMode="External"/><Relationship Id="rId358" Type="http://schemas.openxmlformats.org/officeDocument/2006/relationships/hyperlink" Target="https://finance.yahoo.com/quote/AMZN/options/?straddle=false&amp;strike=245&amp;type=all" TargetMode="External"/><Relationship Id="rId565" Type="http://schemas.openxmlformats.org/officeDocument/2006/relationships/hyperlink" Target="https://finance.yahoo.com/quote/AMZN260515P00265000/" TargetMode="External"/><Relationship Id="rId772" Type="http://schemas.openxmlformats.org/officeDocument/2006/relationships/hyperlink" Target="https://finance.yahoo.com/quote/AMZN/options/?straddle=false&amp;strike=280&amp;type=all" TargetMode="External"/><Relationship Id="rId1195" Type="http://schemas.openxmlformats.org/officeDocument/2006/relationships/hyperlink" Target="https://finance.yahoo.com/quote/AMZN260515P00350000/" TargetMode="External"/><Relationship Id="rId2039" Type="http://schemas.openxmlformats.org/officeDocument/2006/relationships/hyperlink" Target="https://finance.yahoo.com/quote/AMZN260320P00265000/" TargetMode="External"/><Relationship Id="rId2246" Type="http://schemas.openxmlformats.org/officeDocument/2006/relationships/hyperlink" Target="https://finance.yahoo.com/quote/AMZN/options/?straddle=false&amp;strike=215&amp;type=all" TargetMode="External"/><Relationship Id="rId2453" Type="http://schemas.openxmlformats.org/officeDocument/2006/relationships/hyperlink" Target="https://finance.yahoo.com/quote/AMZN260327P00230000/" TargetMode="External"/><Relationship Id="rId218" Type="http://schemas.openxmlformats.org/officeDocument/2006/relationships/hyperlink" Target="https://finance.yahoo.com/quote/AMZN/options/?straddle=false&amp;strike=145&amp;type=all" TargetMode="External"/><Relationship Id="rId425" Type="http://schemas.openxmlformats.org/officeDocument/2006/relationships/hyperlink" Target="https://finance.yahoo.com/quote/AMZN260515C00165000/" TargetMode="External"/><Relationship Id="rId632" Type="http://schemas.openxmlformats.org/officeDocument/2006/relationships/hyperlink" Target="https://finance.yahoo.com/quote/AMZN/options/?straddle=false&amp;strike=180&amp;type=all" TargetMode="External"/><Relationship Id="rId1055" Type="http://schemas.openxmlformats.org/officeDocument/2006/relationships/hyperlink" Target="https://finance.yahoo.com/quote/AMZN260515C00240000/" TargetMode="External"/><Relationship Id="rId1262" Type="http://schemas.openxmlformats.org/officeDocument/2006/relationships/hyperlink" Target="https://finance.yahoo.com/quote/AMZN/options/?straddle=false&amp;strike=255&amp;type=all" TargetMode="External"/><Relationship Id="rId2106" Type="http://schemas.openxmlformats.org/officeDocument/2006/relationships/hyperlink" Target="https://finance.yahoo.com/quote/AMZN/options/?straddle=false&amp;strike=180&amp;type=all" TargetMode="External"/><Relationship Id="rId2313" Type="http://schemas.openxmlformats.org/officeDocument/2006/relationships/hyperlink" Target="https://finance.yahoo.com/quote/AMZN260327C00195000/" TargetMode="External"/><Relationship Id="rId2520" Type="http://schemas.openxmlformats.org/officeDocument/2006/relationships/hyperlink" Target="https://finance.yahoo.com/quote/AMZN/options/?straddle=false&amp;strike=202.5&amp;type=all" TargetMode="External"/><Relationship Id="rId937" Type="http://schemas.openxmlformats.org/officeDocument/2006/relationships/hyperlink" Target="https://finance.yahoo.com/quote/AMZN260515C00195000/" TargetMode="External"/><Relationship Id="rId1122" Type="http://schemas.openxmlformats.org/officeDocument/2006/relationships/hyperlink" Target="https://finance.yahoo.com/quote/AMZN/options/?straddle=false&amp;strike=155&amp;type=all" TargetMode="External"/><Relationship Id="rId1567" Type="http://schemas.openxmlformats.org/officeDocument/2006/relationships/hyperlink" Target="https://finance.yahoo.com/quote/AMZN260227P00215000/" TargetMode="External"/><Relationship Id="rId1774" Type="http://schemas.openxmlformats.org/officeDocument/2006/relationships/hyperlink" Target="https://finance.yahoo.com/quote/AMZN/options/?straddle=false&amp;strike=210&amp;type=all" TargetMode="External"/><Relationship Id="rId1981" Type="http://schemas.openxmlformats.org/officeDocument/2006/relationships/hyperlink" Target="https://finance.yahoo.com/quote/AMZN260320P00170000/" TargetMode="External"/><Relationship Id="rId2618" Type="http://schemas.openxmlformats.org/officeDocument/2006/relationships/hyperlink" Target="https://finance.yahoo.com/quote/AMZN/options/?straddle=false&amp;strike=197.5&amp;type=all" TargetMode="External"/><Relationship Id="rId66" Type="http://schemas.openxmlformats.org/officeDocument/2006/relationships/hyperlink" Target="https://finance.yahoo.com/quote/AMZN/options/?straddle=false&amp;strike=245&amp;type=all" TargetMode="External"/><Relationship Id="rId1427" Type="http://schemas.openxmlformats.org/officeDocument/2006/relationships/hyperlink" Target="https://finance.yahoo.com/quote/AMZN260227C00185000/" TargetMode="External"/><Relationship Id="rId1634" Type="http://schemas.openxmlformats.org/officeDocument/2006/relationships/hyperlink" Target="https://finance.yahoo.com/quote/AMZN/options/?straddle=false&amp;strike=180&amp;type=all" TargetMode="External"/><Relationship Id="rId1841" Type="http://schemas.openxmlformats.org/officeDocument/2006/relationships/hyperlink" Target="https://finance.yahoo.com/quote/AMZN260318C00212500/" TargetMode="External"/><Relationship Id="rId1939" Type="http://schemas.openxmlformats.org/officeDocument/2006/relationships/hyperlink" Target="https://finance.yahoo.com/quote/AMZN260318P00230000/" TargetMode="External"/><Relationship Id="rId1701" Type="http://schemas.openxmlformats.org/officeDocument/2006/relationships/hyperlink" Target="https://finance.yahoo.com/quote/AMZN260306C00295000/" TargetMode="External"/><Relationship Id="rId282" Type="http://schemas.openxmlformats.org/officeDocument/2006/relationships/hyperlink" Target="https://finance.yahoo.com/quote/AMZN/options/?straddle=false&amp;strike=305&amp;type=all" TargetMode="External"/><Relationship Id="rId587" Type="http://schemas.openxmlformats.org/officeDocument/2006/relationships/hyperlink" Target="https://finance.yahoo.com/quote/AMZN260515P00320000/" TargetMode="External"/><Relationship Id="rId2170" Type="http://schemas.openxmlformats.org/officeDocument/2006/relationships/hyperlink" Target="https://finance.yahoo.com/quote/AMZN/options/?straddle=false&amp;strike=280&amp;type=all" TargetMode="External"/><Relationship Id="rId2268" Type="http://schemas.openxmlformats.org/officeDocument/2006/relationships/hyperlink" Target="https://finance.yahoo.com/quote/AMZN/options/?straddle=false&amp;strike=245&amp;type=all" TargetMode="External"/><Relationship Id="rId8" Type="http://schemas.openxmlformats.org/officeDocument/2006/relationships/hyperlink" Target="https://finance.yahoo.com/quote/AMZN/options/?straddle=false&amp;strike=140&amp;type=all" TargetMode="External"/><Relationship Id="rId142" Type="http://schemas.openxmlformats.org/officeDocument/2006/relationships/hyperlink" Target="https://finance.yahoo.com/quote/AMZN/options/?straddle=false&amp;strike=215&amp;type=all" TargetMode="External"/><Relationship Id="rId447" Type="http://schemas.openxmlformats.org/officeDocument/2006/relationships/hyperlink" Target="https://finance.yahoo.com/quote/AMZN260515C00220000/" TargetMode="External"/><Relationship Id="rId794" Type="http://schemas.openxmlformats.org/officeDocument/2006/relationships/hyperlink" Target="https://finance.yahoo.com/quote/AMZN/options/?straddle=false&amp;strike=340&amp;type=all" TargetMode="External"/><Relationship Id="rId1077" Type="http://schemas.openxmlformats.org/officeDocument/2006/relationships/hyperlink" Target="https://finance.yahoo.com/quote/AMZN260515C00295000/" TargetMode="External"/><Relationship Id="rId2030" Type="http://schemas.openxmlformats.org/officeDocument/2006/relationships/hyperlink" Target="https://finance.yahoo.com/quote/AMZN/options/?straddle=false&amp;strike=240&amp;type=all" TargetMode="External"/><Relationship Id="rId2128" Type="http://schemas.openxmlformats.org/officeDocument/2006/relationships/hyperlink" Target="https://finance.yahoo.com/quote/AMZN/options/?straddle=false&amp;strike=207.5&amp;type=all" TargetMode="External"/><Relationship Id="rId2475" Type="http://schemas.openxmlformats.org/officeDocument/2006/relationships/hyperlink" Target="https://finance.yahoo.com/quote/AMZN260410C00125000/" TargetMode="External"/><Relationship Id="rId654" Type="http://schemas.openxmlformats.org/officeDocument/2006/relationships/hyperlink" Target="https://finance.yahoo.com/quote/AMZN/options/?straddle=false&amp;strike=235&amp;type=all" TargetMode="External"/><Relationship Id="rId861" Type="http://schemas.openxmlformats.org/officeDocument/2006/relationships/hyperlink" Target="https://finance.yahoo.com/quote/AMZN260515P00255000/" TargetMode="External"/><Relationship Id="rId959" Type="http://schemas.openxmlformats.org/officeDocument/2006/relationships/hyperlink" Target="https://finance.yahoo.com/quote/AMZN260515C00250000/" TargetMode="External"/><Relationship Id="rId1284" Type="http://schemas.openxmlformats.org/officeDocument/2006/relationships/hyperlink" Target="https://finance.yahoo.com/quote/AMZN/options/?straddle=false&amp;strike=310&amp;type=all" TargetMode="External"/><Relationship Id="rId1491" Type="http://schemas.openxmlformats.org/officeDocument/2006/relationships/hyperlink" Target="https://finance.yahoo.com/quote/AMZN260227C00295000/" TargetMode="External"/><Relationship Id="rId1589" Type="http://schemas.openxmlformats.org/officeDocument/2006/relationships/hyperlink" Target="https://finance.yahoo.com/quote/AMZN260227P00255000/" TargetMode="External"/><Relationship Id="rId2335" Type="http://schemas.openxmlformats.org/officeDocument/2006/relationships/hyperlink" Target="https://finance.yahoo.com/quote/AMZN260327C00222500/" TargetMode="External"/><Relationship Id="rId2542" Type="http://schemas.openxmlformats.org/officeDocument/2006/relationships/hyperlink" Target="https://finance.yahoo.com/quote/AMZN/options/?straddle=false&amp;strike=230&amp;type=all" TargetMode="External"/><Relationship Id="rId307" Type="http://schemas.openxmlformats.org/officeDocument/2006/relationships/hyperlink" Target="https://finance.yahoo.com/quote/AMZN260515P00120000/" TargetMode="External"/><Relationship Id="rId514" Type="http://schemas.openxmlformats.org/officeDocument/2006/relationships/hyperlink" Target="https://finance.yahoo.com/quote/AMZN/options/?straddle=false&amp;strike=135&amp;type=all" TargetMode="External"/><Relationship Id="rId721" Type="http://schemas.openxmlformats.org/officeDocument/2006/relationships/hyperlink" Target="https://finance.yahoo.com/quote/AMZN260515P00155000/" TargetMode="External"/><Relationship Id="rId1144" Type="http://schemas.openxmlformats.org/officeDocument/2006/relationships/hyperlink" Target="https://finance.yahoo.com/quote/AMZN/options/?straddle=false&amp;strike=210&amp;type=all" TargetMode="External"/><Relationship Id="rId1351" Type="http://schemas.openxmlformats.org/officeDocument/2006/relationships/hyperlink" Target="https://finance.yahoo.com/quote/AMZN260515P00230000/" TargetMode="External"/><Relationship Id="rId1449" Type="http://schemas.openxmlformats.org/officeDocument/2006/relationships/hyperlink" Target="https://finance.yahoo.com/quote/AMZN260227C00212500/" TargetMode="External"/><Relationship Id="rId1796" Type="http://schemas.openxmlformats.org/officeDocument/2006/relationships/hyperlink" Target="https://finance.yahoo.com/quote/AMZN/options/?straddle=false&amp;strike=245&amp;type=all" TargetMode="External"/><Relationship Id="rId2402" Type="http://schemas.openxmlformats.org/officeDocument/2006/relationships/hyperlink" Target="https://finance.yahoo.com/quote/AMZN/options/?straddle=false&amp;strike=155&amp;type=all" TargetMode="External"/><Relationship Id="rId88" Type="http://schemas.openxmlformats.org/officeDocument/2006/relationships/hyperlink" Target="https://finance.yahoo.com/quote/AMZN/options/?straddle=false&amp;strike=275&amp;type=all" TargetMode="External"/><Relationship Id="rId819" Type="http://schemas.openxmlformats.org/officeDocument/2006/relationships/hyperlink" Target="https://finance.yahoo.com/quote/AMZN260515P00150000/" TargetMode="External"/><Relationship Id="rId1004" Type="http://schemas.openxmlformats.org/officeDocument/2006/relationships/hyperlink" Target="https://finance.yahoo.com/quote/AMZN/options/?straddle=false&amp;strike=110&amp;type=all" TargetMode="External"/><Relationship Id="rId1211" Type="http://schemas.openxmlformats.org/officeDocument/2006/relationships/hyperlink" Target="https://finance.yahoo.com/quote/AMZN260515C00130000/" TargetMode="External"/><Relationship Id="rId1656" Type="http://schemas.openxmlformats.org/officeDocument/2006/relationships/hyperlink" Target="https://finance.yahoo.com/quote/AMZN/options/?straddle=false&amp;strike=207.5&amp;type=all" TargetMode="External"/><Relationship Id="rId1863" Type="http://schemas.openxmlformats.org/officeDocument/2006/relationships/hyperlink" Target="https://finance.yahoo.com/quote/AMZN260318C00245000/" TargetMode="External"/><Relationship Id="rId1309" Type="http://schemas.openxmlformats.org/officeDocument/2006/relationships/hyperlink" Target="https://finance.yahoo.com/quote/AMZN260515P00125000/" TargetMode="External"/><Relationship Id="rId1516" Type="http://schemas.openxmlformats.org/officeDocument/2006/relationships/hyperlink" Target="https://finance.yahoo.com/quote/AMZN/options/?straddle=false&amp;strike=130&amp;type=all" TargetMode="External"/><Relationship Id="rId1723" Type="http://schemas.openxmlformats.org/officeDocument/2006/relationships/hyperlink" Target="https://finance.yahoo.com/quote/AMZN260306P00125000/" TargetMode="External"/><Relationship Id="rId1930" Type="http://schemas.openxmlformats.org/officeDocument/2006/relationships/hyperlink" Target="https://finance.yahoo.com/quote/AMZN/options/?straddle=false&amp;strike=217.5&amp;type=all" TargetMode="External"/><Relationship Id="rId15" Type="http://schemas.openxmlformats.org/officeDocument/2006/relationships/hyperlink" Target="https://finance.yahoo.com/quote/AMZN260123C00160000/" TargetMode="External"/><Relationship Id="rId2192" Type="http://schemas.openxmlformats.org/officeDocument/2006/relationships/hyperlink" Target="https://finance.yahoo.com/quote/AMZN/options/?straddle=false&amp;strike=335&amp;type=all" TargetMode="External"/><Relationship Id="rId164" Type="http://schemas.openxmlformats.org/officeDocument/2006/relationships/hyperlink" Target="https://finance.yahoo.com/quote/AMZN/options/?straddle=false&amp;strike=242.5&amp;type=all" TargetMode="External"/><Relationship Id="rId371" Type="http://schemas.openxmlformats.org/officeDocument/2006/relationships/hyperlink" Target="https://finance.yahoo.com/quote/AMZN260515P00280000/" TargetMode="External"/><Relationship Id="rId2052" Type="http://schemas.openxmlformats.org/officeDocument/2006/relationships/hyperlink" Target="https://finance.yahoo.com/quote/AMZN/options/?straddle=false&amp;strike=295&amp;type=all" TargetMode="External"/><Relationship Id="rId2497" Type="http://schemas.openxmlformats.org/officeDocument/2006/relationships/hyperlink" Target="https://finance.yahoo.com/quote/AMZN260410C00175000/" TargetMode="External"/><Relationship Id="rId469" Type="http://schemas.openxmlformats.org/officeDocument/2006/relationships/hyperlink" Target="https://finance.yahoo.com/quote/AMZN260515C00275000/" TargetMode="External"/><Relationship Id="rId676" Type="http://schemas.openxmlformats.org/officeDocument/2006/relationships/hyperlink" Target="https://finance.yahoo.com/quote/AMZN/options/?straddle=false&amp;strike=290&amp;type=all" TargetMode="External"/><Relationship Id="rId883" Type="http://schemas.openxmlformats.org/officeDocument/2006/relationships/hyperlink" Target="https://finance.yahoo.com/quote/AMZN260515P00310000/" TargetMode="External"/><Relationship Id="rId1099" Type="http://schemas.openxmlformats.org/officeDocument/2006/relationships/hyperlink" Target="https://finance.yahoo.com/quote/AMZN260515C00370000/" TargetMode="External"/><Relationship Id="rId2357" Type="http://schemas.openxmlformats.org/officeDocument/2006/relationships/hyperlink" Target="https://finance.yahoo.com/quote/AMZN260327C00260000/" TargetMode="External"/><Relationship Id="rId2564" Type="http://schemas.openxmlformats.org/officeDocument/2006/relationships/hyperlink" Target="https://finance.yahoo.com/quote/AMZN/options/?straddle=false&amp;strike=280&amp;type=all" TargetMode="External"/><Relationship Id="rId231" Type="http://schemas.openxmlformats.org/officeDocument/2006/relationships/hyperlink" Target="https://finance.yahoo.com/quote/AMZN260515C00180000/" TargetMode="External"/><Relationship Id="rId329" Type="http://schemas.openxmlformats.org/officeDocument/2006/relationships/hyperlink" Target="https://finance.yahoo.com/quote/AMZN260515P00175000/" TargetMode="External"/><Relationship Id="rId536" Type="http://schemas.openxmlformats.org/officeDocument/2006/relationships/hyperlink" Target="https://finance.yahoo.com/quote/AMZN/options/?straddle=false&amp;strike=190&amp;type=all" TargetMode="External"/><Relationship Id="rId1166" Type="http://schemas.openxmlformats.org/officeDocument/2006/relationships/hyperlink" Target="https://finance.yahoo.com/quote/AMZN/options/?straddle=false&amp;strike=265&amp;type=all" TargetMode="External"/><Relationship Id="rId1373" Type="http://schemas.openxmlformats.org/officeDocument/2006/relationships/hyperlink" Target="https://finance.yahoo.com/quote/AMZN260515P00285000/" TargetMode="External"/><Relationship Id="rId2217" Type="http://schemas.openxmlformats.org/officeDocument/2006/relationships/hyperlink" Target="https://finance.yahoo.com/quote/AMZN260327P00180000/" TargetMode="External"/><Relationship Id="rId743" Type="http://schemas.openxmlformats.org/officeDocument/2006/relationships/hyperlink" Target="https://finance.yahoo.com/quote/AMZN260515P00210000/" TargetMode="External"/><Relationship Id="rId950" Type="http://schemas.openxmlformats.org/officeDocument/2006/relationships/hyperlink" Target="https://finance.yahoo.com/quote/AMZN/options/?straddle=false&amp;strike=225&amp;type=all" TargetMode="External"/><Relationship Id="rId1026" Type="http://schemas.openxmlformats.org/officeDocument/2006/relationships/hyperlink" Target="https://finance.yahoo.com/quote/AMZN/options/?straddle=false&amp;strike=165&amp;type=all" TargetMode="External"/><Relationship Id="rId1580" Type="http://schemas.openxmlformats.org/officeDocument/2006/relationships/hyperlink" Target="https://finance.yahoo.com/quote/AMZN/options/?straddle=false&amp;strike=230&amp;type=all" TargetMode="External"/><Relationship Id="rId1678" Type="http://schemas.openxmlformats.org/officeDocument/2006/relationships/hyperlink" Target="https://finance.yahoo.com/quote/AMZN/options/?straddle=false&amp;strike=235&amp;type=all" TargetMode="External"/><Relationship Id="rId1885" Type="http://schemas.openxmlformats.org/officeDocument/2006/relationships/hyperlink" Target="https://finance.yahoo.com/quote/AMZN260318P00160000/" TargetMode="External"/><Relationship Id="rId2424" Type="http://schemas.openxmlformats.org/officeDocument/2006/relationships/hyperlink" Target="https://finance.yahoo.com/quote/AMZN/options/?straddle=false&amp;strike=192.5&amp;type=all" TargetMode="External"/><Relationship Id="rId2631" Type="http://schemas.openxmlformats.org/officeDocument/2006/relationships/hyperlink" Target="https://finance.yahoo.com/quote/AMZN260410P00215000/" TargetMode="External"/><Relationship Id="rId603" Type="http://schemas.openxmlformats.org/officeDocument/2006/relationships/hyperlink" Target="https://finance.yahoo.com/quote/AMZN260515C00110000/" TargetMode="External"/><Relationship Id="rId810" Type="http://schemas.openxmlformats.org/officeDocument/2006/relationships/hyperlink" Target="https://finance.yahoo.com/quote/AMZN/options/?straddle=false&amp;strike=125&amp;type=all" TargetMode="External"/><Relationship Id="rId908" Type="http://schemas.openxmlformats.org/officeDocument/2006/relationships/hyperlink" Target="https://finance.yahoo.com/quote/AMZN/options/?straddle=false&amp;strike=120&amp;type=all" TargetMode="External"/><Relationship Id="rId1233" Type="http://schemas.openxmlformats.org/officeDocument/2006/relationships/hyperlink" Target="https://finance.yahoo.com/quote/AMZN260515C00185000/" TargetMode="External"/><Relationship Id="rId1440" Type="http://schemas.openxmlformats.org/officeDocument/2006/relationships/hyperlink" Target="https://finance.yahoo.com/quote/AMZN/options/?straddle=false&amp;strike=200&amp;type=all" TargetMode="External"/><Relationship Id="rId1538" Type="http://schemas.openxmlformats.org/officeDocument/2006/relationships/hyperlink" Target="https://finance.yahoo.com/quote/AMZN/options/?straddle=false&amp;strike=177.5&amp;type=all" TargetMode="External"/><Relationship Id="rId1300" Type="http://schemas.openxmlformats.org/officeDocument/2006/relationships/hyperlink" Target="https://finance.yahoo.com/quote/AMZN/options/?straddle=false&amp;strike=370&amp;type=all" TargetMode="External"/><Relationship Id="rId1745" Type="http://schemas.openxmlformats.org/officeDocument/2006/relationships/hyperlink" Target="https://finance.yahoo.com/quote/AMZN260306P00175000/" TargetMode="External"/><Relationship Id="rId1952" Type="http://schemas.openxmlformats.org/officeDocument/2006/relationships/hyperlink" Target="https://finance.yahoo.com/quote/AMZN/options/?straddle=false&amp;strike=95&amp;type=all" TargetMode="External"/><Relationship Id="rId37" Type="http://schemas.openxmlformats.org/officeDocument/2006/relationships/hyperlink" Target="https://finance.yahoo.com/quote/AMZN260123C00210000/" TargetMode="External"/><Relationship Id="rId1605" Type="http://schemas.openxmlformats.org/officeDocument/2006/relationships/hyperlink" Target="https://finance.yahoo.com/quote/AMZN260227P00315000/" TargetMode="External"/><Relationship Id="rId1812" Type="http://schemas.openxmlformats.org/officeDocument/2006/relationships/hyperlink" Target="https://finance.yahoo.com/quote/AMZN/options/?straddle=false&amp;strike=295&amp;type=all" TargetMode="External"/><Relationship Id="rId186" Type="http://schemas.openxmlformats.org/officeDocument/2006/relationships/hyperlink" Target="https://finance.yahoo.com/quote/AMZN/options/?straddle=false&amp;strike=270&amp;type=all" TargetMode="External"/><Relationship Id="rId393" Type="http://schemas.openxmlformats.org/officeDocument/2006/relationships/hyperlink" Target="https://finance.yahoo.com/quote/AMZN260515P00340000/" TargetMode="External"/><Relationship Id="rId2074" Type="http://schemas.openxmlformats.org/officeDocument/2006/relationships/hyperlink" Target="https://finance.yahoo.com/quote/AMZN/options/?straddle=false&amp;strike=350&amp;type=all" TargetMode="External"/><Relationship Id="rId2281" Type="http://schemas.openxmlformats.org/officeDocument/2006/relationships/hyperlink" Target="https://finance.yahoo.com/quote/AMZN260327C00135000/" TargetMode="External"/><Relationship Id="rId253" Type="http://schemas.openxmlformats.org/officeDocument/2006/relationships/hyperlink" Target="https://finance.yahoo.com/quote/AMZN260515C00235000/" TargetMode="External"/><Relationship Id="rId460" Type="http://schemas.openxmlformats.org/officeDocument/2006/relationships/hyperlink" Target="https://finance.yahoo.com/quote/AMZN/options/?straddle=false&amp;strike=250&amp;type=all" TargetMode="External"/><Relationship Id="rId698" Type="http://schemas.openxmlformats.org/officeDocument/2006/relationships/hyperlink" Target="https://finance.yahoo.com/quote/AMZN/options/?straddle=false&amp;strike=360&amp;type=all" TargetMode="External"/><Relationship Id="rId1090" Type="http://schemas.openxmlformats.org/officeDocument/2006/relationships/hyperlink" Target="https://finance.yahoo.com/quote/AMZN/options/?straddle=false&amp;strike=325&amp;type=all" TargetMode="External"/><Relationship Id="rId2141" Type="http://schemas.openxmlformats.org/officeDocument/2006/relationships/hyperlink" Target="https://finance.yahoo.com/quote/AMZN260327C00225000/" TargetMode="External"/><Relationship Id="rId2379" Type="http://schemas.openxmlformats.org/officeDocument/2006/relationships/hyperlink" Target="https://finance.yahoo.com/quote/AMZN260327C00315000/" TargetMode="External"/><Relationship Id="rId2586" Type="http://schemas.openxmlformats.org/officeDocument/2006/relationships/hyperlink" Target="https://finance.yahoo.com/quote/AMZN/options/?straddle=false&amp;strike=145&amp;type=all" TargetMode="External"/><Relationship Id="rId113" Type="http://schemas.openxmlformats.org/officeDocument/2006/relationships/hyperlink" Target="https://finance.yahoo.com/quote/AMZN260123P00155000/" TargetMode="External"/><Relationship Id="rId320" Type="http://schemas.openxmlformats.org/officeDocument/2006/relationships/hyperlink" Target="https://finance.yahoo.com/quote/AMZN/options/?straddle=false&amp;strike=150&amp;type=all" TargetMode="External"/><Relationship Id="rId558" Type="http://schemas.openxmlformats.org/officeDocument/2006/relationships/hyperlink" Target="https://finance.yahoo.com/quote/AMZN/options/?straddle=false&amp;strike=245&amp;type=all" TargetMode="External"/><Relationship Id="rId765" Type="http://schemas.openxmlformats.org/officeDocument/2006/relationships/hyperlink" Target="https://finance.yahoo.com/quote/AMZN260515P00265000/" TargetMode="External"/><Relationship Id="rId972" Type="http://schemas.openxmlformats.org/officeDocument/2006/relationships/hyperlink" Target="https://finance.yahoo.com/quote/AMZN/options/?straddle=false&amp;strike=280&amp;type=all" TargetMode="External"/><Relationship Id="rId1188" Type="http://schemas.openxmlformats.org/officeDocument/2006/relationships/hyperlink" Target="https://finance.yahoo.com/quote/AMZN/options/?straddle=false&amp;strike=320&amp;type=all" TargetMode="External"/><Relationship Id="rId1395" Type="http://schemas.openxmlformats.org/officeDocument/2006/relationships/hyperlink" Target="https://finance.yahoo.com/quote/AMZN260515P00350000/" TargetMode="External"/><Relationship Id="rId2001" Type="http://schemas.openxmlformats.org/officeDocument/2006/relationships/hyperlink" Target="https://finance.yahoo.com/quote/AMZN260320P00202500/" TargetMode="External"/><Relationship Id="rId2239" Type="http://schemas.openxmlformats.org/officeDocument/2006/relationships/hyperlink" Target="https://finance.yahoo.com/quote/AMZN260327P00207500/" TargetMode="External"/><Relationship Id="rId2446" Type="http://schemas.openxmlformats.org/officeDocument/2006/relationships/hyperlink" Target="https://finance.yahoo.com/quote/AMZN/options/?straddle=false&amp;strike=220&amp;type=all" TargetMode="External"/><Relationship Id="rId2653" Type="http://schemas.openxmlformats.org/officeDocument/2006/relationships/hyperlink" Target="https://finance.yahoo.com/quote/AMZN260410P00250000/" TargetMode="External"/><Relationship Id="rId418" Type="http://schemas.openxmlformats.org/officeDocument/2006/relationships/hyperlink" Target="https://finance.yahoo.com/quote/AMZN/options/?straddle=false&amp;strike=145&amp;type=all" TargetMode="External"/><Relationship Id="rId625" Type="http://schemas.openxmlformats.org/officeDocument/2006/relationships/hyperlink" Target="https://finance.yahoo.com/quote/AMZN260515C00165000/" TargetMode="External"/><Relationship Id="rId832" Type="http://schemas.openxmlformats.org/officeDocument/2006/relationships/hyperlink" Target="https://finance.yahoo.com/quote/AMZN/options/?straddle=false&amp;strike=180&amp;type=all" TargetMode="External"/><Relationship Id="rId1048" Type="http://schemas.openxmlformats.org/officeDocument/2006/relationships/hyperlink" Target="https://finance.yahoo.com/quote/AMZN/options/?straddle=false&amp;strike=220&amp;type=all" TargetMode="External"/><Relationship Id="rId1255" Type="http://schemas.openxmlformats.org/officeDocument/2006/relationships/hyperlink" Target="https://finance.yahoo.com/quote/AMZN260515C00240000/" TargetMode="External"/><Relationship Id="rId1462" Type="http://schemas.openxmlformats.org/officeDocument/2006/relationships/hyperlink" Target="https://finance.yahoo.com/quote/AMZN/options/?straddle=false&amp;strike=227.5&amp;type=all" TargetMode="External"/><Relationship Id="rId2306" Type="http://schemas.openxmlformats.org/officeDocument/2006/relationships/hyperlink" Target="https://finance.yahoo.com/quote/AMZN/options/?straddle=false&amp;strike=185&amp;type=all" TargetMode="External"/><Relationship Id="rId2513" Type="http://schemas.openxmlformats.org/officeDocument/2006/relationships/hyperlink" Target="https://finance.yahoo.com/quote/AMZN260410C00195000/" TargetMode="External"/><Relationship Id="rId1115" Type="http://schemas.openxmlformats.org/officeDocument/2006/relationships/hyperlink" Target="https://finance.yahoo.com/quote/AMZN260515P00140000/" TargetMode="External"/><Relationship Id="rId1322" Type="http://schemas.openxmlformats.org/officeDocument/2006/relationships/hyperlink" Target="https://finance.yahoo.com/quote/AMZN/options/?straddle=false&amp;strike=155&amp;type=all" TargetMode="External"/><Relationship Id="rId1767" Type="http://schemas.openxmlformats.org/officeDocument/2006/relationships/hyperlink" Target="https://finance.yahoo.com/quote/AMZN260306P00202500/" TargetMode="External"/><Relationship Id="rId1974" Type="http://schemas.openxmlformats.org/officeDocument/2006/relationships/hyperlink" Target="https://finance.yahoo.com/quote/AMZN/options/?straddle=false&amp;strike=150&amp;type=all" TargetMode="External"/><Relationship Id="rId59" Type="http://schemas.openxmlformats.org/officeDocument/2006/relationships/hyperlink" Target="https://finance.yahoo.com/quote/AMZN260123C00237500/" TargetMode="External"/><Relationship Id="rId1627" Type="http://schemas.openxmlformats.org/officeDocument/2006/relationships/hyperlink" Target="https://finance.yahoo.com/quote/AMZN260306C00172500/" TargetMode="External"/><Relationship Id="rId1834" Type="http://schemas.openxmlformats.org/officeDocument/2006/relationships/hyperlink" Target="https://finance.yahoo.com/quote/AMZN/options/?straddle=false&amp;strike=202.5&amp;type=all" TargetMode="External"/><Relationship Id="rId2096" Type="http://schemas.openxmlformats.org/officeDocument/2006/relationships/hyperlink" Target="https://finance.yahoo.com/quote/AMZN/options/?straddle=false&amp;strike=160&amp;type=all" TargetMode="External"/><Relationship Id="rId1901" Type="http://schemas.openxmlformats.org/officeDocument/2006/relationships/hyperlink" Target="https://finance.yahoo.com/quote/AMZN260318P00182500/" TargetMode="External"/><Relationship Id="rId275" Type="http://schemas.openxmlformats.org/officeDocument/2006/relationships/hyperlink" Target="https://finance.yahoo.com/quote/AMZN260515C00290000/" TargetMode="External"/><Relationship Id="rId482" Type="http://schemas.openxmlformats.org/officeDocument/2006/relationships/hyperlink" Target="https://finance.yahoo.com/quote/AMZN/options/?straddle=false&amp;strike=305&amp;type=all" TargetMode="External"/><Relationship Id="rId2163" Type="http://schemas.openxmlformats.org/officeDocument/2006/relationships/hyperlink" Target="https://finance.yahoo.com/quote/AMZN260327C00265000/" TargetMode="External"/><Relationship Id="rId2370" Type="http://schemas.openxmlformats.org/officeDocument/2006/relationships/hyperlink" Target="https://finance.yahoo.com/quote/AMZN/options/?straddle=false&amp;strike=290&amp;type=all" TargetMode="External"/><Relationship Id="rId135" Type="http://schemas.openxmlformats.org/officeDocument/2006/relationships/hyperlink" Target="https://finance.yahoo.com/quote/AMZN260123P00207500/" TargetMode="External"/><Relationship Id="rId342" Type="http://schemas.openxmlformats.org/officeDocument/2006/relationships/hyperlink" Target="https://finance.yahoo.com/quote/AMZN/options/?straddle=false&amp;strike=205&amp;type=all" TargetMode="External"/><Relationship Id="rId787" Type="http://schemas.openxmlformats.org/officeDocument/2006/relationships/hyperlink" Target="https://finance.yahoo.com/quote/AMZN260515P00320000/" TargetMode="External"/><Relationship Id="rId994" Type="http://schemas.openxmlformats.org/officeDocument/2006/relationships/hyperlink" Target="https://finance.yahoo.com/quote/AMZN/options/?straddle=false&amp;strike=340&amp;type=all" TargetMode="External"/><Relationship Id="rId2023" Type="http://schemas.openxmlformats.org/officeDocument/2006/relationships/hyperlink" Target="https://finance.yahoo.com/quote/AMZN260320P00230000/" TargetMode="External"/><Relationship Id="rId2230" Type="http://schemas.openxmlformats.org/officeDocument/2006/relationships/hyperlink" Target="https://finance.yahoo.com/quote/AMZN/options/?straddle=false&amp;strike=195&amp;type=all" TargetMode="External"/><Relationship Id="rId2468" Type="http://schemas.openxmlformats.org/officeDocument/2006/relationships/hyperlink" Target="https://finance.yahoo.com/quote/AMZN/options/?straddle=false&amp;strike=255&amp;type=all" TargetMode="External"/><Relationship Id="rId202" Type="http://schemas.openxmlformats.org/officeDocument/2006/relationships/hyperlink" Target="https://finance.yahoo.com/quote/AMZN/options/?straddle=false&amp;strike=105&amp;type=all" TargetMode="External"/><Relationship Id="rId647" Type="http://schemas.openxmlformats.org/officeDocument/2006/relationships/hyperlink" Target="https://finance.yahoo.com/quote/AMZN260515C00220000/" TargetMode="External"/><Relationship Id="rId854" Type="http://schemas.openxmlformats.org/officeDocument/2006/relationships/hyperlink" Target="https://finance.yahoo.com/quote/AMZN/options/?straddle=false&amp;strike=235&amp;type=all" TargetMode="External"/><Relationship Id="rId1277" Type="http://schemas.openxmlformats.org/officeDocument/2006/relationships/hyperlink" Target="https://finance.yahoo.com/quote/AMZN260515C00295000/" TargetMode="External"/><Relationship Id="rId1484" Type="http://schemas.openxmlformats.org/officeDocument/2006/relationships/hyperlink" Target="https://finance.yahoo.com/quote/AMZN/options/?straddle=false&amp;strike=275&amp;type=all" TargetMode="External"/><Relationship Id="rId1691" Type="http://schemas.openxmlformats.org/officeDocument/2006/relationships/hyperlink" Target="https://finance.yahoo.com/quote/AMZN260306C00270000/" TargetMode="External"/><Relationship Id="rId2328" Type="http://schemas.openxmlformats.org/officeDocument/2006/relationships/hyperlink" Target="https://finance.yahoo.com/quote/AMZN/options/?straddle=false&amp;strike=212.5&amp;type=all" TargetMode="External"/><Relationship Id="rId2535" Type="http://schemas.openxmlformats.org/officeDocument/2006/relationships/hyperlink" Target="https://finance.yahoo.com/quote/AMZN260410C00222500/" TargetMode="External"/><Relationship Id="rId507" Type="http://schemas.openxmlformats.org/officeDocument/2006/relationships/hyperlink" Target="https://finance.yahoo.com/quote/AMZN260515P00120000/" TargetMode="External"/><Relationship Id="rId714" Type="http://schemas.openxmlformats.org/officeDocument/2006/relationships/hyperlink" Target="https://finance.yahoo.com/quote/AMZN/options/?straddle=false&amp;strike=135&amp;type=all" TargetMode="External"/><Relationship Id="rId921" Type="http://schemas.openxmlformats.org/officeDocument/2006/relationships/hyperlink" Target="https://finance.yahoo.com/quote/AMZN260515C00155000/" TargetMode="External"/><Relationship Id="rId1137" Type="http://schemas.openxmlformats.org/officeDocument/2006/relationships/hyperlink" Target="https://finance.yahoo.com/quote/AMZN260515P00195000/" TargetMode="External"/><Relationship Id="rId1344" Type="http://schemas.openxmlformats.org/officeDocument/2006/relationships/hyperlink" Target="https://finance.yahoo.com/quote/AMZN/options/?straddle=false&amp;strike=210&amp;type=all" TargetMode="External"/><Relationship Id="rId1551" Type="http://schemas.openxmlformats.org/officeDocument/2006/relationships/hyperlink" Target="https://finance.yahoo.com/quote/AMZN260227P00195000/" TargetMode="External"/><Relationship Id="rId1789" Type="http://schemas.openxmlformats.org/officeDocument/2006/relationships/hyperlink" Target="https://finance.yahoo.com/quote/AMZN260306P00230000/" TargetMode="External"/><Relationship Id="rId1996" Type="http://schemas.openxmlformats.org/officeDocument/2006/relationships/hyperlink" Target="https://finance.yahoo.com/quote/AMZN/options/?straddle=false&amp;strike=195&amp;type=all" TargetMode="External"/><Relationship Id="rId2602" Type="http://schemas.openxmlformats.org/officeDocument/2006/relationships/hyperlink" Target="https://finance.yahoo.com/quote/AMZN/options/?straddle=false&amp;strike=177.5&amp;type=all" TargetMode="External"/><Relationship Id="rId50" Type="http://schemas.openxmlformats.org/officeDocument/2006/relationships/hyperlink" Target="https://finance.yahoo.com/quote/AMZN/options/?straddle=false&amp;strike=225&amp;type=all" TargetMode="External"/><Relationship Id="rId1204" Type="http://schemas.openxmlformats.org/officeDocument/2006/relationships/hyperlink" Target="https://finance.yahoo.com/quote/AMZN/options/?straddle=false&amp;strike=110&amp;type=all" TargetMode="External"/><Relationship Id="rId1411" Type="http://schemas.openxmlformats.org/officeDocument/2006/relationships/hyperlink" Target="https://finance.yahoo.com/quote/AMZN260227C00155000/" TargetMode="External"/><Relationship Id="rId1649" Type="http://schemas.openxmlformats.org/officeDocument/2006/relationships/hyperlink" Target="https://finance.yahoo.com/quote/AMZN260306C00200000/" TargetMode="External"/><Relationship Id="rId1856" Type="http://schemas.openxmlformats.org/officeDocument/2006/relationships/hyperlink" Target="https://finance.yahoo.com/quote/AMZN/options/?straddle=false&amp;strike=230&amp;type=all" TargetMode="External"/><Relationship Id="rId1509" Type="http://schemas.openxmlformats.org/officeDocument/2006/relationships/hyperlink" Target="https://finance.yahoo.com/quote/AMZN260227C00340000/" TargetMode="External"/><Relationship Id="rId1716" Type="http://schemas.openxmlformats.org/officeDocument/2006/relationships/hyperlink" Target="https://finance.yahoo.com/quote/AMZN/options/?straddle=false&amp;strike=330&amp;type=all" TargetMode="External"/><Relationship Id="rId1923" Type="http://schemas.openxmlformats.org/officeDocument/2006/relationships/hyperlink" Target="https://finance.yahoo.com/quote/AMZN260318P00210000/" TargetMode="External"/><Relationship Id="rId297" Type="http://schemas.openxmlformats.org/officeDocument/2006/relationships/hyperlink" Target="https://finance.yahoo.com/quote/AMZN260515C00360000/" TargetMode="External"/><Relationship Id="rId2185" Type="http://schemas.openxmlformats.org/officeDocument/2006/relationships/hyperlink" Target="https://finance.yahoo.com/quote/AMZN260327C00320000/" TargetMode="External"/><Relationship Id="rId2392" Type="http://schemas.openxmlformats.org/officeDocument/2006/relationships/hyperlink" Target="https://finance.yahoo.com/quote/AMZN/options/?straddle=false&amp;strike=130&amp;type=all" TargetMode="External"/><Relationship Id="rId157" Type="http://schemas.openxmlformats.org/officeDocument/2006/relationships/hyperlink" Target="https://finance.yahoo.com/quote/AMZN260123P00235000/" TargetMode="External"/><Relationship Id="rId364" Type="http://schemas.openxmlformats.org/officeDocument/2006/relationships/hyperlink" Target="https://finance.yahoo.com/quote/AMZN/options/?straddle=false&amp;strike=260&amp;type=all" TargetMode="External"/><Relationship Id="rId2045" Type="http://schemas.openxmlformats.org/officeDocument/2006/relationships/hyperlink" Target="https://finance.yahoo.com/quote/AMZN260320P00280000/" TargetMode="External"/><Relationship Id="rId571" Type="http://schemas.openxmlformats.org/officeDocument/2006/relationships/hyperlink" Target="https://finance.yahoo.com/quote/AMZN260515P00280000/" TargetMode="External"/><Relationship Id="rId669" Type="http://schemas.openxmlformats.org/officeDocument/2006/relationships/hyperlink" Target="https://finance.yahoo.com/quote/AMZN260515C00275000/" TargetMode="External"/><Relationship Id="rId876" Type="http://schemas.openxmlformats.org/officeDocument/2006/relationships/hyperlink" Target="https://finance.yahoo.com/quote/AMZN/options/?straddle=false&amp;strike=290&amp;type=all" TargetMode="External"/><Relationship Id="rId1299" Type="http://schemas.openxmlformats.org/officeDocument/2006/relationships/hyperlink" Target="https://finance.yahoo.com/quote/AMZN260515C00370000/" TargetMode="External"/><Relationship Id="rId2252" Type="http://schemas.openxmlformats.org/officeDocument/2006/relationships/hyperlink" Target="https://finance.yahoo.com/quote/AMZN/options/?straddle=false&amp;strike=222.5&amp;type=all" TargetMode="External"/><Relationship Id="rId2557" Type="http://schemas.openxmlformats.org/officeDocument/2006/relationships/hyperlink" Target="https://finance.yahoo.com/quote/AMZN260410C00265000/" TargetMode="External"/><Relationship Id="rId224" Type="http://schemas.openxmlformats.org/officeDocument/2006/relationships/hyperlink" Target="https://finance.yahoo.com/quote/AMZN/options/?straddle=false&amp;strike=160&amp;type=all" TargetMode="External"/><Relationship Id="rId431" Type="http://schemas.openxmlformats.org/officeDocument/2006/relationships/hyperlink" Target="https://finance.yahoo.com/quote/AMZN260515C00180000/" TargetMode="External"/><Relationship Id="rId529" Type="http://schemas.openxmlformats.org/officeDocument/2006/relationships/hyperlink" Target="https://finance.yahoo.com/quote/AMZN260515P00175000/" TargetMode="External"/><Relationship Id="rId736" Type="http://schemas.openxmlformats.org/officeDocument/2006/relationships/hyperlink" Target="https://finance.yahoo.com/quote/AMZN/options/?straddle=false&amp;strike=190&amp;type=all" TargetMode="External"/><Relationship Id="rId1061" Type="http://schemas.openxmlformats.org/officeDocument/2006/relationships/hyperlink" Target="https://finance.yahoo.com/quote/AMZN260515C00255000/" TargetMode="External"/><Relationship Id="rId1159" Type="http://schemas.openxmlformats.org/officeDocument/2006/relationships/hyperlink" Target="https://finance.yahoo.com/quote/AMZN260515P00250000/" TargetMode="External"/><Relationship Id="rId1366" Type="http://schemas.openxmlformats.org/officeDocument/2006/relationships/hyperlink" Target="https://finance.yahoo.com/quote/AMZN/options/?straddle=false&amp;strike=265&amp;type=all" TargetMode="External"/><Relationship Id="rId2112" Type="http://schemas.openxmlformats.org/officeDocument/2006/relationships/hyperlink" Target="https://finance.yahoo.com/quote/AMZN/options/?straddle=false&amp;strike=187.5&amp;type=all" TargetMode="External"/><Relationship Id="rId2417" Type="http://schemas.openxmlformats.org/officeDocument/2006/relationships/hyperlink" Target="https://finance.yahoo.com/quote/AMZN260327P00185000/" TargetMode="External"/><Relationship Id="rId943" Type="http://schemas.openxmlformats.org/officeDocument/2006/relationships/hyperlink" Target="https://finance.yahoo.com/quote/AMZN260515C00210000/" TargetMode="External"/><Relationship Id="rId1019" Type="http://schemas.openxmlformats.org/officeDocument/2006/relationships/hyperlink" Target="https://finance.yahoo.com/quote/AMZN260515C00150000/" TargetMode="External"/><Relationship Id="rId1573" Type="http://schemas.openxmlformats.org/officeDocument/2006/relationships/hyperlink" Target="https://finance.yahoo.com/quote/AMZN260227P00222500/" TargetMode="External"/><Relationship Id="rId1780" Type="http://schemas.openxmlformats.org/officeDocument/2006/relationships/hyperlink" Target="https://finance.yahoo.com/quote/AMZN/options/?straddle=false&amp;strike=217.5&amp;type=all" TargetMode="External"/><Relationship Id="rId1878" Type="http://schemas.openxmlformats.org/officeDocument/2006/relationships/hyperlink" Target="https://finance.yahoo.com/quote/AMZN/options/?straddle=false&amp;strike=285&amp;type=all" TargetMode="External"/><Relationship Id="rId2624" Type="http://schemas.openxmlformats.org/officeDocument/2006/relationships/hyperlink" Target="https://finance.yahoo.com/quote/AMZN/options/?straddle=false&amp;strike=205&amp;type=all" TargetMode="External"/><Relationship Id="rId72" Type="http://schemas.openxmlformats.org/officeDocument/2006/relationships/hyperlink" Target="https://finance.yahoo.com/quote/AMZN/options/?straddle=false&amp;strike=252.5&amp;type=all" TargetMode="External"/><Relationship Id="rId803" Type="http://schemas.openxmlformats.org/officeDocument/2006/relationships/hyperlink" Target="https://finance.yahoo.com/quote/AMZN260515P00110000/" TargetMode="External"/><Relationship Id="rId1226" Type="http://schemas.openxmlformats.org/officeDocument/2006/relationships/hyperlink" Target="https://finance.yahoo.com/quote/AMZN/options/?straddle=false&amp;strike=165&amp;type=all" TargetMode="External"/><Relationship Id="rId1433" Type="http://schemas.openxmlformats.org/officeDocument/2006/relationships/hyperlink" Target="https://finance.yahoo.com/quote/AMZN260227C00192500/" TargetMode="External"/><Relationship Id="rId1640" Type="http://schemas.openxmlformats.org/officeDocument/2006/relationships/hyperlink" Target="https://finance.yahoo.com/quote/AMZN/options/?straddle=false&amp;strike=187.5&amp;type=all" TargetMode="External"/><Relationship Id="rId1738" Type="http://schemas.openxmlformats.org/officeDocument/2006/relationships/hyperlink" Target="https://finance.yahoo.com/quote/AMZN/options/?straddle=false&amp;strike=160&amp;type=all" TargetMode="External"/><Relationship Id="rId1500" Type="http://schemas.openxmlformats.org/officeDocument/2006/relationships/hyperlink" Target="https://finance.yahoo.com/quote/AMZN/options/?straddle=false&amp;strike=315&amp;type=all" TargetMode="External"/><Relationship Id="rId1945" Type="http://schemas.openxmlformats.org/officeDocument/2006/relationships/hyperlink" Target="https://finance.yahoo.com/quote/AMZN260318P00260000/" TargetMode="External"/><Relationship Id="rId1805" Type="http://schemas.openxmlformats.org/officeDocument/2006/relationships/hyperlink" Target="https://finance.yahoo.com/quote/AMZN260306P00270000/" TargetMode="External"/><Relationship Id="rId179" Type="http://schemas.openxmlformats.org/officeDocument/2006/relationships/hyperlink" Target="https://finance.yahoo.com/quote/AMZN260123P00262500/" TargetMode="External"/><Relationship Id="rId386" Type="http://schemas.openxmlformats.org/officeDocument/2006/relationships/hyperlink" Target="https://finance.yahoo.com/quote/AMZN/options/?straddle=false&amp;strike=315&amp;type=all" TargetMode="External"/><Relationship Id="rId593" Type="http://schemas.openxmlformats.org/officeDocument/2006/relationships/hyperlink" Target="https://finance.yahoo.com/quote/AMZN260515P00340000/" TargetMode="External"/><Relationship Id="rId2067" Type="http://schemas.openxmlformats.org/officeDocument/2006/relationships/hyperlink" Target="https://finance.yahoo.com/quote/AMZN260320P00335000/" TargetMode="External"/><Relationship Id="rId2274" Type="http://schemas.openxmlformats.org/officeDocument/2006/relationships/hyperlink" Target="https://finance.yahoo.com/quote/AMZN/options/?straddle=false&amp;strike=260&amp;type=all" TargetMode="External"/><Relationship Id="rId2481" Type="http://schemas.openxmlformats.org/officeDocument/2006/relationships/hyperlink" Target="https://finance.yahoo.com/quote/AMZN260410C00140000/" TargetMode="External"/><Relationship Id="rId246" Type="http://schemas.openxmlformats.org/officeDocument/2006/relationships/hyperlink" Target="https://finance.yahoo.com/quote/AMZN/options/?straddle=false&amp;strike=215&amp;type=all" TargetMode="External"/><Relationship Id="rId453" Type="http://schemas.openxmlformats.org/officeDocument/2006/relationships/hyperlink" Target="https://finance.yahoo.com/quote/AMZN260515C00235000/" TargetMode="External"/><Relationship Id="rId660" Type="http://schemas.openxmlformats.org/officeDocument/2006/relationships/hyperlink" Target="https://finance.yahoo.com/quote/AMZN/options/?straddle=false&amp;strike=250&amp;type=all" TargetMode="External"/><Relationship Id="rId898" Type="http://schemas.openxmlformats.org/officeDocument/2006/relationships/hyperlink" Target="https://finance.yahoo.com/quote/AMZN/options/?straddle=false&amp;strike=360&amp;type=all" TargetMode="External"/><Relationship Id="rId1083" Type="http://schemas.openxmlformats.org/officeDocument/2006/relationships/hyperlink" Target="https://finance.yahoo.com/quote/AMZN260515C00310000/" TargetMode="External"/><Relationship Id="rId1290" Type="http://schemas.openxmlformats.org/officeDocument/2006/relationships/hyperlink" Target="https://finance.yahoo.com/quote/AMZN/options/?straddle=false&amp;strike=325&amp;type=all" TargetMode="External"/><Relationship Id="rId2134" Type="http://schemas.openxmlformats.org/officeDocument/2006/relationships/hyperlink" Target="https://finance.yahoo.com/quote/AMZN/options/?straddle=false&amp;strike=215&amp;type=all" TargetMode="External"/><Relationship Id="rId2341" Type="http://schemas.openxmlformats.org/officeDocument/2006/relationships/hyperlink" Target="https://finance.yahoo.com/quote/AMZN260327C00230000/" TargetMode="External"/><Relationship Id="rId2579" Type="http://schemas.openxmlformats.org/officeDocument/2006/relationships/hyperlink" Target="https://finance.yahoo.com/quote/AMZN260410P00130000/" TargetMode="External"/><Relationship Id="rId106" Type="http://schemas.openxmlformats.org/officeDocument/2006/relationships/hyperlink" Target="https://finance.yahoo.com/quote/AMZN/options/?straddle=false&amp;strike=135&amp;type=all" TargetMode="External"/><Relationship Id="rId313" Type="http://schemas.openxmlformats.org/officeDocument/2006/relationships/hyperlink" Target="https://finance.yahoo.com/quote/AMZN260515P00135000/" TargetMode="External"/><Relationship Id="rId758" Type="http://schemas.openxmlformats.org/officeDocument/2006/relationships/hyperlink" Target="https://finance.yahoo.com/quote/AMZN/options/?straddle=false&amp;strike=245&amp;type=all" TargetMode="External"/><Relationship Id="rId965" Type="http://schemas.openxmlformats.org/officeDocument/2006/relationships/hyperlink" Target="https://finance.yahoo.com/quote/AMZN260515C00265000/" TargetMode="External"/><Relationship Id="rId1150" Type="http://schemas.openxmlformats.org/officeDocument/2006/relationships/hyperlink" Target="https://finance.yahoo.com/quote/AMZN/options/?straddle=false&amp;strike=225&amp;type=all" TargetMode="External"/><Relationship Id="rId1388" Type="http://schemas.openxmlformats.org/officeDocument/2006/relationships/hyperlink" Target="https://finance.yahoo.com/quote/AMZN/options/?straddle=false&amp;strike=320&amp;type=all" TargetMode="External"/><Relationship Id="rId1595" Type="http://schemas.openxmlformats.org/officeDocument/2006/relationships/hyperlink" Target="https://finance.yahoo.com/quote/AMZN260227P00270000/" TargetMode="External"/><Relationship Id="rId2439" Type="http://schemas.openxmlformats.org/officeDocument/2006/relationships/hyperlink" Target="https://finance.yahoo.com/quote/AMZN260327P00212500/" TargetMode="External"/><Relationship Id="rId2646" Type="http://schemas.openxmlformats.org/officeDocument/2006/relationships/hyperlink" Target="https://finance.yahoo.com/quote/AMZN/options/?straddle=false&amp;strike=232.5&amp;type=all" TargetMode="External"/><Relationship Id="rId94" Type="http://schemas.openxmlformats.org/officeDocument/2006/relationships/hyperlink" Target="https://finance.yahoo.com/quote/AMZN/options/?straddle=false&amp;strike=290&amp;type=all" TargetMode="External"/><Relationship Id="rId520" Type="http://schemas.openxmlformats.org/officeDocument/2006/relationships/hyperlink" Target="https://finance.yahoo.com/quote/AMZN/options/?straddle=false&amp;strike=150&amp;type=all" TargetMode="External"/><Relationship Id="rId618" Type="http://schemas.openxmlformats.org/officeDocument/2006/relationships/hyperlink" Target="https://finance.yahoo.com/quote/AMZN/options/?straddle=false&amp;strike=145&amp;type=all" TargetMode="External"/><Relationship Id="rId825" Type="http://schemas.openxmlformats.org/officeDocument/2006/relationships/hyperlink" Target="https://finance.yahoo.com/quote/AMZN260515P00165000/" TargetMode="External"/><Relationship Id="rId1248" Type="http://schemas.openxmlformats.org/officeDocument/2006/relationships/hyperlink" Target="https://finance.yahoo.com/quote/AMZN/options/?straddle=false&amp;strike=220&amp;type=all" TargetMode="External"/><Relationship Id="rId1455" Type="http://schemas.openxmlformats.org/officeDocument/2006/relationships/hyperlink" Target="https://finance.yahoo.com/quote/AMZN260227C00220000/" TargetMode="External"/><Relationship Id="rId1662" Type="http://schemas.openxmlformats.org/officeDocument/2006/relationships/hyperlink" Target="https://finance.yahoo.com/quote/AMZN/options/?straddle=false&amp;strike=215&amp;type=all" TargetMode="External"/><Relationship Id="rId2201" Type="http://schemas.openxmlformats.org/officeDocument/2006/relationships/hyperlink" Target="https://finance.yahoo.com/quote/AMZN260327P00145000/" TargetMode="External"/><Relationship Id="rId2506" Type="http://schemas.openxmlformats.org/officeDocument/2006/relationships/hyperlink" Target="https://finance.yahoo.com/quote/AMZN/options/?straddle=false&amp;strike=185&amp;type=all" TargetMode="External"/><Relationship Id="rId1010" Type="http://schemas.openxmlformats.org/officeDocument/2006/relationships/hyperlink" Target="https://finance.yahoo.com/quote/AMZN/options/?straddle=false&amp;strike=125&amp;type=all" TargetMode="External"/><Relationship Id="rId1108" Type="http://schemas.openxmlformats.org/officeDocument/2006/relationships/hyperlink" Target="https://finance.yahoo.com/quote/AMZN/options/?straddle=false&amp;strike=120&amp;type=all" TargetMode="External"/><Relationship Id="rId1315" Type="http://schemas.openxmlformats.org/officeDocument/2006/relationships/hyperlink" Target="https://finance.yahoo.com/quote/AMZN260515P00140000/" TargetMode="External"/><Relationship Id="rId1967" Type="http://schemas.openxmlformats.org/officeDocument/2006/relationships/hyperlink" Target="https://finance.yahoo.com/quote/AMZN260320P00135000/" TargetMode="External"/><Relationship Id="rId1522" Type="http://schemas.openxmlformats.org/officeDocument/2006/relationships/hyperlink" Target="https://finance.yahoo.com/quote/AMZN/options/?straddle=false&amp;strike=145&amp;type=all" TargetMode="External"/><Relationship Id="rId21" Type="http://schemas.openxmlformats.org/officeDocument/2006/relationships/hyperlink" Target="https://finance.yahoo.com/quote/AMZN260123C00175000/" TargetMode="External"/><Relationship Id="rId2089" Type="http://schemas.openxmlformats.org/officeDocument/2006/relationships/hyperlink" Target="https://finance.yahoo.com/quote/AMZN260327C00145000/" TargetMode="External"/><Relationship Id="rId2296" Type="http://schemas.openxmlformats.org/officeDocument/2006/relationships/hyperlink" Target="https://finance.yahoo.com/quote/AMZN/options/?straddle=false&amp;strike=170&amp;type=all" TargetMode="External"/><Relationship Id="rId268" Type="http://schemas.openxmlformats.org/officeDocument/2006/relationships/hyperlink" Target="https://finance.yahoo.com/quote/AMZN/options/?straddle=false&amp;strike=270&amp;type=all" TargetMode="External"/><Relationship Id="rId475" Type="http://schemas.openxmlformats.org/officeDocument/2006/relationships/hyperlink" Target="https://finance.yahoo.com/quote/AMZN260515C00290000/" TargetMode="External"/><Relationship Id="rId682" Type="http://schemas.openxmlformats.org/officeDocument/2006/relationships/hyperlink" Target="https://finance.yahoo.com/quote/AMZN/options/?straddle=false&amp;strike=305&amp;type=all" TargetMode="External"/><Relationship Id="rId2156" Type="http://schemas.openxmlformats.org/officeDocument/2006/relationships/hyperlink" Target="https://finance.yahoo.com/quote/AMZN/options/?straddle=false&amp;strike=245&amp;type=all" TargetMode="External"/><Relationship Id="rId2363" Type="http://schemas.openxmlformats.org/officeDocument/2006/relationships/hyperlink" Target="https://finance.yahoo.com/quote/AMZN260327C00275000/" TargetMode="External"/><Relationship Id="rId2570" Type="http://schemas.openxmlformats.org/officeDocument/2006/relationships/hyperlink" Target="https://finance.yahoo.com/quote/AMZN/options/?straddle=false&amp;strike=295&amp;type=all" TargetMode="External"/><Relationship Id="rId128" Type="http://schemas.openxmlformats.org/officeDocument/2006/relationships/hyperlink" Target="https://finance.yahoo.com/quote/AMZN/options/?straddle=false&amp;strike=190&amp;type=all" TargetMode="External"/><Relationship Id="rId335" Type="http://schemas.openxmlformats.org/officeDocument/2006/relationships/hyperlink" Target="https://finance.yahoo.com/quote/AMZN260515P00190000/" TargetMode="External"/><Relationship Id="rId542" Type="http://schemas.openxmlformats.org/officeDocument/2006/relationships/hyperlink" Target="https://finance.yahoo.com/quote/AMZN/options/?straddle=false&amp;strike=205&amp;type=all" TargetMode="External"/><Relationship Id="rId1172" Type="http://schemas.openxmlformats.org/officeDocument/2006/relationships/hyperlink" Target="https://finance.yahoo.com/quote/AMZN/options/?straddle=false&amp;strike=280&amp;type=all" TargetMode="External"/><Relationship Id="rId2016" Type="http://schemas.openxmlformats.org/officeDocument/2006/relationships/hyperlink" Target="https://finance.yahoo.com/quote/AMZN/options/?straddle=false&amp;strike=220&amp;type=all" TargetMode="External"/><Relationship Id="rId2223" Type="http://schemas.openxmlformats.org/officeDocument/2006/relationships/hyperlink" Target="https://finance.yahoo.com/quote/AMZN260327P00187500/" TargetMode="External"/><Relationship Id="rId2430" Type="http://schemas.openxmlformats.org/officeDocument/2006/relationships/hyperlink" Target="https://finance.yahoo.com/quote/AMZN/options/?straddle=false&amp;strike=200&amp;type=all" TargetMode="External"/><Relationship Id="rId402" Type="http://schemas.openxmlformats.org/officeDocument/2006/relationships/hyperlink" Target="https://finance.yahoo.com/quote/AMZN/options/?straddle=false&amp;strike=105&amp;type=all" TargetMode="External"/><Relationship Id="rId1032" Type="http://schemas.openxmlformats.org/officeDocument/2006/relationships/hyperlink" Target="https://finance.yahoo.com/quote/AMZN/options/?straddle=false&amp;strike=180&amp;type=all" TargetMode="External"/><Relationship Id="rId1989" Type="http://schemas.openxmlformats.org/officeDocument/2006/relationships/hyperlink" Target="https://finance.yahoo.com/quote/AMZN260320P00187500/" TargetMode="External"/><Relationship Id="rId1849" Type="http://schemas.openxmlformats.org/officeDocument/2006/relationships/hyperlink" Target="https://finance.yahoo.com/quote/AMZN260318C00222500/" TargetMode="External"/><Relationship Id="rId192" Type="http://schemas.openxmlformats.org/officeDocument/2006/relationships/hyperlink" Target="https://finance.yahoo.com/quote/AMZN/options/?straddle=false&amp;strike=345&amp;type=all" TargetMode="External"/><Relationship Id="rId1709" Type="http://schemas.openxmlformats.org/officeDocument/2006/relationships/hyperlink" Target="https://finance.yahoo.com/quote/AMZN260306C00315000/" TargetMode="External"/><Relationship Id="rId1916" Type="http://schemas.openxmlformats.org/officeDocument/2006/relationships/hyperlink" Target="https://finance.yahoo.com/quote/AMZN/options/?straddle=false&amp;strike=200&amp;type=all" TargetMode="External"/><Relationship Id="rId2080" Type="http://schemas.openxmlformats.org/officeDocument/2006/relationships/hyperlink" Target="https://finance.yahoo.com/quote/AMZN/options/?straddle=false&amp;strike=370&amp;type=all" TargetMode="External"/><Relationship Id="rId869" Type="http://schemas.openxmlformats.org/officeDocument/2006/relationships/hyperlink" Target="https://finance.yahoo.com/quote/AMZN260515P00275000/" TargetMode="External"/><Relationship Id="rId1499" Type="http://schemas.openxmlformats.org/officeDocument/2006/relationships/hyperlink" Target="https://finance.yahoo.com/quote/AMZN260227C00315000/" TargetMode="External"/><Relationship Id="rId729" Type="http://schemas.openxmlformats.org/officeDocument/2006/relationships/hyperlink" Target="https://finance.yahoo.com/quote/AMZN260515P00175000/" TargetMode="External"/><Relationship Id="rId1359" Type="http://schemas.openxmlformats.org/officeDocument/2006/relationships/hyperlink" Target="https://finance.yahoo.com/quote/AMZN260515P00250000/" TargetMode="External"/><Relationship Id="rId936" Type="http://schemas.openxmlformats.org/officeDocument/2006/relationships/hyperlink" Target="https://finance.yahoo.com/quote/AMZN/options/?straddle=false&amp;strike=190&amp;type=all" TargetMode="External"/><Relationship Id="rId1219" Type="http://schemas.openxmlformats.org/officeDocument/2006/relationships/hyperlink" Target="https://finance.yahoo.com/quote/AMZN260515C00150000/" TargetMode="External"/><Relationship Id="rId1566" Type="http://schemas.openxmlformats.org/officeDocument/2006/relationships/hyperlink" Target="https://finance.yahoo.com/quote/AMZN/options/?straddle=false&amp;strike=212.5&amp;type=all" TargetMode="External"/><Relationship Id="rId1773" Type="http://schemas.openxmlformats.org/officeDocument/2006/relationships/hyperlink" Target="https://finance.yahoo.com/quote/AMZN260306P00210000/" TargetMode="External"/><Relationship Id="rId1980" Type="http://schemas.openxmlformats.org/officeDocument/2006/relationships/hyperlink" Target="https://finance.yahoo.com/quote/AMZN/options/?straddle=false&amp;strike=165&amp;type=all" TargetMode="External"/><Relationship Id="rId2617" Type="http://schemas.openxmlformats.org/officeDocument/2006/relationships/hyperlink" Target="https://finance.yahoo.com/quote/AMZN260410P00197500/" TargetMode="External"/><Relationship Id="rId65" Type="http://schemas.openxmlformats.org/officeDocument/2006/relationships/hyperlink" Target="https://finance.yahoo.com/quote/AMZN260123C00245000/" TargetMode="External"/><Relationship Id="rId1426" Type="http://schemas.openxmlformats.org/officeDocument/2006/relationships/hyperlink" Target="https://finance.yahoo.com/quote/AMZN/options/?straddle=false&amp;strike=182.5&amp;type=all" TargetMode="External"/><Relationship Id="rId1633" Type="http://schemas.openxmlformats.org/officeDocument/2006/relationships/hyperlink" Target="https://finance.yahoo.com/quote/AMZN260306C00180000/" TargetMode="External"/><Relationship Id="rId1840" Type="http://schemas.openxmlformats.org/officeDocument/2006/relationships/hyperlink" Target="https://finance.yahoo.com/quote/AMZN/options/?straddle=false&amp;strike=210&amp;type=all" TargetMode="External"/><Relationship Id="rId1700" Type="http://schemas.openxmlformats.org/officeDocument/2006/relationships/hyperlink" Target="https://finance.yahoo.com/quote/AMZN/options/?straddle=false&amp;strike=290&amp;type=all" TargetMode="External"/><Relationship Id="rId379" Type="http://schemas.openxmlformats.org/officeDocument/2006/relationships/hyperlink" Target="https://finance.yahoo.com/quote/AMZN260515P00300000/" TargetMode="External"/><Relationship Id="rId586" Type="http://schemas.openxmlformats.org/officeDocument/2006/relationships/hyperlink" Target="https://finance.yahoo.com/quote/AMZN/options/?straddle=false&amp;strike=315&amp;type=all" TargetMode="External"/><Relationship Id="rId793" Type="http://schemas.openxmlformats.org/officeDocument/2006/relationships/hyperlink" Target="https://finance.yahoo.com/quote/AMZN260515P00340000/" TargetMode="External"/><Relationship Id="rId2267" Type="http://schemas.openxmlformats.org/officeDocument/2006/relationships/hyperlink" Target="https://finance.yahoo.com/quote/AMZN260327P00245000/" TargetMode="External"/><Relationship Id="rId2474" Type="http://schemas.openxmlformats.org/officeDocument/2006/relationships/hyperlink" Target="https://finance.yahoo.com/quote/AMZN/options/?straddle=false&amp;strike=120&amp;type=all" TargetMode="External"/><Relationship Id="rId239" Type="http://schemas.openxmlformats.org/officeDocument/2006/relationships/hyperlink" Target="https://finance.yahoo.com/quote/AMZN260515C00200000/" TargetMode="External"/><Relationship Id="rId446" Type="http://schemas.openxmlformats.org/officeDocument/2006/relationships/hyperlink" Target="https://finance.yahoo.com/quote/AMZN/options/?straddle=false&amp;strike=215&amp;type=all" TargetMode="External"/><Relationship Id="rId653" Type="http://schemas.openxmlformats.org/officeDocument/2006/relationships/hyperlink" Target="https://finance.yahoo.com/quote/AMZN260515C00235000/" TargetMode="External"/><Relationship Id="rId1076" Type="http://schemas.openxmlformats.org/officeDocument/2006/relationships/hyperlink" Target="https://finance.yahoo.com/quote/AMZN/options/?straddle=false&amp;strike=290&amp;type=all" TargetMode="External"/><Relationship Id="rId1283" Type="http://schemas.openxmlformats.org/officeDocument/2006/relationships/hyperlink" Target="https://finance.yahoo.com/quote/AMZN260515C00310000/" TargetMode="External"/><Relationship Id="rId1490" Type="http://schemas.openxmlformats.org/officeDocument/2006/relationships/hyperlink" Target="https://finance.yahoo.com/quote/AMZN/options/?straddle=false&amp;strike=290&amp;type=all" TargetMode="External"/><Relationship Id="rId2127" Type="http://schemas.openxmlformats.org/officeDocument/2006/relationships/hyperlink" Target="https://finance.yahoo.com/quote/AMZN260327C00207500/" TargetMode="External"/><Relationship Id="rId2334" Type="http://schemas.openxmlformats.org/officeDocument/2006/relationships/hyperlink" Target="https://finance.yahoo.com/quote/AMZN/options/?straddle=false&amp;strike=220&amp;type=all" TargetMode="External"/><Relationship Id="rId306" Type="http://schemas.openxmlformats.org/officeDocument/2006/relationships/hyperlink" Target="https://finance.yahoo.com/quote/AMZN/options/?straddle=false&amp;strike=115&amp;type=all" TargetMode="External"/><Relationship Id="rId860" Type="http://schemas.openxmlformats.org/officeDocument/2006/relationships/hyperlink" Target="https://finance.yahoo.com/quote/AMZN/options/?straddle=false&amp;strike=250&amp;type=all" TargetMode="External"/><Relationship Id="rId1143" Type="http://schemas.openxmlformats.org/officeDocument/2006/relationships/hyperlink" Target="https://finance.yahoo.com/quote/AMZN260515P00210000/" TargetMode="External"/><Relationship Id="rId2541" Type="http://schemas.openxmlformats.org/officeDocument/2006/relationships/hyperlink" Target="https://finance.yahoo.com/quote/AMZN260410C00230000/" TargetMode="External"/><Relationship Id="rId513" Type="http://schemas.openxmlformats.org/officeDocument/2006/relationships/hyperlink" Target="https://finance.yahoo.com/quote/AMZN260515P00135000/" TargetMode="External"/><Relationship Id="rId720" Type="http://schemas.openxmlformats.org/officeDocument/2006/relationships/hyperlink" Target="https://finance.yahoo.com/quote/AMZN/options/?straddle=false&amp;strike=150&amp;type=all" TargetMode="External"/><Relationship Id="rId1350" Type="http://schemas.openxmlformats.org/officeDocument/2006/relationships/hyperlink" Target="https://finance.yahoo.com/quote/AMZN/options/?straddle=false&amp;strike=225&amp;type=all" TargetMode="External"/><Relationship Id="rId2401" Type="http://schemas.openxmlformats.org/officeDocument/2006/relationships/hyperlink" Target="https://finance.yahoo.com/quote/AMZN260327P00155000/" TargetMode="External"/><Relationship Id="rId1003" Type="http://schemas.openxmlformats.org/officeDocument/2006/relationships/hyperlink" Target="https://finance.yahoo.com/quote/AMZN260515C00110000/" TargetMode="External"/><Relationship Id="rId1210" Type="http://schemas.openxmlformats.org/officeDocument/2006/relationships/hyperlink" Target="https://finance.yahoo.com/quote/AMZN/options/?straddle=false&amp;strike=125&amp;type=all" TargetMode="External"/><Relationship Id="rId2191" Type="http://schemas.openxmlformats.org/officeDocument/2006/relationships/hyperlink" Target="https://finance.yahoo.com/quote/AMZN260327C00335000/" TargetMode="External"/><Relationship Id="rId163" Type="http://schemas.openxmlformats.org/officeDocument/2006/relationships/hyperlink" Target="https://finance.yahoo.com/quote/AMZN260123P00242500/" TargetMode="External"/><Relationship Id="rId370" Type="http://schemas.openxmlformats.org/officeDocument/2006/relationships/hyperlink" Target="https://finance.yahoo.com/quote/AMZN/options/?straddle=false&amp;strike=275&amp;type=all" TargetMode="External"/><Relationship Id="rId2051" Type="http://schemas.openxmlformats.org/officeDocument/2006/relationships/hyperlink" Target="https://finance.yahoo.com/quote/AMZN260320P00295000/" TargetMode="External"/><Relationship Id="rId230" Type="http://schemas.openxmlformats.org/officeDocument/2006/relationships/hyperlink" Target="https://finance.yahoo.com/quote/AMZN/options/?straddle=false&amp;strike=175&amp;type=all" TargetMode="External"/><Relationship Id="rId1677" Type="http://schemas.openxmlformats.org/officeDocument/2006/relationships/hyperlink" Target="https://finance.yahoo.com/quote/AMZN260306C00235000/" TargetMode="External"/><Relationship Id="rId1884" Type="http://schemas.openxmlformats.org/officeDocument/2006/relationships/hyperlink" Target="https://finance.yahoo.com/quote/AMZN/options/?straddle=false&amp;strike=155&amp;type=all" TargetMode="External"/><Relationship Id="rId907" Type="http://schemas.openxmlformats.org/officeDocument/2006/relationships/hyperlink" Target="https://finance.yahoo.com/quote/AMZN260515C00120000/" TargetMode="External"/><Relationship Id="rId1537" Type="http://schemas.openxmlformats.org/officeDocument/2006/relationships/hyperlink" Target="https://finance.yahoo.com/quote/AMZN260227P00177500/" TargetMode="External"/><Relationship Id="rId1744" Type="http://schemas.openxmlformats.org/officeDocument/2006/relationships/hyperlink" Target="https://finance.yahoo.com/quote/AMZN/options/?straddle=false&amp;strike=172.5&amp;type=all" TargetMode="External"/><Relationship Id="rId1951" Type="http://schemas.openxmlformats.org/officeDocument/2006/relationships/hyperlink" Target="https://finance.yahoo.com/quote/AMZN260320P00095000/" TargetMode="External"/><Relationship Id="rId36" Type="http://schemas.openxmlformats.org/officeDocument/2006/relationships/hyperlink" Target="https://finance.yahoo.com/quote/AMZN/options/?straddle=false&amp;strike=207.5&amp;type=all" TargetMode="External"/><Relationship Id="rId1604" Type="http://schemas.openxmlformats.org/officeDocument/2006/relationships/hyperlink" Target="https://finance.yahoo.com/quote/AMZN/options/?straddle=false&amp;strike=310&amp;type=all" TargetMode="External"/><Relationship Id="rId1811" Type="http://schemas.openxmlformats.org/officeDocument/2006/relationships/hyperlink" Target="https://finance.yahoo.com/quote/AMZN260306P00295000/" TargetMode="External"/><Relationship Id="rId697" Type="http://schemas.openxmlformats.org/officeDocument/2006/relationships/hyperlink" Target="https://finance.yahoo.com/quote/AMZN260515C00360000/" TargetMode="External"/><Relationship Id="rId2378" Type="http://schemas.openxmlformats.org/officeDocument/2006/relationships/hyperlink" Target="https://finance.yahoo.com/quote/AMZN/options/?straddle=false&amp;strike=310&amp;type=all" TargetMode="External"/><Relationship Id="rId1187" Type="http://schemas.openxmlformats.org/officeDocument/2006/relationships/hyperlink" Target="https://finance.yahoo.com/quote/AMZN260515P00320000/" TargetMode="External"/><Relationship Id="rId2585" Type="http://schemas.openxmlformats.org/officeDocument/2006/relationships/hyperlink" Target="https://finance.yahoo.com/quote/AMZN260410P00145000/" TargetMode="External"/><Relationship Id="rId557" Type="http://schemas.openxmlformats.org/officeDocument/2006/relationships/hyperlink" Target="https://finance.yahoo.com/quote/AMZN260515P00245000/" TargetMode="External"/><Relationship Id="rId764" Type="http://schemas.openxmlformats.org/officeDocument/2006/relationships/hyperlink" Target="https://finance.yahoo.com/quote/AMZN/options/?straddle=false&amp;strike=260&amp;type=all" TargetMode="External"/><Relationship Id="rId971" Type="http://schemas.openxmlformats.org/officeDocument/2006/relationships/hyperlink" Target="https://finance.yahoo.com/quote/AMZN260515C00280000/" TargetMode="External"/><Relationship Id="rId1394" Type="http://schemas.openxmlformats.org/officeDocument/2006/relationships/hyperlink" Target="https://finance.yahoo.com/quote/AMZN/options/?straddle=false&amp;strike=340&amp;type=all" TargetMode="External"/><Relationship Id="rId2238" Type="http://schemas.openxmlformats.org/officeDocument/2006/relationships/hyperlink" Target="https://finance.yahoo.com/quote/AMZN/options/?straddle=false&amp;strike=205&amp;type=all" TargetMode="External"/><Relationship Id="rId2445" Type="http://schemas.openxmlformats.org/officeDocument/2006/relationships/hyperlink" Target="https://finance.yahoo.com/quote/AMZN260327P00220000/" TargetMode="External"/><Relationship Id="rId2652" Type="http://schemas.openxmlformats.org/officeDocument/2006/relationships/hyperlink" Target="https://finance.yahoo.com/quote/AMZN/options/?straddle=false&amp;strike=245&amp;type=all" TargetMode="External"/><Relationship Id="rId417" Type="http://schemas.openxmlformats.org/officeDocument/2006/relationships/hyperlink" Target="https://finance.yahoo.com/quote/AMZN260515C00145000/" TargetMode="External"/><Relationship Id="rId624" Type="http://schemas.openxmlformats.org/officeDocument/2006/relationships/hyperlink" Target="https://finance.yahoo.com/quote/AMZN/options/?straddle=false&amp;strike=160&amp;type=all" TargetMode="External"/><Relationship Id="rId831" Type="http://schemas.openxmlformats.org/officeDocument/2006/relationships/hyperlink" Target="https://finance.yahoo.com/quote/AMZN260515P00180000/" TargetMode="External"/><Relationship Id="rId1047" Type="http://schemas.openxmlformats.org/officeDocument/2006/relationships/hyperlink" Target="https://finance.yahoo.com/quote/AMZN260515C00220000/" TargetMode="External"/><Relationship Id="rId1254" Type="http://schemas.openxmlformats.org/officeDocument/2006/relationships/hyperlink" Target="https://finance.yahoo.com/quote/AMZN/options/?straddle=false&amp;strike=235&amp;type=all" TargetMode="External"/><Relationship Id="rId1461" Type="http://schemas.openxmlformats.org/officeDocument/2006/relationships/hyperlink" Target="https://finance.yahoo.com/quote/AMZN260227C00227500/" TargetMode="External"/><Relationship Id="rId2305" Type="http://schemas.openxmlformats.org/officeDocument/2006/relationships/hyperlink" Target="https://finance.yahoo.com/quote/AMZN260327C00185000/" TargetMode="External"/><Relationship Id="rId2512" Type="http://schemas.openxmlformats.org/officeDocument/2006/relationships/hyperlink" Target="https://finance.yahoo.com/quote/AMZN/options/?straddle=false&amp;strike=192.5&amp;type=all" TargetMode="External"/><Relationship Id="rId1114" Type="http://schemas.openxmlformats.org/officeDocument/2006/relationships/hyperlink" Target="https://finance.yahoo.com/quote/AMZN/options/?straddle=false&amp;strike=135&amp;type=all" TargetMode="External"/><Relationship Id="rId1321" Type="http://schemas.openxmlformats.org/officeDocument/2006/relationships/hyperlink" Target="https://finance.yahoo.com/quote/AMZN260515P00155000/" TargetMode="External"/><Relationship Id="rId2095" Type="http://schemas.openxmlformats.org/officeDocument/2006/relationships/hyperlink" Target="https://finance.yahoo.com/quote/AMZN260327C00160000/" TargetMode="External"/><Relationship Id="rId274" Type="http://schemas.openxmlformats.org/officeDocument/2006/relationships/hyperlink" Target="https://finance.yahoo.com/quote/AMZN/options/?straddle=false&amp;strike=285&amp;type=all" TargetMode="External"/><Relationship Id="rId481" Type="http://schemas.openxmlformats.org/officeDocument/2006/relationships/hyperlink" Target="https://finance.yahoo.com/quote/AMZN260515C00305000/" TargetMode="External"/><Relationship Id="rId2162" Type="http://schemas.openxmlformats.org/officeDocument/2006/relationships/hyperlink" Target="https://finance.yahoo.com/quote/AMZN/options/?straddle=false&amp;strike=260&amp;type=all" TargetMode="External"/><Relationship Id="rId134" Type="http://schemas.openxmlformats.org/officeDocument/2006/relationships/hyperlink" Target="https://finance.yahoo.com/quote/AMZN/options/?straddle=false&amp;strike=205&amp;type=all" TargetMode="External"/><Relationship Id="rId341" Type="http://schemas.openxmlformats.org/officeDocument/2006/relationships/hyperlink" Target="https://finance.yahoo.com/quote/AMZN260515P00205000/" TargetMode="External"/><Relationship Id="rId2022" Type="http://schemas.openxmlformats.org/officeDocument/2006/relationships/hyperlink" Target="https://finance.yahoo.com/quote/AMZN/options/?straddle=false&amp;strike=227.5&amp;type=all" TargetMode="External"/><Relationship Id="rId201" Type="http://schemas.openxmlformats.org/officeDocument/2006/relationships/hyperlink" Target="https://finance.yahoo.com/quote/AMZN260515C00105000/" TargetMode="External"/><Relationship Id="rId1788" Type="http://schemas.openxmlformats.org/officeDocument/2006/relationships/hyperlink" Target="https://finance.yahoo.com/quote/AMZN/options/?straddle=false&amp;strike=227.5&amp;type=all" TargetMode="External"/><Relationship Id="rId1995" Type="http://schemas.openxmlformats.org/officeDocument/2006/relationships/hyperlink" Target="https://finance.yahoo.com/quote/AMZN260320P00195000/" TargetMode="External"/><Relationship Id="rId1648" Type="http://schemas.openxmlformats.org/officeDocument/2006/relationships/hyperlink" Target="https://finance.yahoo.com/quote/AMZN/options/?straddle=false&amp;strike=197.5&amp;type=all" TargetMode="External"/><Relationship Id="rId1508" Type="http://schemas.openxmlformats.org/officeDocument/2006/relationships/hyperlink" Target="https://finance.yahoo.com/quote/AMZN/options/?straddle=false&amp;strike=335&amp;type=all" TargetMode="External"/><Relationship Id="rId1855" Type="http://schemas.openxmlformats.org/officeDocument/2006/relationships/hyperlink" Target="https://finance.yahoo.com/quote/AMZN260318C00230000/" TargetMode="External"/><Relationship Id="rId1715" Type="http://schemas.openxmlformats.org/officeDocument/2006/relationships/hyperlink" Target="https://finance.yahoo.com/quote/AMZN260306C00330000/" TargetMode="External"/><Relationship Id="rId1922" Type="http://schemas.openxmlformats.org/officeDocument/2006/relationships/hyperlink" Target="https://finance.yahoo.com/quote/AMZN/options/?straddle=false&amp;strike=207.5&amp;type=all" TargetMode="External"/><Relationship Id="rId2489" Type="http://schemas.openxmlformats.org/officeDocument/2006/relationships/hyperlink" Target="https://finance.yahoo.com/quote/AMZN260410C00160000/" TargetMode="External"/><Relationship Id="rId668" Type="http://schemas.openxmlformats.org/officeDocument/2006/relationships/hyperlink" Target="https://finance.yahoo.com/quote/AMZN/options/?straddle=false&amp;strike=270&amp;type=all" TargetMode="External"/><Relationship Id="rId875" Type="http://schemas.openxmlformats.org/officeDocument/2006/relationships/hyperlink" Target="https://finance.yahoo.com/quote/AMZN260515P00290000/" TargetMode="External"/><Relationship Id="rId1298" Type="http://schemas.openxmlformats.org/officeDocument/2006/relationships/hyperlink" Target="https://finance.yahoo.com/quote/AMZN/options/?straddle=false&amp;strike=360&amp;type=all" TargetMode="External"/><Relationship Id="rId2349" Type="http://schemas.openxmlformats.org/officeDocument/2006/relationships/hyperlink" Target="https://finance.yahoo.com/quote/AMZN260327C00240000/" TargetMode="External"/><Relationship Id="rId2556" Type="http://schemas.openxmlformats.org/officeDocument/2006/relationships/hyperlink" Target="https://finance.yahoo.com/quote/AMZN/options/?straddle=false&amp;strike=260&amp;type=all" TargetMode="External"/><Relationship Id="rId528" Type="http://schemas.openxmlformats.org/officeDocument/2006/relationships/hyperlink" Target="https://finance.yahoo.com/quote/AMZN/options/?straddle=false&amp;strike=170&amp;type=all" TargetMode="External"/><Relationship Id="rId735" Type="http://schemas.openxmlformats.org/officeDocument/2006/relationships/hyperlink" Target="https://finance.yahoo.com/quote/AMZN260515P00190000/" TargetMode="External"/><Relationship Id="rId942" Type="http://schemas.openxmlformats.org/officeDocument/2006/relationships/hyperlink" Target="https://finance.yahoo.com/quote/AMZN/options/?straddle=false&amp;strike=205&amp;type=all" TargetMode="External"/><Relationship Id="rId1158" Type="http://schemas.openxmlformats.org/officeDocument/2006/relationships/hyperlink" Target="https://finance.yahoo.com/quote/AMZN/options/?straddle=false&amp;strike=245&amp;type=all" TargetMode="External"/><Relationship Id="rId1365" Type="http://schemas.openxmlformats.org/officeDocument/2006/relationships/hyperlink" Target="https://finance.yahoo.com/quote/AMZN260515P00265000/" TargetMode="External"/><Relationship Id="rId1572" Type="http://schemas.openxmlformats.org/officeDocument/2006/relationships/hyperlink" Target="https://finance.yahoo.com/quote/AMZN/options/?straddle=false&amp;strike=220&amp;type=all" TargetMode="External"/><Relationship Id="rId2209" Type="http://schemas.openxmlformats.org/officeDocument/2006/relationships/hyperlink" Target="https://finance.yahoo.com/quote/AMZN260327P00165000/" TargetMode="External"/><Relationship Id="rId2416" Type="http://schemas.openxmlformats.org/officeDocument/2006/relationships/hyperlink" Target="https://finance.yahoo.com/quote/AMZN/options/?straddle=false&amp;strike=182.5&amp;type=all" TargetMode="External"/><Relationship Id="rId2623" Type="http://schemas.openxmlformats.org/officeDocument/2006/relationships/hyperlink" Target="https://finance.yahoo.com/quote/AMZN260410P00205000/" TargetMode="External"/><Relationship Id="rId1018" Type="http://schemas.openxmlformats.org/officeDocument/2006/relationships/hyperlink" Target="https://finance.yahoo.com/quote/AMZN/options/?straddle=false&amp;strike=145&amp;type=all" TargetMode="External"/><Relationship Id="rId1225" Type="http://schemas.openxmlformats.org/officeDocument/2006/relationships/hyperlink" Target="https://finance.yahoo.com/quote/AMZN260515C00165000/" TargetMode="External"/><Relationship Id="rId1432" Type="http://schemas.openxmlformats.org/officeDocument/2006/relationships/hyperlink" Target="https://finance.yahoo.com/quote/AMZN/options/?straddle=false&amp;strike=190&amp;type=all" TargetMode="External"/><Relationship Id="rId71" Type="http://schemas.openxmlformats.org/officeDocument/2006/relationships/hyperlink" Target="https://finance.yahoo.com/quote/AMZN260123C00252500/" TargetMode="External"/><Relationship Id="rId802" Type="http://schemas.openxmlformats.org/officeDocument/2006/relationships/hyperlink" Target="https://finance.yahoo.com/quote/AMZN/options/?straddle=false&amp;strike=105&amp;type=all" TargetMode="External"/><Relationship Id="rId178" Type="http://schemas.openxmlformats.org/officeDocument/2006/relationships/hyperlink" Target="https://finance.yahoo.com/quote/AMZN/options/?straddle=false&amp;strike=260&amp;type=all" TargetMode="External"/><Relationship Id="rId385" Type="http://schemas.openxmlformats.org/officeDocument/2006/relationships/hyperlink" Target="https://finance.yahoo.com/quote/AMZN260515P00315000/" TargetMode="External"/><Relationship Id="rId592" Type="http://schemas.openxmlformats.org/officeDocument/2006/relationships/hyperlink" Target="https://finance.yahoo.com/quote/AMZN/options/?straddle=false&amp;strike=330&amp;type=all" TargetMode="External"/><Relationship Id="rId2066" Type="http://schemas.openxmlformats.org/officeDocument/2006/relationships/hyperlink" Target="https://finance.yahoo.com/quote/AMZN/options/?straddle=false&amp;strike=330&amp;type=all" TargetMode="External"/><Relationship Id="rId2273" Type="http://schemas.openxmlformats.org/officeDocument/2006/relationships/hyperlink" Target="https://finance.yahoo.com/quote/AMZN260327P00260000/" TargetMode="External"/><Relationship Id="rId2480" Type="http://schemas.openxmlformats.org/officeDocument/2006/relationships/hyperlink" Target="https://finance.yahoo.com/quote/AMZN/options/?straddle=false&amp;strike=135&amp;type=all" TargetMode="External"/><Relationship Id="rId245" Type="http://schemas.openxmlformats.org/officeDocument/2006/relationships/hyperlink" Target="https://finance.yahoo.com/quote/AMZN260515C00215000/" TargetMode="External"/><Relationship Id="rId452" Type="http://schemas.openxmlformats.org/officeDocument/2006/relationships/hyperlink" Target="https://finance.yahoo.com/quote/AMZN/options/?straddle=false&amp;strike=230&amp;type=all" TargetMode="External"/><Relationship Id="rId1082" Type="http://schemas.openxmlformats.org/officeDocument/2006/relationships/hyperlink" Target="https://finance.yahoo.com/quote/AMZN/options/?straddle=false&amp;strike=305&amp;type=all" TargetMode="External"/><Relationship Id="rId2133" Type="http://schemas.openxmlformats.org/officeDocument/2006/relationships/hyperlink" Target="https://finance.yahoo.com/quote/AMZN260327C00215000/" TargetMode="External"/><Relationship Id="rId2340" Type="http://schemas.openxmlformats.org/officeDocument/2006/relationships/hyperlink" Target="https://finance.yahoo.com/quote/AMZN/options/?straddle=false&amp;strike=227.5&amp;type=all" TargetMode="External"/><Relationship Id="rId105" Type="http://schemas.openxmlformats.org/officeDocument/2006/relationships/hyperlink" Target="https://finance.yahoo.com/quote/AMZN260123P00135000/" TargetMode="External"/><Relationship Id="rId312" Type="http://schemas.openxmlformats.org/officeDocument/2006/relationships/hyperlink" Target="https://finance.yahoo.com/quote/AMZN/options/?straddle=false&amp;strike=130&amp;type=all" TargetMode="External"/><Relationship Id="rId2200" Type="http://schemas.openxmlformats.org/officeDocument/2006/relationships/hyperlink" Target="https://finance.yahoo.com/quote/AMZN/options/?straddle=false&amp;strike=140&amp;type=all" TargetMode="External"/><Relationship Id="rId1899" Type="http://schemas.openxmlformats.org/officeDocument/2006/relationships/hyperlink" Target="https://finance.yahoo.com/quote/AMZN260318P00180000/" TargetMode="External"/><Relationship Id="rId1759" Type="http://schemas.openxmlformats.org/officeDocument/2006/relationships/hyperlink" Target="https://finance.yahoo.com/quote/AMZN260306P00192500/" TargetMode="External"/><Relationship Id="rId1966" Type="http://schemas.openxmlformats.org/officeDocument/2006/relationships/hyperlink" Target="https://finance.yahoo.com/quote/AMZN/options/?straddle=false&amp;strike=130&amp;type=all" TargetMode="External"/><Relationship Id="rId1619" Type="http://schemas.openxmlformats.org/officeDocument/2006/relationships/hyperlink" Target="https://finance.yahoo.com/quote/AMZN260306C00155000/" TargetMode="External"/><Relationship Id="rId1826" Type="http://schemas.openxmlformats.org/officeDocument/2006/relationships/hyperlink" Target="https://finance.yahoo.com/quote/AMZN/options/?straddle=false&amp;strike=192.5&amp;type=all" TargetMode="External"/><Relationship Id="rId779" Type="http://schemas.openxmlformats.org/officeDocument/2006/relationships/hyperlink" Target="https://finance.yahoo.com/quote/AMZN260515P00300000/" TargetMode="External"/><Relationship Id="rId986" Type="http://schemas.openxmlformats.org/officeDocument/2006/relationships/hyperlink" Target="https://finance.yahoo.com/quote/AMZN/options/?straddle=false&amp;strike=315&amp;type=all" TargetMode="External"/><Relationship Id="rId639" Type="http://schemas.openxmlformats.org/officeDocument/2006/relationships/hyperlink" Target="https://finance.yahoo.com/quote/AMZN260515C00200000/" TargetMode="External"/><Relationship Id="rId1269" Type="http://schemas.openxmlformats.org/officeDocument/2006/relationships/hyperlink" Target="https://finance.yahoo.com/quote/AMZN260515C00275000/" TargetMode="External"/><Relationship Id="rId1476" Type="http://schemas.openxmlformats.org/officeDocument/2006/relationships/hyperlink" Target="https://finance.yahoo.com/quote/AMZN/options/?straddle=false&amp;strike=255&amp;type=all" TargetMode="External"/><Relationship Id="rId846" Type="http://schemas.openxmlformats.org/officeDocument/2006/relationships/hyperlink" Target="https://finance.yahoo.com/quote/AMZN/options/?straddle=false&amp;strike=215&amp;type=all" TargetMode="External"/><Relationship Id="rId1129" Type="http://schemas.openxmlformats.org/officeDocument/2006/relationships/hyperlink" Target="https://finance.yahoo.com/quote/AMZN260515P00175000/" TargetMode="External"/><Relationship Id="rId1683" Type="http://schemas.openxmlformats.org/officeDocument/2006/relationships/hyperlink" Target="https://finance.yahoo.com/quote/AMZN260306C00250000/" TargetMode="External"/><Relationship Id="rId1890" Type="http://schemas.openxmlformats.org/officeDocument/2006/relationships/hyperlink" Target="https://finance.yahoo.com/quote/AMZN/options/?straddle=false&amp;strike=167.5&amp;type=all" TargetMode="External"/><Relationship Id="rId2527" Type="http://schemas.openxmlformats.org/officeDocument/2006/relationships/hyperlink" Target="https://finance.yahoo.com/quote/AMZN260410C00212500/" TargetMode="External"/><Relationship Id="rId706" Type="http://schemas.openxmlformats.org/officeDocument/2006/relationships/hyperlink" Target="https://finance.yahoo.com/quote/AMZN/options/?straddle=false&amp;strike=115&amp;type=all" TargetMode="External"/><Relationship Id="rId913" Type="http://schemas.openxmlformats.org/officeDocument/2006/relationships/hyperlink" Target="https://finance.yahoo.com/quote/AMZN260515C00135000/" TargetMode="External"/><Relationship Id="rId1336" Type="http://schemas.openxmlformats.org/officeDocument/2006/relationships/hyperlink" Target="https://finance.yahoo.com/quote/AMZN/options/?straddle=false&amp;strike=190&amp;type=all" TargetMode="External"/><Relationship Id="rId1543" Type="http://schemas.openxmlformats.org/officeDocument/2006/relationships/hyperlink" Target="https://finance.yahoo.com/quote/AMZN260227P00185000/" TargetMode="External"/><Relationship Id="rId1750" Type="http://schemas.openxmlformats.org/officeDocument/2006/relationships/hyperlink" Target="https://finance.yahoo.com/quote/AMZN/options/?straddle=false&amp;strike=180&amp;type=all" TargetMode="External"/><Relationship Id="rId42" Type="http://schemas.openxmlformats.org/officeDocument/2006/relationships/hyperlink" Target="https://finance.yahoo.com/quote/AMZN/options/?straddle=false&amp;strike=215&amp;type=all" TargetMode="External"/><Relationship Id="rId1403" Type="http://schemas.openxmlformats.org/officeDocument/2006/relationships/hyperlink" Target="https://finance.yahoo.com/quote/AMZN260227C00135000/" TargetMode="External"/><Relationship Id="rId1610" Type="http://schemas.openxmlformats.org/officeDocument/2006/relationships/hyperlink" Target="https://finance.yahoo.com/quote/AMZN/options/?straddle=false&amp;strike=130&amp;type=all" TargetMode="External"/><Relationship Id="rId289" Type="http://schemas.openxmlformats.org/officeDocument/2006/relationships/hyperlink" Target="https://finance.yahoo.com/quote/AMZN260515C00325000/" TargetMode="External"/><Relationship Id="rId496" Type="http://schemas.openxmlformats.org/officeDocument/2006/relationships/hyperlink" Target="https://finance.yahoo.com/quote/AMZN/options/?straddle=false&amp;strike=350&amp;type=all" TargetMode="External"/><Relationship Id="rId2177" Type="http://schemas.openxmlformats.org/officeDocument/2006/relationships/hyperlink" Target="https://finance.yahoo.com/quote/AMZN260327C00300000/" TargetMode="External"/><Relationship Id="rId2384" Type="http://schemas.openxmlformats.org/officeDocument/2006/relationships/hyperlink" Target="https://finance.yahoo.com/quote/AMZN/options/?straddle=false&amp;strike=325&amp;type=all" TargetMode="External"/><Relationship Id="rId2591" Type="http://schemas.openxmlformats.org/officeDocument/2006/relationships/hyperlink" Target="https://finance.yahoo.com/quote/AMZN260410P00160000/" TargetMode="External"/><Relationship Id="rId149" Type="http://schemas.openxmlformats.org/officeDocument/2006/relationships/hyperlink" Target="https://finance.yahoo.com/quote/AMZN260123P00225000/" TargetMode="External"/><Relationship Id="rId356" Type="http://schemas.openxmlformats.org/officeDocument/2006/relationships/hyperlink" Target="https://finance.yahoo.com/quote/AMZN/options/?straddle=false&amp;strike=240&amp;type=all" TargetMode="External"/><Relationship Id="rId563" Type="http://schemas.openxmlformats.org/officeDocument/2006/relationships/hyperlink" Target="https://finance.yahoo.com/quote/AMZN260515P00260000/" TargetMode="External"/><Relationship Id="rId770" Type="http://schemas.openxmlformats.org/officeDocument/2006/relationships/hyperlink" Target="https://finance.yahoo.com/quote/AMZN/options/?straddle=false&amp;strike=275&amp;type=all" TargetMode="External"/><Relationship Id="rId1193" Type="http://schemas.openxmlformats.org/officeDocument/2006/relationships/hyperlink" Target="https://finance.yahoo.com/quote/AMZN260515P00340000/" TargetMode="External"/><Relationship Id="rId2037" Type="http://schemas.openxmlformats.org/officeDocument/2006/relationships/hyperlink" Target="https://finance.yahoo.com/quote/AMZN260320P00260000/" TargetMode="External"/><Relationship Id="rId2244" Type="http://schemas.openxmlformats.org/officeDocument/2006/relationships/hyperlink" Target="https://finance.yahoo.com/quote/AMZN/options/?straddle=false&amp;strike=212.5&amp;type=all" TargetMode="External"/><Relationship Id="rId2451" Type="http://schemas.openxmlformats.org/officeDocument/2006/relationships/hyperlink" Target="https://finance.yahoo.com/quote/AMZN260327P00227500/" TargetMode="External"/><Relationship Id="rId216" Type="http://schemas.openxmlformats.org/officeDocument/2006/relationships/hyperlink" Target="https://finance.yahoo.com/quote/AMZN/options/?straddle=false&amp;strike=140&amp;type=all" TargetMode="External"/><Relationship Id="rId423" Type="http://schemas.openxmlformats.org/officeDocument/2006/relationships/hyperlink" Target="https://finance.yahoo.com/quote/AMZN260515C00160000/" TargetMode="External"/><Relationship Id="rId1053" Type="http://schemas.openxmlformats.org/officeDocument/2006/relationships/hyperlink" Target="https://finance.yahoo.com/quote/AMZN260515C00235000/" TargetMode="External"/><Relationship Id="rId1260" Type="http://schemas.openxmlformats.org/officeDocument/2006/relationships/hyperlink" Target="https://finance.yahoo.com/quote/AMZN/options/?straddle=false&amp;strike=250&amp;type=all" TargetMode="External"/><Relationship Id="rId2104" Type="http://schemas.openxmlformats.org/officeDocument/2006/relationships/hyperlink" Target="https://finance.yahoo.com/quote/AMZN/options/?straddle=false&amp;strike=177.5&amp;type=all" TargetMode="External"/><Relationship Id="rId630" Type="http://schemas.openxmlformats.org/officeDocument/2006/relationships/hyperlink" Target="https://finance.yahoo.com/quote/AMZN/options/?straddle=false&amp;strike=175&amp;type=all" TargetMode="External"/><Relationship Id="rId2311" Type="http://schemas.openxmlformats.org/officeDocument/2006/relationships/hyperlink" Target="https://finance.yahoo.com/quote/AMZN260327C00192500/" TargetMode="External"/><Relationship Id="rId1120" Type="http://schemas.openxmlformats.org/officeDocument/2006/relationships/hyperlink" Target="https://finance.yahoo.com/quote/AMZN/options/?straddle=false&amp;strike=150&amp;type=all" TargetMode="External"/><Relationship Id="rId1937" Type="http://schemas.openxmlformats.org/officeDocument/2006/relationships/hyperlink" Target="https://finance.yahoo.com/quote/AMZN260318P00227500/" TargetMode="External"/><Relationship Id="rId280" Type="http://schemas.openxmlformats.org/officeDocument/2006/relationships/hyperlink" Target="https://finance.yahoo.com/quote/AMZN/options/?straddle=false&amp;strike=300&amp;type=all" TargetMode="External"/><Relationship Id="rId140" Type="http://schemas.openxmlformats.org/officeDocument/2006/relationships/hyperlink" Target="https://finance.yahoo.com/quote/AMZN/options/?straddle=false&amp;strike=212.5&amp;type=all" TargetMode="External"/><Relationship Id="rId6" Type="http://schemas.openxmlformats.org/officeDocument/2006/relationships/hyperlink" Target="https://finance.yahoo.com/quote/AMZN/options/?straddle=false&amp;strike=135&amp;type=all" TargetMode="External"/><Relationship Id="rId957" Type="http://schemas.openxmlformats.org/officeDocument/2006/relationships/hyperlink" Target="https://finance.yahoo.com/quote/AMZN260515C00245000/" TargetMode="External"/><Relationship Id="rId1587" Type="http://schemas.openxmlformats.org/officeDocument/2006/relationships/hyperlink" Target="https://finance.yahoo.com/quote/AMZN260227P00250000/" TargetMode="External"/><Relationship Id="rId1794" Type="http://schemas.openxmlformats.org/officeDocument/2006/relationships/hyperlink" Target="https://finance.yahoo.com/quote/AMZN/options/?straddle=false&amp;strike=240&amp;type=all" TargetMode="External"/><Relationship Id="rId2638" Type="http://schemas.openxmlformats.org/officeDocument/2006/relationships/hyperlink" Target="https://finance.yahoo.com/quote/AMZN/options/?straddle=false&amp;strike=222.5&amp;type=all" TargetMode="External"/><Relationship Id="rId86" Type="http://schemas.openxmlformats.org/officeDocument/2006/relationships/hyperlink" Target="https://finance.yahoo.com/quote/AMZN/options/?straddle=false&amp;strike=270&amp;type=all" TargetMode="External"/><Relationship Id="rId817" Type="http://schemas.openxmlformats.org/officeDocument/2006/relationships/hyperlink" Target="https://finance.yahoo.com/quote/AMZN260515P00145000/" TargetMode="External"/><Relationship Id="rId1447" Type="http://schemas.openxmlformats.org/officeDocument/2006/relationships/hyperlink" Target="https://finance.yahoo.com/quote/AMZN260227C00210000/" TargetMode="External"/><Relationship Id="rId1654" Type="http://schemas.openxmlformats.org/officeDocument/2006/relationships/hyperlink" Target="https://finance.yahoo.com/quote/AMZN/options/?straddle=false&amp;strike=205&amp;type=all" TargetMode="External"/><Relationship Id="rId1861" Type="http://schemas.openxmlformats.org/officeDocument/2006/relationships/hyperlink" Target="https://finance.yahoo.com/quote/AMZN260318C00240000/" TargetMode="External"/><Relationship Id="rId1307" Type="http://schemas.openxmlformats.org/officeDocument/2006/relationships/hyperlink" Target="https://finance.yahoo.com/quote/AMZN260515P00120000/" TargetMode="External"/><Relationship Id="rId1514" Type="http://schemas.openxmlformats.org/officeDocument/2006/relationships/hyperlink" Target="https://finance.yahoo.com/quote/AMZN/options/?straddle=false&amp;strike=125&amp;type=all" TargetMode="External"/><Relationship Id="rId1721" Type="http://schemas.openxmlformats.org/officeDocument/2006/relationships/hyperlink" Target="https://finance.yahoo.com/quote/AMZN260306C00345000/" TargetMode="External"/><Relationship Id="rId13" Type="http://schemas.openxmlformats.org/officeDocument/2006/relationships/hyperlink" Target="https://finance.yahoo.com/quote/AMZN260123C00155000/" TargetMode="External"/><Relationship Id="rId2288" Type="http://schemas.openxmlformats.org/officeDocument/2006/relationships/hyperlink" Target="https://finance.yahoo.com/quote/AMZN/options/?straddle=false&amp;strike=150&amp;type=all" TargetMode="External"/><Relationship Id="rId2495" Type="http://schemas.openxmlformats.org/officeDocument/2006/relationships/hyperlink" Target="https://finance.yahoo.com/quote/AMZN260410C00172500/" TargetMode="External"/><Relationship Id="rId467" Type="http://schemas.openxmlformats.org/officeDocument/2006/relationships/hyperlink" Target="https://finance.yahoo.com/quote/AMZN260515C00270000/" TargetMode="External"/><Relationship Id="rId1097" Type="http://schemas.openxmlformats.org/officeDocument/2006/relationships/hyperlink" Target="https://finance.yahoo.com/quote/AMZN260515C00360000/" TargetMode="External"/><Relationship Id="rId2148" Type="http://schemas.openxmlformats.org/officeDocument/2006/relationships/hyperlink" Target="https://finance.yahoo.com/quote/AMZN/options/?straddle=false&amp;strike=232.5&amp;type=all" TargetMode="External"/><Relationship Id="rId674" Type="http://schemas.openxmlformats.org/officeDocument/2006/relationships/hyperlink" Target="https://finance.yahoo.com/quote/AMZN/options/?straddle=false&amp;strike=285&amp;type=all" TargetMode="External"/><Relationship Id="rId881" Type="http://schemas.openxmlformats.org/officeDocument/2006/relationships/hyperlink" Target="https://finance.yahoo.com/quote/AMZN260515P00305000/" TargetMode="External"/><Relationship Id="rId2355" Type="http://schemas.openxmlformats.org/officeDocument/2006/relationships/hyperlink" Target="https://finance.yahoo.com/quote/AMZN260327C00255000/" TargetMode="External"/><Relationship Id="rId2562" Type="http://schemas.openxmlformats.org/officeDocument/2006/relationships/hyperlink" Target="https://finance.yahoo.com/quote/AMZN/options/?straddle=false&amp;strike=275&amp;type=all" TargetMode="External"/><Relationship Id="rId327" Type="http://schemas.openxmlformats.org/officeDocument/2006/relationships/hyperlink" Target="https://finance.yahoo.com/quote/AMZN260515P00170000/" TargetMode="External"/><Relationship Id="rId534" Type="http://schemas.openxmlformats.org/officeDocument/2006/relationships/hyperlink" Target="https://finance.yahoo.com/quote/AMZN/options/?straddle=false&amp;strike=185&amp;type=all" TargetMode="External"/><Relationship Id="rId741" Type="http://schemas.openxmlformats.org/officeDocument/2006/relationships/hyperlink" Target="https://finance.yahoo.com/quote/AMZN260515P00205000/" TargetMode="External"/><Relationship Id="rId1164" Type="http://schemas.openxmlformats.org/officeDocument/2006/relationships/hyperlink" Target="https://finance.yahoo.com/quote/AMZN/options/?straddle=false&amp;strike=260&amp;type=all" TargetMode="External"/><Relationship Id="rId1371" Type="http://schemas.openxmlformats.org/officeDocument/2006/relationships/hyperlink" Target="https://finance.yahoo.com/quote/AMZN260515P00280000/" TargetMode="External"/><Relationship Id="rId2008" Type="http://schemas.openxmlformats.org/officeDocument/2006/relationships/hyperlink" Target="https://finance.yahoo.com/quote/AMZN/options/?straddle=false&amp;strike=210&amp;type=all" TargetMode="External"/><Relationship Id="rId2215" Type="http://schemas.openxmlformats.org/officeDocument/2006/relationships/hyperlink" Target="https://finance.yahoo.com/quote/AMZN260327P00177500/" TargetMode="External"/><Relationship Id="rId2422" Type="http://schemas.openxmlformats.org/officeDocument/2006/relationships/hyperlink" Target="https://finance.yahoo.com/quote/AMZN/options/?straddle=false&amp;strike=190&amp;type=all" TargetMode="External"/><Relationship Id="rId601" Type="http://schemas.openxmlformats.org/officeDocument/2006/relationships/hyperlink" Target="https://finance.yahoo.com/quote/AMZN260515C00105000/" TargetMode="External"/><Relationship Id="rId1024" Type="http://schemas.openxmlformats.org/officeDocument/2006/relationships/hyperlink" Target="https://finance.yahoo.com/quote/AMZN/options/?straddle=false&amp;strike=160&amp;type=all" TargetMode="External"/><Relationship Id="rId1231" Type="http://schemas.openxmlformats.org/officeDocument/2006/relationships/hyperlink" Target="https://finance.yahoo.com/quote/AMZN260515C00180000/" TargetMode="External"/><Relationship Id="rId184" Type="http://schemas.openxmlformats.org/officeDocument/2006/relationships/hyperlink" Target="https://finance.yahoo.com/quote/AMZN/options/?straddle=false&amp;strike=267.5&amp;type=all" TargetMode="External"/><Relationship Id="rId391" Type="http://schemas.openxmlformats.org/officeDocument/2006/relationships/hyperlink" Target="https://finance.yahoo.com/quote/AMZN260515P00330000/" TargetMode="External"/><Relationship Id="rId1908" Type="http://schemas.openxmlformats.org/officeDocument/2006/relationships/hyperlink" Target="https://finance.yahoo.com/quote/AMZN/options/?straddle=false&amp;strike=190&amp;type=all" TargetMode="External"/><Relationship Id="rId2072" Type="http://schemas.openxmlformats.org/officeDocument/2006/relationships/hyperlink" Target="https://finance.yahoo.com/quote/AMZN/options/?straddle=false&amp;strike=345&amp;type=all" TargetMode="External"/><Relationship Id="rId251" Type="http://schemas.openxmlformats.org/officeDocument/2006/relationships/hyperlink" Target="https://finance.yahoo.com/quote/AMZN260515C00230000/" TargetMode="External"/><Relationship Id="rId111" Type="http://schemas.openxmlformats.org/officeDocument/2006/relationships/hyperlink" Target="https://finance.yahoo.com/quote/AMZN260123P00150000/" TargetMode="External"/><Relationship Id="rId1698" Type="http://schemas.openxmlformats.org/officeDocument/2006/relationships/hyperlink" Target="https://finance.yahoo.com/quote/AMZN/options/?straddle=false&amp;strike=285&amp;type=all" TargetMode="External"/><Relationship Id="rId928" Type="http://schemas.openxmlformats.org/officeDocument/2006/relationships/hyperlink" Target="https://finance.yahoo.com/quote/AMZN/options/?straddle=false&amp;strike=170&amp;type=all" TargetMode="External"/><Relationship Id="rId1558" Type="http://schemas.openxmlformats.org/officeDocument/2006/relationships/hyperlink" Target="https://finance.yahoo.com/quote/AMZN/options/?straddle=false&amp;strike=202.5&amp;type=all" TargetMode="External"/><Relationship Id="rId1765" Type="http://schemas.openxmlformats.org/officeDocument/2006/relationships/hyperlink" Target="https://finance.yahoo.com/quote/AMZN260306P00200000/" TargetMode="External"/><Relationship Id="rId2609" Type="http://schemas.openxmlformats.org/officeDocument/2006/relationships/hyperlink" Target="https://finance.yahoo.com/quote/AMZN260410P00187500/" TargetMode="External"/><Relationship Id="rId57" Type="http://schemas.openxmlformats.org/officeDocument/2006/relationships/hyperlink" Target="https://finance.yahoo.com/quote/AMZN260123C00235000/" TargetMode="External"/><Relationship Id="rId1418" Type="http://schemas.openxmlformats.org/officeDocument/2006/relationships/hyperlink" Target="https://finance.yahoo.com/quote/AMZN/options/?straddle=false&amp;strike=170&amp;type=all" TargetMode="External"/><Relationship Id="rId1972" Type="http://schemas.openxmlformats.org/officeDocument/2006/relationships/hyperlink" Target="https://finance.yahoo.com/quote/AMZN/options/?straddle=false&amp;strike=145&amp;type=all" TargetMode="External"/><Relationship Id="rId1625" Type="http://schemas.openxmlformats.org/officeDocument/2006/relationships/hyperlink" Target="https://finance.yahoo.com/quote/AMZN260306C00170000/" TargetMode="External"/><Relationship Id="rId1832" Type="http://schemas.openxmlformats.org/officeDocument/2006/relationships/hyperlink" Target="https://finance.yahoo.com/quote/AMZN/options/?straddle=false&amp;strike=200&amp;type=all" TargetMode="External"/><Relationship Id="rId2399" Type="http://schemas.openxmlformats.org/officeDocument/2006/relationships/hyperlink" Target="https://finance.yahoo.com/quote/AMZN260327P00150000/" TargetMode="External"/><Relationship Id="rId578" Type="http://schemas.openxmlformats.org/officeDocument/2006/relationships/hyperlink" Target="https://finance.yahoo.com/quote/AMZN/options/?straddle=false&amp;strike=295&amp;type=all" TargetMode="External"/><Relationship Id="rId785" Type="http://schemas.openxmlformats.org/officeDocument/2006/relationships/hyperlink" Target="https://finance.yahoo.com/quote/AMZN260515P00315000/" TargetMode="External"/><Relationship Id="rId992" Type="http://schemas.openxmlformats.org/officeDocument/2006/relationships/hyperlink" Target="https://finance.yahoo.com/quote/AMZN/options/?straddle=false&amp;strike=330&amp;type=all" TargetMode="External"/><Relationship Id="rId2259" Type="http://schemas.openxmlformats.org/officeDocument/2006/relationships/hyperlink" Target="https://finance.yahoo.com/quote/AMZN260327P00232500/" TargetMode="External"/><Relationship Id="rId2466" Type="http://schemas.openxmlformats.org/officeDocument/2006/relationships/hyperlink" Target="https://finance.yahoo.com/quote/AMZN/options/?straddle=false&amp;strike=250&amp;type=all" TargetMode="External"/><Relationship Id="rId438" Type="http://schemas.openxmlformats.org/officeDocument/2006/relationships/hyperlink" Target="https://finance.yahoo.com/quote/AMZN/options/?straddle=false&amp;strike=195&amp;type=all" TargetMode="External"/><Relationship Id="rId645" Type="http://schemas.openxmlformats.org/officeDocument/2006/relationships/hyperlink" Target="https://finance.yahoo.com/quote/AMZN260515C00215000/" TargetMode="External"/><Relationship Id="rId852" Type="http://schemas.openxmlformats.org/officeDocument/2006/relationships/hyperlink" Target="https://finance.yahoo.com/quote/AMZN/options/?straddle=false&amp;strike=230&amp;type=all" TargetMode="External"/><Relationship Id="rId1068" Type="http://schemas.openxmlformats.org/officeDocument/2006/relationships/hyperlink" Target="https://finance.yahoo.com/quote/AMZN/options/?straddle=false&amp;strike=270&amp;type=all" TargetMode="External"/><Relationship Id="rId1275" Type="http://schemas.openxmlformats.org/officeDocument/2006/relationships/hyperlink" Target="https://finance.yahoo.com/quote/AMZN260515C00290000/" TargetMode="External"/><Relationship Id="rId1482" Type="http://schemas.openxmlformats.org/officeDocument/2006/relationships/hyperlink" Target="https://finance.yahoo.com/quote/AMZN/options/?straddle=false&amp;strike=270&amp;type=all" TargetMode="External"/><Relationship Id="rId2119" Type="http://schemas.openxmlformats.org/officeDocument/2006/relationships/hyperlink" Target="https://finance.yahoo.com/quote/AMZN260327C00197500/" TargetMode="External"/><Relationship Id="rId2326" Type="http://schemas.openxmlformats.org/officeDocument/2006/relationships/hyperlink" Target="https://finance.yahoo.com/quote/AMZN/options/?straddle=false&amp;strike=210&amp;type=all" TargetMode="External"/><Relationship Id="rId2533" Type="http://schemas.openxmlformats.org/officeDocument/2006/relationships/hyperlink" Target="https://finance.yahoo.com/quote/AMZN260410C00220000/" TargetMode="External"/><Relationship Id="rId505" Type="http://schemas.openxmlformats.org/officeDocument/2006/relationships/hyperlink" Target="https://finance.yahoo.com/quote/AMZN260515P00115000/" TargetMode="External"/><Relationship Id="rId712" Type="http://schemas.openxmlformats.org/officeDocument/2006/relationships/hyperlink" Target="https://finance.yahoo.com/quote/AMZN/options/?straddle=false&amp;strike=130&amp;type=all" TargetMode="External"/><Relationship Id="rId1135" Type="http://schemas.openxmlformats.org/officeDocument/2006/relationships/hyperlink" Target="https://finance.yahoo.com/quote/AMZN260515P00190000/" TargetMode="External"/><Relationship Id="rId1342" Type="http://schemas.openxmlformats.org/officeDocument/2006/relationships/hyperlink" Target="https://finance.yahoo.com/quote/AMZN/options/?straddle=false&amp;strike=205&amp;type=all" TargetMode="External"/><Relationship Id="rId1202" Type="http://schemas.openxmlformats.org/officeDocument/2006/relationships/hyperlink" Target="https://finance.yahoo.com/quote/AMZN/options/?straddle=false&amp;strike=105&amp;type=all" TargetMode="External"/><Relationship Id="rId2600" Type="http://schemas.openxmlformats.org/officeDocument/2006/relationships/hyperlink" Target="https://finance.yahoo.com/quote/AMZN/options/?straddle=false&amp;strike=175&amp;type=all" TargetMode="External"/><Relationship Id="rId295" Type="http://schemas.openxmlformats.org/officeDocument/2006/relationships/hyperlink" Target="https://finance.yahoo.com/quote/AMZN260515C00350000/" TargetMode="External"/><Relationship Id="rId2183" Type="http://schemas.openxmlformats.org/officeDocument/2006/relationships/hyperlink" Target="https://finance.yahoo.com/quote/AMZN260327C00315000/" TargetMode="External"/><Relationship Id="rId2390" Type="http://schemas.openxmlformats.org/officeDocument/2006/relationships/hyperlink" Target="https://finance.yahoo.com/quote/AMZN/options/?straddle=false&amp;strike=125&amp;type=all" TargetMode="External"/><Relationship Id="rId155" Type="http://schemas.openxmlformats.org/officeDocument/2006/relationships/hyperlink" Target="https://finance.yahoo.com/quote/AMZN260123P00232500/" TargetMode="External"/><Relationship Id="rId362" Type="http://schemas.openxmlformats.org/officeDocument/2006/relationships/hyperlink" Target="https://finance.yahoo.com/quote/AMZN/options/?straddle=false&amp;strike=255&amp;type=all" TargetMode="External"/><Relationship Id="rId2043" Type="http://schemas.openxmlformats.org/officeDocument/2006/relationships/hyperlink" Target="https://finance.yahoo.com/quote/AMZN260320P00275000/" TargetMode="External"/><Relationship Id="rId2250" Type="http://schemas.openxmlformats.org/officeDocument/2006/relationships/hyperlink" Target="https://finance.yahoo.com/quote/AMZN/options/?straddle=false&amp;strike=220&amp;type=all" TargetMode="External"/><Relationship Id="rId222" Type="http://schemas.openxmlformats.org/officeDocument/2006/relationships/hyperlink" Target="https://finance.yahoo.com/quote/AMZN/options/?straddle=false&amp;strike=155&amp;type=all" TargetMode="External"/><Relationship Id="rId2110" Type="http://schemas.openxmlformats.org/officeDocument/2006/relationships/hyperlink" Target="https://finance.yahoo.com/quote/AMZN/options/?straddle=false&amp;strike=185&amp;type=all" TargetMode="External"/><Relationship Id="rId1669" Type="http://schemas.openxmlformats.org/officeDocument/2006/relationships/hyperlink" Target="https://finance.yahoo.com/quote/AMZN260306C00225000/" TargetMode="External"/><Relationship Id="rId1876" Type="http://schemas.openxmlformats.org/officeDocument/2006/relationships/hyperlink" Target="https://finance.yahoo.com/quote/AMZN/options/?straddle=false&amp;strike=280&amp;type=all" TargetMode="External"/><Relationship Id="rId1529" Type="http://schemas.openxmlformats.org/officeDocument/2006/relationships/hyperlink" Target="https://finance.yahoo.com/quote/AMZN260227P00165000/" TargetMode="External"/><Relationship Id="rId1736" Type="http://schemas.openxmlformats.org/officeDocument/2006/relationships/hyperlink" Target="https://finance.yahoo.com/quote/AMZN/options/?straddle=false&amp;strike=155&amp;type=all" TargetMode="External"/><Relationship Id="rId1943" Type="http://schemas.openxmlformats.org/officeDocument/2006/relationships/hyperlink" Target="https://finance.yahoo.com/quote/AMZN260318P00245000/" TargetMode="External"/><Relationship Id="rId28" Type="http://schemas.openxmlformats.org/officeDocument/2006/relationships/hyperlink" Target="https://finance.yahoo.com/quote/AMZN/options/?straddle=false&amp;strike=190&amp;type=all" TargetMode="External"/><Relationship Id="rId1803" Type="http://schemas.openxmlformats.org/officeDocument/2006/relationships/hyperlink" Target="https://finance.yahoo.com/quote/AMZN260306P00265000/" TargetMode="External"/><Relationship Id="rId689" Type="http://schemas.openxmlformats.org/officeDocument/2006/relationships/hyperlink" Target="https://finance.yahoo.com/quote/AMZN260515C00325000/" TargetMode="External"/><Relationship Id="rId896" Type="http://schemas.openxmlformats.org/officeDocument/2006/relationships/hyperlink" Target="https://finance.yahoo.com/quote/AMZN/options/?straddle=false&amp;strike=350&amp;type=all" TargetMode="External"/><Relationship Id="rId2577" Type="http://schemas.openxmlformats.org/officeDocument/2006/relationships/hyperlink" Target="https://finance.yahoo.com/quote/AMZN260410P00125000/" TargetMode="External"/><Relationship Id="rId549" Type="http://schemas.openxmlformats.org/officeDocument/2006/relationships/hyperlink" Target="https://finance.yahoo.com/quote/AMZN260515P00225000/" TargetMode="External"/><Relationship Id="rId756" Type="http://schemas.openxmlformats.org/officeDocument/2006/relationships/hyperlink" Target="https://finance.yahoo.com/quote/AMZN/options/?straddle=false&amp;strike=240&amp;type=all" TargetMode="External"/><Relationship Id="rId1179" Type="http://schemas.openxmlformats.org/officeDocument/2006/relationships/hyperlink" Target="https://finance.yahoo.com/quote/AMZN260515P00300000/" TargetMode="External"/><Relationship Id="rId1386" Type="http://schemas.openxmlformats.org/officeDocument/2006/relationships/hyperlink" Target="https://finance.yahoo.com/quote/AMZN/options/?straddle=false&amp;strike=315&amp;type=all" TargetMode="External"/><Relationship Id="rId1593" Type="http://schemas.openxmlformats.org/officeDocument/2006/relationships/hyperlink" Target="https://finance.yahoo.com/quote/AMZN260227P00265000/" TargetMode="External"/><Relationship Id="rId2437" Type="http://schemas.openxmlformats.org/officeDocument/2006/relationships/hyperlink" Target="https://finance.yahoo.com/quote/AMZN260327P00210000/" TargetMode="External"/><Relationship Id="rId409" Type="http://schemas.openxmlformats.org/officeDocument/2006/relationships/hyperlink" Target="https://finance.yahoo.com/quote/AMZN260515C00125000/" TargetMode="External"/><Relationship Id="rId963" Type="http://schemas.openxmlformats.org/officeDocument/2006/relationships/hyperlink" Target="https://finance.yahoo.com/quote/AMZN260515C00260000/" TargetMode="External"/><Relationship Id="rId1039" Type="http://schemas.openxmlformats.org/officeDocument/2006/relationships/hyperlink" Target="https://finance.yahoo.com/quote/AMZN260515C00200000/" TargetMode="External"/><Relationship Id="rId1246" Type="http://schemas.openxmlformats.org/officeDocument/2006/relationships/hyperlink" Target="https://finance.yahoo.com/quote/AMZN/options/?straddle=false&amp;strike=215&amp;type=all" TargetMode="External"/><Relationship Id="rId2644" Type="http://schemas.openxmlformats.org/officeDocument/2006/relationships/hyperlink" Target="https://finance.yahoo.com/quote/AMZN/options/?straddle=false&amp;strike=230&amp;type=all" TargetMode="External"/><Relationship Id="rId92" Type="http://schemas.openxmlformats.org/officeDocument/2006/relationships/hyperlink" Target="https://finance.yahoo.com/quote/AMZN/options/?straddle=false&amp;strike=285&amp;type=all" TargetMode="External"/><Relationship Id="rId616" Type="http://schemas.openxmlformats.org/officeDocument/2006/relationships/hyperlink" Target="https://finance.yahoo.com/quote/AMZN/options/?straddle=false&amp;strike=140&amp;type=all" TargetMode="External"/><Relationship Id="rId823" Type="http://schemas.openxmlformats.org/officeDocument/2006/relationships/hyperlink" Target="https://finance.yahoo.com/quote/AMZN260515P00160000/" TargetMode="External"/><Relationship Id="rId1453" Type="http://schemas.openxmlformats.org/officeDocument/2006/relationships/hyperlink" Target="https://finance.yahoo.com/quote/AMZN260227C00217500/" TargetMode="External"/><Relationship Id="rId1660" Type="http://schemas.openxmlformats.org/officeDocument/2006/relationships/hyperlink" Target="https://finance.yahoo.com/quote/AMZN/options/?straddle=false&amp;strike=212.5&amp;type=all" TargetMode="External"/><Relationship Id="rId2504" Type="http://schemas.openxmlformats.org/officeDocument/2006/relationships/hyperlink" Target="https://finance.yahoo.com/quote/AMZN/options/?straddle=false&amp;strike=182.5&amp;type=all" TargetMode="External"/><Relationship Id="rId1106" Type="http://schemas.openxmlformats.org/officeDocument/2006/relationships/hyperlink" Target="https://finance.yahoo.com/quote/AMZN/options/?straddle=false&amp;strike=115&amp;type=all" TargetMode="External"/><Relationship Id="rId1313" Type="http://schemas.openxmlformats.org/officeDocument/2006/relationships/hyperlink" Target="https://finance.yahoo.com/quote/AMZN260515P00135000/" TargetMode="External"/><Relationship Id="rId1520" Type="http://schemas.openxmlformats.org/officeDocument/2006/relationships/hyperlink" Target="https://finance.yahoo.com/quote/AMZN/options/?straddle=false&amp;strike=140&amp;type=all" TargetMode="External"/><Relationship Id="rId199" Type="http://schemas.openxmlformats.org/officeDocument/2006/relationships/hyperlink" Target="https://finance.yahoo.com/quote/AMZN260515P00370000/" TargetMode="External"/><Relationship Id="rId2087" Type="http://schemas.openxmlformats.org/officeDocument/2006/relationships/hyperlink" Target="https://finance.yahoo.com/quote/AMZN260327C00140000/" TargetMode="External"/><Relationship Id="rId2294" Type="http://schemas.openxmlformats.org/officeDocument/2006/relationships/hyperlink" Target="https://finance.yahoo.com/quote/AMZN/options/?straddle=false&amp;strike=165&amp;type=all" TargetMode="External"/><Relationship Id="rId266" Type="http://schemas.openxmlformats.org/officeDocument/2006/relationships/hyperlink" Target="https://finance.yahoo.com/quote/AMZN/options/?straddle=false&amp;strike=265&amp;type=all" TargetMode="External"/><Relationship Id="rId473" Type="http://schemas.openxmlformats.org/officeDocument/2006/relationships/hyperlink" Target="https://finance.yahoo.com/quote/AMZN260515C00285000/" TargetMode="External"/><Relationship Id="rId680" Type="http://schemas.openxmlformats.org/officeDocument/2006/relationships/hyperlink" Target="https://finance.yahoo.com/quote/AMZN/options/?straddle=false&amp;strike=300&amp;type=all" TargetMode="External"/><Relationship Id="rId2154" Type="http://schemas.openxmlformats.org/officeDocument/2006/relationships/hyperlink" Target="https://finance.yahoo.com/quote/AMZN/options/?straddle=false&amp;strike=240&amp;type=all" TargetMode="External"/><Relationship Id="rId2361" Type="http://schemas.openxmlformats.org/officeDocument/2006/relationships/hyperlink" Target="https://finance.yahoo.com/quote/AMZN260327C00270000/" TargetMode="External"/><Relationship Id="rId126" Type="http://schemas.openxmlformats.org/officeDocument/2006/relationships/hyperlink" Target="https://finance.yahoo.com/quote/AMZN/options/?straddle=false&amp;strike=185&amp;type=all" TargetMode="External"/><Relationship Id="rId333" Type="http://schemas.openxmlformats.org/officeDocument/2006/relationships/hyperlink" Target="https://finance.yahoo.com/quote/AMZN260515P00185000/" TargetMode="External"/><Relationship Id="rId540" Type="http://schemas.openxmlformats.org/officeDocument/2006/relationships/hyperlink" Target="https://finance.yahoo.com/quote/AMZN/options/?straddle=false&amp;strike=200&amp;type=all" TargetMode="External"/><Relationship Id="rId1170" Type="http://schemas.openxmlformats.org/officeDocument/2006/relationships/hyperlink" Target="https://finance.yahoo.com/quote/AMZN/options/?straddle=false&amp;strike=275&amp;type=all" TargetMode="External"/><Relationship Id="rId2014" Type="http://schemas.openxmlformats.org/officeDocument/2006/relationships/hyperlink" Target="https://finance.yahoo.com/quote/AMZN/options/?straddle=false&amp;strike=217.5&amp;type=all" TargetMode="External"/><Relationship Id="rId2221" Type="http://schemas.openxmlformats.org/officeDocument/2006/relationships/hyperlink" Target="https://finance.yahoo.com/quote/AMZN260327P00185000/" TargetMode="External"/><Relationship Id="rId1030" Type="http://schemas.openxmlformats.org/officeDocument/2006/relationships/hyperlink" Target="https://finance.yahoo.com/quote/AMZN/options/?straddle=false&amp;strike=175&amp;type=all" TargetMode="External"/><Relationship Id="rId400" Type="http://schemas.openxmlformats.org/officeDocument/2006/relationships/hyperlink" Target="https://finance.yahoo.com/quote/AMZN/options/?straddle=false&amp;strike=370&amp;type=all" TargetMode="External"/><Relationship Id="rId1987" Type="http://schemas.openxmlformats.org/officeDocument/2006/relationships/hyperlink" Target="https://finance.yahoo.com/quote/AMZN260320P00185000/" TargetMode="External"/><Relationship Id="rId1847" Type="http://schemas.openxmlformats.org/officeDocument/2006/relationships/hyperlink" Target="https://finance.yahoo.com/quote/AMZN260318C00220000/" TargetMode="External"/><Relationship Id="rId1707" Type="http://schemas.openxmlformats.org/officeDocument/2006/relationships/hyperlink" Target="https://finance.yahoo.com/quote/AMZN260306C00310000/" TargetMode="External"/><Relationship Id="rId190" Type="http://schemas.openxmlformats.org/officeDocument/2006/relationships/hyperlink" Target="https://finance.yahoo.com/quote/AMZN/options/?straddle=false&amp;strike=340&amp;type=all" TargetMode="External"/><Relationship Id="rId1914" Type="http://schemas.openxmlformats.org/officeDocument/2006/relationships/hyperlink" Target="https://finance.yahoo.com/quote/AMZN/options/?straddle=false&amp;strike=197.5&amp;type=all" TargetMode="External"/><Relationship Id="rId867" Type="http://schemas.openxmlformats.org/officeDocument/2006/relationships/hyperlink" Target="https://finance.yahoo.com/quote/AMZN260515P00270000/" TargetMode="External"/><Relationship Id="rId1497" Type="http://schemas.openxmlformats.org/officeDocument/2006/relationships/hyperlink" Target="https://finance.yahoo.com/quote/AMZN260227C00310000/" TargetMode="External"/><Relationship Id="rId2548" Type="http://schemas.openxmlformats.org/officeDocument/2006/relationships/hyperlink" Target="https://finance.yahoo.com/quote/AMZN/options/?straddle=false&amp;strike=240&amp;type=all" TargetMode="External"/><Relationship Id="rId727" Type="http://schemas.openxmlformats.org/officeDocument/2006/relationships/hyperlink" Target="https://finance.yahoo.com/quote/AMZN260515P00170000/" TargetMode="External"/><Relationship Id="rId934" Type="http://schemas.openxmlformats.org/officeDocument/2006/relationships/hyperlink" Target="https://finance.yahoo.com/quote/AMZN/options/?straddle=false&amp;strike=185&amp;type=all" TargetMode="External"/><Relationship Id="rId1357" Type="http://schemas.openxmlformats.org/officeDocument/2006/relationships/hyperlink" Target="https://finance.yahoo.com/quote/AMZN260515P00245000/" TargetMode="External"/><Relationship Id="rId1564" Type="http://schemas.openxmlformats.org/officeDocument/2006/relationships/hyperlink" Target="https://finance.yahoo.com/quote/AMZN/options/?straddle=false&amp;strike=210&amp;type=all" TargetMode="External"/><Relationship Id="rId1771" Type="http://schemas.openxmlformats.org/officeDocument/2006/relationships/hyperlink" Target="https://finance.yahoo.com/quote/AMZN260306P00207500/" TargetMode="External"/><Relationship Id="rId2408" Type="http://schemas.openxmlformats.org/officeDocument/2006/relationships/hyperlink" Target="https://finance.yahoo.com/quote/AMZN/options/?straddle=false&amp;strike=170&amp;type=all" TargetMode="External"/><Relationship Id="rId2615" Type="http://schemas.openxmlformats.org/officeDocument/2006/relationships/hyperlink" Target="https://finance.yahoo.com/quote/AMZN260410P00195000/" TargetMode="External"/><Relationship Id="rId63" Type="http://schemas.openxmlformats.org/officeDocument/2006/relationships/hyperlink" Target="https://finance.yahoo.com/quote/AMZN260123C00242500/" TargetMode="External"/><Relationship Id="rId1217" Type="http://schemas.openxmlformats.org/officeDocument/2006/relationships/hyperlink" Target="https://finance.yahoo.com/quote/AMZN260515C00145000/" TargetMode="External"/><Relationship Id="rId1424" Type="http://schemas.openxmlformats.org/officeDocument/2006/relationships/hyperlink" Target="https://finance.yahoo.com/quote/AMZN/options/?straddle=false&amp;strike=180&amp;type=all" TargetMode="External"/><Relationship Id="rId1631" Type="http://schemas.openxmlformats.org/officeDocument/2006/relationships/hyperlink" Target="https://finance.yahoo.com/quote/AMZN260306C00177500/" TargetMode="External"/><Relationship Id="rId2198" Type="http://schemas.openxmlformats.org/officeDocument/2006/relationships/hyperlink" Target="https://finance.yahoo.com/quote/AMZN/options/?straddle=false&amp;strike=135&amp;type=all" TargetMode="External"/><Relationship Id="rId377" Type="http://schemas.openxmlformats.org/officeDocument/2006/relationships/hyperlink" Target="https://finance.yahoo.com/quote/AMZN260515P00295000/" TargetMode="External"/><Relationship Id="rId584" Type="http://schemas.openxmlformats.org/officeDocument/2006/relationships/hyperlink" Target="https://finance.yahoo.com/quote/AMZN/options/?straddle=false&amp;strike=310&amp;type=all" TargetMode="External"/><Relationship Id="rId2058" Type="http://schemas.openxmlformats.org/officeDocument/2006/relationships/hyperlink" Target="https://finance.yahoo.com/quote/AMZN/options/?straddle=false&amp;strike=310&amp;type=all" TargetMode="External"/><Relationship Id="rId2265" Type="http://schemas.openxmlformats.org/officeDocument/2006/relationships/hyperlink" Target="https://finance.yahoo.com/quote/AMZN260327P00240000/" TargetMode="External"/><Relationship Id="rId237" Type="http://schemas.openxmlformats.org/officeDocument/2006/relationships/hyperlink" Target="https://finance.yahoo.com/quote/AMZN260515C00195000/" TargetMode="External"/><Relationship Id="rId791" Type="http://schemas.openxmlformats.org/officeDocument/2006/relationships/hyperlink" Target="https://finance.yahoo.com/quote/AMZN260515P00330000/" TargetMode="External"/><Relationship Id="rId1074" Type="http://schemas.openxmlformats.org/officeDocument/2006/relationships/hyperlink" Target="https://finance.yahoo.com/quote/AMZN/options/?straddle=false&amp;strike=285&amp;type=all" TargetMode="External"/><Relationship Id="rId2472" Type="http://schemas.openxmlformats.org/officeDocument/2006/relationships/hyperlink" Target="https://finance.yahoo.com/quote/AMZN/options/?straddle=false&amp;strike=265&amp;type=all" TargetMode="External"/><Relationship Id="rId444" Type="http://schemas.openxmlformats.org/officeDocument/2006/relationships/hyperlink" Target="https://finance.yahoo.com/quote/AMZN/options/?straddle=false&amp;strike=210&amp;type=all" TargetMode="External"/><Relationship Id="rId651" Type="http://schemas.openxmlformats.org/officeDocument/2006/relationships/hyperlink" Target="https://finance.yahoo.com/quote/AMZN260515C00230000/" TargetMode="External"/><Relationship Id="rId1281" Type="http://schemas.openxmlformats.org/officeDocument/2006/relationships/hyperlink" Target="https://finance.yahoo.com/quote/AMZN260515C00305000/" TargetMode="External"/><Relationship Id="rId2125" Type="http://schemas.openxmlformats.org/officeDocument/2006/relationships/hyperlink" Target="https://finance.yahoo.com/quote/AMZN260327C00205000/" TargetMode="External"/><Relationship Id="rId2332" Type="http://schemas.openxmlformats.org/officeDocument/2006/relationships/hyperlink" Target="https://finance.yahoo.com/quote/AMZN/options/?straddle=false&amp;strike=217.5&amp;type=all" TargetMode="External"/><Relationship Id="rId304" Type="http://schemas.openxmlformats.org/officeDocument/2006/relationships/hyperlink" Target="https://finance.yahoo.com/quote/AMZN/options/?straddle=false&amp;strike=110&amp;type=all" TargetMode="External"/><Relationship Id="rId511" Type="http://schemas.openxmlformats.org/officeDocument/2006/relationships/hyperlink" Target="https://finance.yahoo.com/quote/AMZN260515P00130000/" TargetMode="External"/><Relationship Id="rId1141" Type="http://schemas.openxmlformats.org/officeDocument/2006/relationships/hyperlink" Target="https://finance.yahoo.com/quote/AMZN260515P00205000/" TargetMode="External"/><Relationship Id="rId1001" Type="http://schemas.openxmlformats.org/officeDocument/2006/relationships/hyperlink" Target="https://finance.yahoo.com/quote/AMZN260515C00105000/" TargetMode="External"/><Relationship Id="rId1958" Type="http://schemas.openxmlformats.org/officeDocument/2006/relationships/hyperlink" Target="https://finance.yahoo.com/quote/AMZN/options/?straddle=false&amp;strike=110&amp;type=all" TargetMode="External"/><Relationship Id="rId1818" Type="http://schemas.openxmlformats.org/officeDocument/2006/relationships/hyperlink" Target="https://finance.yahoo.com/quote/AMZN/options/?straddle=false&amp;strike=170&amp;type=all" TargetMode="External"/><Relationship Id="rId161" Type="http://schemas.openxmlformats.org/officeDocument/2006/relationships/hyperlink" Target="https://finance.yahoo.com/quote/AMZN260123P00240000/" TargetMode="External"/><Relationship Id="rId978" Type="http://schemas.openxmlformats.org/officeDocument/2006/relationships/hyperlink" Target="https://finance.yahoo.com/quote/AMZN/options/?straddle=false&amp;strike=295&amp;type=all" TargetMode="External"/><Relationship Id="rId838" Type="http://schemas.openxmlformats.org/officeDocument/2006/relationships/hyperlink" Target="https://finance.yahoo.com/quote/AMZN/options/?straddle=false&amp;strike=195&amp;type=all" TargetMode="External"/><Relationship Id="rId1468" Type="http://schemas.openxmlformats.org/officeDocument/2006/relationships/hyperlink" Target="https://finance.yahoo.com/quote/AMZN/options/?straddle=false&amp;strike=235&amp;type=all" TargetMode="External"/><Relationship Id="rId1675" Type="http://schemas.openxmlformats.org/officeDocument/2006/relationships/hyperlink" Target="https://finance.yahoo.com/quote/AMZN260306C00232500/" TargetMode="External"/><Relationship Id="rId1882" Type="http://schemas.openxmlformats.org/officeDocument/2006/relationships/hyperlink" Target="https://finance.yahoo.com/quote/AMZN/options/?straddle=false&amp;strike=150&amp;type=all" TargetMode="External"/><Relationship Id="rId2519" Type="http://schemas.openxmlformats.org/officeDocument/2006/relationships/hyperlink" Target="https://finance.yahoo.com/quote/AMZN260410C00202500/" TargetMode="External"/><Relationship Id="rId1328" Type="http://schemas.openxmlformats.org/officeDocument/2006/relationships/hyperlink" Target="https://finance.yahoo.com/quote/AMZN/options/?straddle=false&amp;strike=170&amp;type=all" TargetMode="External"/><Relationship Id="rId1535" Type="http://schemas.openxmlformats.org/officeDocument/2006/relationships/hyperlink" Target="https://finance.yahoo.com/quote/AMZN260227P00175000/" TargetMode="External"/><Relationship Id="rId905" Type="http://schemas.openxmlformats.org/officeDocument/2006/relationships/hyperlink" Target="https://finance.yahoo.com/quote/AMZN260515C00115000/" TargetMode="External"/><Relationship Id="rId1742" Type="http://schemas.openxmlformats.org/officeDocument/2006/relationships/hyperlink" Target="https://finance.yahoo.com/quote/AMZN/options/?straddle=false&amp;strike=170&amp;type=all" TargetMode="External"/><Relationship Id="rId34" Type="http://schemas.openxmlformats.org/officeDocument/2006/relationships/hyperlink" Target="https://finance.yahoo.com/quote/AMZN/options/?straddle=false&amp;strike=205&amp;type=all" TargetMode="External"/><Relationship Id="rId1602" Type="http://schemas.openxmlformats.org/officeDocument/2006/relationships/hyperlink" Target="https://finance.yahoo.com/quote/AMZN/options/?straddle=false&amp;strike=290&amp;type=all" TargetMode="External"/><Relationship Id="rId488" Type="http://schemas.openxmlformats.org/officeDocument/2006/relationships/hyperlink" Target="https://finance.yahoo.com/quote/AMZN/options/?straddle=false&amp;strike=320&amp;type=all" TargetMode="External"/><Relationship Id="rId695" Type="http://schemas.openxmlformats.org/officeDocument/2006/relationships/hyperlink" Target="https://finance.yahoo.com/quote/AMZN260515C00350000/" TargetMode="External"/><Relationship Id="rId2169" Type="http://schemas.openxmlformats.org/officeDocument/2006/relationships/hyperlink" Target="https://finance.yahoo.com/quote/AMZN260327C00280000/" TargetMode="External"/><Relationship Id="rId2376" Type="http://schemas.openxmlformats.org/officeDocument/2006/relationships/hyperlink" Target="https://finance.yahoo.com/quote/AMZN/options/?straddle=false&amp;strike=305&amp;type=all" TargetMode="External"/><Relationship Id="rId2583" Type="http://schemas.openxmlformats.org/officeDocument/2006/relationships/hyperlink" Target="https://finance.yahoo.com/quote/AMZN260410P00140000/" TargetMode="External"/><Relationship Id="rId348" Type="http://schemas.openxmlformats.org/officeDocument/2006/relationships/hyperlink" Target="https://finance.yahoo.com/quote/AMZN/options/?straddle=false&amp;strike=220&amp;type=all" TargetMode="External"/><Relationship Id="rId555" Type="http://schemas.openxmlformats.org/officeDocument/2006/relationships/hyperlink" Target="https://finance.yahoo.com/quote/AMZN260515P00240000/" TargetMode="External"/><Relationship Id="rId762" Type="http://schemas.openxmlformats.org/officeDocument/2006/relationships/hyperlink" Target="https://finance.yahoo.com/quote/AMZN/options/?straddle=false&amp;strike=255&amp;type=all" TargetMode="External"/><Relationship Id="rId1185" Type="http://schemas.openxmlformats.org/officeDocument/2006/relationships/hyperlink" Target="https://finance.yahoo.com/quote/AMZN260515P00315000/" TargetMode="External"/><Relationship Id="rId1392" Type="http://schemas.openxmlformats.org/officeDocument/2006/relationships/hyperlink" Target="https://finance.yahoo.com/quote/AMZN/options/?straddle=false&amp;strike=330&amp;type=all" TargetMode="External"/><Relationship Id="rId2029" Type="http://schemas.openxmlformats.org/officeDocument/2006/relationships/hyperlink" Target="https://finance.yahoo.com/quote/AMZN260320P00240000/" TargetMode="External"/><Relationship Id="rId2236" Type="http://schemas.openxmlformats.org/officeDocument/2006/relationships/hyperlink" Target="https://finance.yahoo.com/quote/AMZN/options/?straddle=false&amp;strike=202.5&amp;type=all" TargetMode="External"/><Relationship Id="rId2443" Type="http://schemas.openxmlformats.org/officeDocument/2006/relationships/hyperlink" Target="https://finance.yahoo.com/quote/AMZN260327P00217500/" TargetMode="External"/><Relationship Id="rId2650" Type="http://schemas.openxmlformats.org/officeDocument/2006/relationships/hyperlink" Target="https://finance.yahoo.com/quote/AMZN/options/?straddle=false&amp;strike=240&amp;type=all" TargetMode="External"/><Relationship Id="rId208" Type="http://schemas.openxmlformats.org/officeDocument/2006/relationships/hyperlink" Target="https://finance.yahoo.com/quote/AMZN/options/?straddle=false&amp;strike=120&amp;type=all" TargetMode="External"/><Relationship Id="rId415" Type="http://schemas.openxmlformats.org/officeDocument/2006/relationships/hyperlink" Target="https://finance.yahoo.com/quote/AMZN260515C00140000/" TargetMode="External"/><Relationship Id="rId622" Type="http://schemas.openxmlformats.org/officeDocument/2006/relationships/hyperlink" Target="https://finance.yahoo.com/quote/AMZN/options/?straddle=false&amp;strike=155&amp;type=all" TargetMode="External"/><Relationship Id="rId1045" Type="http://schemas.openxmlformats.org/officeDocument/2006/relationships/hyperlink" Target="https://finance.yahoo.com/quote/AMZN260515C00215000/" TargetMode="External"/><Relationship Id="rId1252" Type="http://schemas.openxmlformats.org/officeDocument/2006/relationships/hyperlink" Target="https://finance.yahoo.com/quote/AMZN/options/?straddle=false&amp;strike=230&amp;type=all" TargetMode="External"/><Relationship Id="rId2303" Type="http://schemas.openxmlformats.org/officeDocument/2006/relationships/hyperlink" Target="https://finance.yahoo.com/quote/AMZN260327C00182500/" TargetMode="External"/><Relationship Id="rId2510" Type="http://schemas.openxmlformats.org/officeDocument/2006/relationships/hyperlink" Target="https://finance.yahoo.com/quote/AMZN/options/?straddle=false&amp;strike=190&amp;type=all" TargetMode="External"/><Relationship Id="rId1112" Type="http://schemas.openxmlformats.org/officeDocument/2006/relationships/hyperlink" Target="https://finance.yahoo.com/quote/AMZN/options/?straddle=false&amp;strike=130&amp;type=all" TargetMode="External"/><Relationship Id="rId1929" Type="http://schemas.openxmlformats.org/officeDocument/2006/relationships/hyperlink" Target="https://finance.yahoo.com/quote/AMZN260318P00217500/" TargetMode="External"/><Relationship Id="rId2093" Type="http://schemas.openxmlformats.org/officeDocument/2006/relationships/hyperlink" Target="https://finance.yahoo.com/quote/AMZN260327C0015500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4716B-2DB4-4BB2-8EA7-449F9F85C623}">
  <dimension ref="A1:R1400"/>
  <sheetViews>
    <sheetView tabSelected="1" topLeftCell="A1372" zoomScale="118" workbookViewId="0">
      <selection activeCell="B1399" sqref="B1399"/>
    </sheetView>
  </sheetViews>
  <sheetFormatPr baseColWidth="10" defaultColWidth="8.85546875" defaultRowHeight="15" x14ac:dyDescent="0.25"/>
  <cols>
    <col min="1" max="1" width="22.7109375" bestFit="1" customWidth="1"/>
    <col min="2" max="4" width="22.7109375" customWidth="1"/>
    <col min="5" max="5" width="23.28515625" style="48" bestFit="1" customWidth="1"/>
    <col min="7" max="9" width="8.85546875" style="48"/>
    <col min="11" max="11" width="10.140625" bestFit="1" customWidth="1"/>
    <col min="12" max="12" width="8.85546875" style="48"/>
    <col min="13" max="13" width="10" style="48" bestFit="1" customWidth="1"/>
    <col min="14" max="14" width="11.42578125" style="48" bestFit="1" customWidth="1"/>
  </cols>
  <sheetData>
    <row r="1" spans="1:18" x14ac:dyDescent="0.25">
      <c r="A1" s="1" t="s">
        <v>0</v>
      </c>
      <c r="B1" s="1"/>
      <c r="C1" s="1"/>
      <c r="D1" s="1"/>
      <c r="E1" s="37" t="s">
        <v>1</v>
      </c>
      <c r="F1" s="2" t="s">
        <v>2</v>
      </c>
      <c r="G1" s="37" t="s">
        <v>3</v>
      </c>
      <c r="H1" s="37" t="s">
        <v>4</v>
      </c>
      <c r="I1" s="37" t="s">
        <v>5</v>
      </c>
      <c r="J1" s="14" t="s">
        <v>6</v>
      </c>
      <c r="K1" s="14" t="s">
        <v>7</v>
      </c>
      <c r="L1" s="37" t="s">
        <v>8</v>
      </c>
      <c r="M1" s="37" t="s">
        <v>9</v>
      </c>
      <c r="N1" s="37" t="s">
        <v>10</v>
      </c>
      <c r="O1" s="2" t="s">
        <v>61</v>
      </c>
      <c r="P1" s="2" t="s">
        <v>63</v>
      </c>
      <c r="Q1" s="2" t="s">
        <v>64</v>
      </c>
    </row>
    <row r="2" spans="1:18" x14ac:dyDescent="0.25">
      <c r="A2" s="3" t="s">
        <v>11</v>
      </c>
      <c r="B2" s="3" t="str">
        <f>+MID(A2,1,4)</f>
        <v>AMZN</v>
      </c>
      <c r="C2" s="3" t="str">
        <f>+MID(A2,5,6)</f>
        <v>260123</v>
      </c>
      <c r="D2" s="3" t="str">
        <f>+MID(A2,11,10)</f>
        <v>C00125000</v>
      </c>
      <c r="E2" s="38">
        <v>46035.424305555556</v>
      </c>
      <c r="F2" s="4">
        <v>125</v>
      </c>
      <c r="G2" s="49">
        <v>142.07</v>
      </c>
      <c r="H2" s="49">
        <v>129.6</v>
      </c>
      <c r="I2" s="49">
        <v>132.19999999999999</v>
      </c>
      <c r="J2" s="18">
        <v>0</v>
      </c>
      <c r="K2" s="19">
        <v>0</v>
      </c>
      <c r="L2" s="49">
        <v>2</v>
      </c>
      <c r="M2" s="49">
        <v>21</v>
      </c>
      <c r="N2" s="51">
        <v>0.87619999999999998</v>
      </c>
      <c r="O2" t="s">
        <v>62</v>
      </c>
      <c r="P2" s="9">
        <v>46044</v>
      </c>
      <c r="Q2">
        <f>234.34</f>
        <v>234.34</v>
      </c>
      <c r="R2" s="9"/>
    </row>
    <row r="3" spans="1:18" x14ac:dyDescent="0.25">
      <c r="A3" s="3" t="s">
        <v>12</v>
      </c>
      <c r="B3" s="3" t="str">
        <f t="shared" ref="B3:B66" si="0">+MID(A3,1,4)</f>
        <v>AMZN</v>
      </c>
      <c r="C3" s="3" t="str">
        <f t="shared" ref="C3:C51" si="1">+MID(A3,5,6)</f>
        <v>260123</v>
      </c>
      <c r="D3" s="3" t="str">
        <f t="shared" ref="D3:D51" si="2">+MID(A3,11,10)</f>
        <v>C00130000</v>
      </c>
      <c r="E3" s="38">
        <v>46043.491666666669</v>
      </c>
      <c r="F3" s="4">
        <v>130</v>
      </c>
      <c r="G3" s="49">
        <v>120</v>
      </c>
      <c r="H3" s="49">
        <v>124.7</v>
      </c>
      <c r="I3" s="49">
        <v>127.3</v>
      </c>
      <c r="J3" s="18">
        <v>0</v>
      </c>
      <c r="K3" s="19">
        <v>0</v>
      </c>
      <c r="L3" s="49">
        <v>2</v>
      </c>
      <c r="M3" s="49">
        <v>32</v>
      </c>
      <c r="N3" s="51">
        <v>0.84199999999999997</v>
      </c>
      <c r="O3" t="s">
        <v>62</v>
      </c>
      <c r="P3" s="9">
        <v>46044</v>
      </c>
      <c r="Q3">
        <f t="shared" ref="Q3:Q65" si="3">234.34</f>
        <v>234.34</v>
      </c>
    </row>
    <row r="4" spans="1:18" x14ac:dyDescent="0.25">
      <c r="A4" s="3" t="s">
        <v>13</v>
      </c>
      <c r="B4" s="3" t="str">
        <f t="shared" si="0"/>
        <v>AMZN</v>
      </c>
      <c r="C4" s="3" t="str">
        <f t="shared" si="1"/>
        <v>260123</v>
      </c>
      <c r="D4" s="3" t="str">
        <f t="shared" si="2"/>
        <v>C00135000</v>
      </c>
      <c r="E4" s="38">
        <v>46017.578472222223</v>
      </c>
      <c r="F4" s="4">
        <v>135</v>
      </c>
      <c r="G4" s="49">
        <v>119.81</v>
      </c>
      <c r="H4" s="49">
        <v>119.2</v>
      </c>
      <c r="I4" s="49">
        <v>122.85</v>
      </c>
      <c r="J4" s="18">
        <v>0</v>
      </c>
      <c r="K4" s="19">
        <v>0</v>
      </c>
      <c r="L4" s="49">
        <v>1</v>
      </c>
      <c r="M4" s="49">
        <v>39</v>
      </c>
      <c r="N4" s="51">
        <v>0.80100000000000005</v>
      </c>
      <c r="O4" t="s">
        <v>62</v>
      </c>
      <c r="P4" s="9">
        <v>46044</v>
      </c>
      <c r="Q4">
        <f t="shared" si="3"/>
        <v>234.34</v>
      </c>
    </row>
    <row r="5" spans="1:18" x14ac:dyDescent="0.25">
      <c r="A5" s="3" t="s">
        <v>14</v>
      </c>
      <c r="B5" s="3" t="str">
        <f t="shared" si="0"/>
        <v>AMZN</v>
      </c>
      <c r="C5" s="3" t="str">
        <f t="shared" si="1"/>
        <v>260123</v>
      </c>
      <c r="D5" s="3" t="str">
        <f t="shared" si="2"/>
        <v>C00140000</v>
      </c>
      <c r="E5" s="38">
        <v>46028.570833333331</v>
      </c>
      <c r="F5" s="4">
        <v>140</v>
      </c>
      <c r="G5" s="49">
        <v>123.8</v>
      </c>
      <c r="H5" s="49">
        <v>114.9</v>
      </c>
      <c r="I5" s="49">
        <v>117.35</v>
      </c>
      <c r="J5" s="18">
        <v>0</v>
      </c>
      <c r="K5" s="19">
        <v>0</v>
      </c>
      <c r="L5" s="49">
        <v>4</v>
      </c>
      <c r="M5" s="52">
        <v>2247</v>
      </c>
      <c r="N5" s="51">
        <v>0.76880000000000004</v>
      </c>
      <c r="O5" t="s">
        <v>62</v>
      </c>
      <c r="P5" s="9">
        <v>46044</v>
      </c>
      <c r="Q5">
        <f t="shared" si="3"/>
        <v>234.34</v>
      </c>
    </row>
    <row r="6" spans="1:18" x14ac:dyDescent="0.25">
      <c r="A6" s="3" t="s">
        <v>15</v>
      </c>
      <c r="B6" s="3" t="str">
        <f t="shared" si="0"/>
        <v>AMZN</v>
      </c>
      <c r="C6" s="3" t="str">
        <f t="shared" si="1"/>
        <v>260123</v>
      </c>
      <c r="D6" s="3" t="str">
        <f t="shared" si="2"/>
        <v>C00145000</v>
      </c>
      <c r="E6" s="38">
        <v>46009.511805555558</v>
      </c>
      <c r="F6" s="4">
        <v>145</v>
      </c>
      <c r="G6" s="49">
        <v>103.99</v>
      </c>
      <c r="H6" s="49">
        <v>110.05</v>
      </c>
      <c r="I6" s="49">
        <v>112.65</v>
      </c>
      <c r="J6" s="18">
        <v>0</v>
      </c>
      <c r="K6" s="19">
        <v>0</v>
      </c>
      <c r="L6" s="49">
        <v>1</v>
      </c>
      <c r="M6" s="49">
        <v>41</v>
      </c>
      <c r="N6" s="51">
        <v>0.74780000000000002</v>
      </c>
      <c r="O6" t="s">
        <v>62</v>
      </c>
      <c r="P6" s="9">
        <v>46044</v>
      </c>
      <c r="Q6">
        <f t="shared" si="3"/>
        <v>234.34</v>
      </c>
    </row>
    <row r="7" spans="1:18" x14ac:dyDescent="0.25">
      <c r="A7" s="3" t="s">
        <v>16</v>
      </c>
      <c r="B7" s="3" t="str">
        <f t="shared" si="0"/>
        <v>AMZN</v>
      </c>
      <c r="C7" s="3" t="str">
        <f t="shared" si="1"/>
        <v>260123</v>
      </c>
      <c r="D7" s="3" t="str">
        <f t="shared" si="2"/>
        <v>C00150000</v>
      </c>
      <c r="E7" s="38">
        <v>46031.40625</v>
      </c>
      <c r="F7" s="4">
        <v>150</v>
      </c>
      <c r="G7" s="49">
        <v>116.45</v>
      </c>
      <c r="H7" s="49">
        <v>105.15</v>
      </c>
      <c r="I7" s="49">
        <v>107.8</v>
      </c>
      <c r="J7" s="18">
        <v>0</v>
      </c>
      <c r="K7" s="19">
        <v>0</v>
      </c>
      <c r="L7" s="49">
        <v>1</v>
      </c>
      <c r="M7" s="49">
        <v>63</v>
      </c>
      <c r="N7" s="51">
        <v>0.71789999999999998</v>
      </c>
      <c r="O7" t="s">
        <v>62</v>
      </c>
      <c r="P7" s="9">
        <v>46044</v>
      </c>
      <c r="Q7">
        <f t="shared" si="3"/>
        <v>234.34</v>
      </c>
    </row>
    <row r="8" spans="1:18" x14ac:dyDescent="0.25">
      <c r="A8" s="3" t="s">
        <v>17</v>
      </c>
      <c r="B8" s="3" t="str">
        <f t="shared" si="0"/>
        <v>AMZN</v>
      </c>
      <c r="C8" s="3" t="str">
        <f t="shared" si="1"/>
        <v>260123</v>
      </c>
      <c r="D8" s="3" t="str">
        <f t="shared" si="2"/>
        <v>C00155000</v>
      </c>
      <c r="E8" s="38">
        <v>46043.602083333331</v>
      </c>
      <c r="F8" s="4">
        <v>155</v>
      </c>
      <c r="G8" s="49">
        <v>95.6</v>
      </c>
      <c r="H8" s="49">
        <v>100.3</v>
      </c>
      <c r="I8" s="49">
        <v>102.95</v>
      </c>
      <c r="J8" s="18">
        <v>0</v>
      </c>
      <c r="K8" s="19">
        <v>0</v>
      </c>
      <c r="L8" s="49">
        <v>1</v>
      </c>
      <c r="M8" s="49">
        <v>28</v>
      </c>
      <c r="N8" s="51">
        <v>0.69020000000000004</v>
      </c>
      <c r="O8" t="s">
        <v>62</v>
      </c>
      <c r="P8" s="9">
        <v>46044</v>
      </c>
      <c r="Q8">
        <f t="shared" si="3"/>
        <v>234.34</v>
      </c>
    </row>
    <row r="9" spans="1:18" x14ac:dyDescent="0.25">
      <c r="A9" s="3" t="s">
        <v>18</v>
      </c>
      <c r="B9" s="3" t="str">
        <f t="shared" si="0"/>
        <v>AMZN</v>
      </c>
      <c r="C9" s="3" t="str">
        <f t="shared" si="1"/>
        <v>260123</v>
      </c>
      <c r="D9" s="3" t="str">
        <f t="shared" si="2"/>
        <v>C00160000</v>
      </c>
      <c r="E9" s="38">
        <v>46043.396527777775</v>
      </c>
      <c r="F9" s="4">
        <v>160</v>
      </c>
      <c r="G9" s="49">
        <v>93.12</v>
      </c>
      <c r="H9" s="49">
        <v>94.85</v>
      </c>
      <c r="I9" s="49">
        <v>98.55</v>
      </c>
      <c r="J9" s="18">
        <v>0</v>
      </c>
      <c r="K9" s="19">
        <v>0</v>
      </c>
      <c r="L9" s="49">
        <v>1</v>
      </c>
      <c r="M9" s="49">
        <v>23</v>
      </c>
      <c r="N9" s="51">
        <v>0.65739999999999998</v>
      </c>
      <c r="O9" t="s">
        <v>62</v>
      </c>
      <c r="P9" s="9">
        <v>46044</v>
      </c>
      <c r="Q9">
        <f t="shared" si="3"/>
        <v>234.34</v>
      </c>
    </row>
    <row r="10" spans="1:18" x14ac:dyDescent="0.25">
      <c r="A10" s="3" t="s">
        <v>19</v>
      </c>
      <c r="B10" s="3" t="str">
        <f t="shared" si="0"/>
        <v>AMZN</v>
      </c>
      <c r="C10" s="3" t="str">
        <f t="shared" si="1"/>
        <v>260123</v>
      </c>
      <c r="D10" s="3" t="str">
        <f t="shared" si="2"/>
        <v>C00165000</v>
      </c>
      <c r="E10" s="38">
        <v>46037.413888888892</v>
      </c>
      <c r="F10" s="4">
        <v>165</v>
      </c>
      <c r="G10" s="49">
        <v>95.56</v>
      </c>
      <c r="H10" s="49">
        <v>90.65</v>
      </c>
      <c r="I10" s="49">
        <v>93.3</v>
      </c>
      <c r="J10" s="18">
        <v>0</v>
      </c>
      <c r="K10" s="19">
        <v>0</v>
      </c>
      <c r="L10" s="49">
        <v>1</v>
      </c>
      <c r="M10" s="49">
        <v>3</v>
      </c>
      <c r="N10" s="51">
        <v>0.63780000000000003</v>
      </c>
      <c r="O10" t="s">
        <v>62</v>
      </c>
      <c r="P10" s="9">
        <v>46044</v>
      </c>
      <c r="Q10">
        <f t="shared" si="3"/>
        <v>234.34</v>
      </c>
    </row>
    <row r="11" spans="1:18" x14ac:dyDescent="0.25">
      <c r="A11" s="3" t="s">
        <v>20</v>
      </c>
      <c r="B11" s="3" t="str">
        <f t="shared" si="0"/>
        <v>AMZN</v>
      </c>
      <c r="C11" s="3" t="str">
        <f t="shared" si="1"/>
        <v>260123</v>
      </c>
      <c r="D11" s="3" t="str">
        <f t="shared" si="2"/>
        <v>C00170000</v>
      </c>
      <c r="E11" s="38">
        <v>46038.550694444442</v>
      </c>
      <c r="F11" s="4">
        <v>170</v>
      </c>
      <c r="G11" s="49">
        <v>90.87</v>
      </c>
      <c r="H11" s="49">
        <v>85.9</v>
      </c>
      <c r="I11" s="49">
        <v>87.75</v>
      </c>
      <c r="J11" s="18">
        <v>0</v>
      </c>
      <c r="K11" s="19">
        <v>0</v>
      </c>
      <c r="L11" s="49">
        <v>20</v>
      </c>
      <c r="M11" s="49">
        <v>81</v>
      </c>
      <c r="N11" s="51">
        <v>0.59219999999999995</v>
      </c>
      <c r="O11" t="s">
        <v>62</v>
      </c>
      <c r="P11" s="9">
        <v>46044</v>
      </c>
      <c r="Q11">
        <f t="shared" si="3"/>
        <v>234.34</v>
      </c>
    </row>
    <row r="12" spans="1:18" x14ac:dyDescent="0.25">
      <c r="A12" s="3" t="s">
        <v>21</v>
      </c>
      <c r="B12" s="3" t="str">
        <f t="shared" si="0"/>
        <v>AMZN</v>
      </c>
      <c r="C12" s="3" t="str">
        <f t="shared" si="1"/>
        <v>260123</v>
      </c>
      <c r="D12" s="3" t="str">
        <f t="shared" si="2"/>
        <v>C00175000</v>
      </c>
      <c r="E12" s="38">
        <v>46043.493750000001</v>
      </c>
      <c r="F12" s="4">
        <v>175</v>
      </c>
      <c r="G12" s="49">
        <v>76.75</v>
      </c>
      <c r="H12" s="49">
        <v>80.75</v>
      </c>
      <c r="I12" s="49">
        <v>83.75</v>
      </c>
      <c r="J12" s="18">
        <v>0</v>
      </c>
      <c r="K12" s="19">
        <v>0</v>
      </c>
      <c r="L12" s="49">
        <v>3</v>
      </c>
      <c r="M12" s="49">
        <v>86</v>
      </c>
      <c r="N12" s="51">
        <v>0.58079999999999998</v>
      </c>
      <c r="O12" t="s">
        <v>62</v>
      </c>
      <c r="P12" s="9">
        <v>46044</v>
      </c>
      <c r="Q12">
        <f t="shared" si="3"/>
        <v>234.34</v>
      </c>
    </row>
    <row r="13" spans="1:18" x14ac:dyDescent="0.25">
      <c r="A13" s="3" t="s">
        <v>22</v>
      </c>
      <c r="B13" s="3" t="str">
        <f t="shared" si="0"/>
        <v>AMZN</v>
      </c>
      <c r="C13" s="3" t="str">
        <f t="shared" si="1"/>
        <v>260123</v>
      </c>
      <c r="D13" s="3" t="str">
        <f t="shared" si="2"/>
        <v>C00180000</v>
      </c>
      <c r="E13" s="38">
        <v>46043.486111111109</v>
      </c>
      <c r="F13" s="4">
        <v>180</v>
      </c>
      <c r="G13" s="49">
        <v>77.08</v>
      </c>
      <c r="H13" s="49">
        <v>76.400000000000006</v>
      </c>
      <c r="I13" s="49">
        <v>79</v>
      </c>
      <c r="J13" s="18">
        <v>4.1900000000000004</v>
      </c>
      <c r="K13" s="19">
        <v>5.7500000000000002E-2</v>
      </c>
      <c r="L13" s="49">
        <v>1</v>
      </c>
      <c r="M13" s="49">
        <v>141</v>
      </c>
      <c r="N13" s="51">
        <v>0.56810000000000005</v>
      </c>
      <c r="O13" t="s">
        <v>62</v>
      </c>
      <c r="P13" s="9">
        <v>46044</v>
      </c>
      <c r="Q13">
        <f t="shared" si="3"/>
        <v>234.34</v>
      </c>
    </row>
    <row r="14" spans="1:18" x14ac:dyDescent="0.25">
      <c r="A14" s="3" t="s">
        <v>23</v>
      </c>
      <c r="B14" s="3" t="str">
        <f t="shared" si="0"/>
        <v>AMZN</v>
      </c>
      <c r="C14" s="3" t="str">
        <f t="shared" si="1"/>
        <v>260123</v>
      </c>
      <c r="D14" s="3" t="str">
        <f t="shared" si="2"/>
        <v>C00185000</v>
      </c>
      <c r="E14" s="38">
        <v>46042.647916666669</v>
      </c>
      <c r="F14" s="4">
        <v>185</v>
      </c>
      <c r="G14" s="49">
        <v>69.45</v>
      </c>
      <c r="H14" s="49">
        <v>71.7</v>
      </c>
      <c r="I14" s="49">
        <v>74.3</v>
      </c>
      <c r="J14" s="18">
        <v>0</v>
      </c>
      <c r="K14" s="19">
        <v>0</v>
      </c>
      <c r="L14" s="49">
        <v>1</v>
      </c>
      <c r="M14" s="49">
        <v>118</v>
      </c>
      <c r="N14" s="51">
        <v>0.5464</v>
      </c>
      <c r="O14" t="s">
        <v>62</v>
      </c>
      <c r="P14" s="9">
        <v>46044</v>
      </c>
      <c r="Q14">
        <f t="shared" si="3"/>
        <v>234.34</v>
      </c>
    </row>
    <row r="15" spans="1:18" x14ac:dyDescent="0.25">
      <c r="A15" s="3" t="s">
        <v>24</v>
      </c>
      <c r="B15" s="3" t="str">
        <f t="shared" si="0"/>
        <v>AMZN</v>
      </c>
      <c r="C15" s="3" t="str">
        <f t="shared" si="1"/>
        <v>260123</v>
      </c>
      <c r="D15" s="3" t="str">
        <f t="shared" si="2"/>
        <v>C00190000</v>
      </c>
      <c r="E15" s="38">
        <v>46042.534722222219</v>
      </c>
      <c r="F15" s="4">
        <v>190</v>
      </c>
      <c r="G15" s="49">
        <v>66.8</v>
      </c>
      <c r="H15" s="49">
        <v>66.45</v>
      </c>
      <c r="I15" s="49">
        <v>69.650000000000006</v>
      </c>
      <c r="J15" s="18">
        <v>0</v>
      </c>
      <c r="K15" s="19">
        <v>0</v>
      </c>
      <c r="L15" s="49">
        <v>1</v>
      </c>
      <c r="M15" s="49">
        <v>92</v>
      </c>
      <c r="N15" s="51">
        <v>0.51329999999999998</v>
      </c>
      <c r="O15" t="s">
        <v>62</v>
      </c>
      <c r="P15" s="9">
        <v>46044</v>
      </c>
      <c r="Q15">
        <f t="shared" si="3"/>
        <v>234.34</v>
      </c>
    </row>
    <row r="16" spans="1:18" x14ac:dyDescent="0.25">
      <c r="A16" s="3" t="s">
        <v>25</v>
      </c>
      <c r="B16" s="3" t="str">
        <f t="shared" si="0"/>
        <v>AMZN</v>
      </c>
      <c r="C16" s="3" t="str">
        <f t="shared" si="1"/>
        <v>260123</v>
      </c>
      <c r="D16" s="3" t="str">
        <f t="shared" si="2"/>
        <v>C00195000</v>
      </c>
      <c r="E16" s="38">
        <v>46037.401388888888</v>
      </c>
      <c r="F16" s="4">
        <v>195</v>
      </c>
      <c r="G16" s="49">
        <v>66.599999999999994</v>
      </c>
      <c r="H16" s="49">
        <v>63.45</v>
      </c>
      <c r="I16" s="49">
        <v>64.099999999999994</v>
      </c>
      <c r="J16" s="18">
        <v>0</v>
      </c>
      <c r="K16" s="19">
        <v>0</v>
      </c>
      <c r="L16" s="49">
        <v>2</v>
      </c>
      <c r="M16" s="49">
        <v>178</v>
      </c>
      <c r="N16" s="51">
        <v>0.50729999999999997</v>
      </c>
      <c r="O16" t="s">
        <v>62</v>
      </c>
      <c r="P16" s="9">
        <v>46044</v>
      </c>
      <c r="Q16">
        <f t="shared" si="3"/>
        <v>234.34</v>
      </c>
    </row>
    <row r="17" spans="1:17" x14ac:dyDescent="0.25">
      <c r="A17" s="3" t="s">
        <v>26</v>
      </c>
      <c r="B17" s="3" t="str">
        <f t="shared" si="0"/>
        <v>AMZN</v>
      </c>
      <c r="C17" s="3" t="str">
        <f t="shared" si="1"/>
        <v>260123</v>
      </c>
      <c r="D17" s="3" t="str">
        <f t="shared" si="2"/>
        <v>C00200000</v>
      </c>
      <c r="E17" s="38">
        <v>46043.561805555553</v>
      </c>
      <c r="F17" s="4">
        <v>200</v>
      </c>
      <c r="G17" s="49">
        <v>53.06</v>
      </c>
      <c r="H17" s="49">
        <v>59</v>
      </c>
      <c r="I17" s="49">
        <v>59.6</v>
      </c>
      <c r="J17" s="18">
        <v>0</v>
      </c>
      <c r="K17" s="19">
        <v>0</v>
      </c>
      <c r="L17" s="49">
        <v>3</v>
      </c>
      <c r="M17" s="49">
        <v>236</v>
      </c>
      <c r="N17" s="51">
        <v>0.50129999999999997</v>
      </c>
      <c r="O17" t="s">
        <v>62</v>
      </c>
      <c r="P17" s="9">
        <v>46044</v>
      </c>
      <c r="Q17">
        <f t="shared" si="3"/>
        <v>234.34</v>
      </c>
    </row>
    <row r="18" spans="1:17" x14ac:dyDescent="0.25">
      <c r="A18" s="3" t="s">
        <v>27</v>
      </c>
      <c r="B18" s="3" t="str">
        <f t="shared" si="0"/>
        <v>AMZN</v>
      </c>
      <c r="C18" s="3" t="str">
        <f t="shared" si="1"/>
        <v>260123</v>
      </c>
      <c r="D18" s="3" t="str">
        <f t="shared" si="2"/>
        <v>C00205000</v>
      </c>
      <c r="E18" s="38">
        <v>46043.602083333331</v>
      </c>
      <c r="F18" s="4">
        <v>205</v>
      </c>
      <c r="G18" s="49">
        <v>49.35</v>
      </c>
      <c r="H18" s="49">
        <v>54.6</v>
      </c>
      <c r="I18" s="49">
        <v>55.05</v>
      </c>
      <c r="J18" s="18">
        <v>0</v>
      </c>
      <c r="K18" s="19">
        <v>0</v>
      </c>
      <c r="L18" s="49">
        <v>4</v>
      </c>
      <c r="M18" s="49">
        <v>182</v>
      </c>
      <c r="N18" s="51">
        <v>0.48</v>
      </c>
      <c r="O18" t="s">
        <v>62</v>
      </c>
      <c r="P18" s="9">
        <v>46044</v>
      </c>
      <c r="Q18">
        <f t="shared" si="3"/>
        <v>234.34</v>
      </c>
    </row>
    <row r="19" spans="1:17" x14ac:dyDescent="0.25">
      <c r="A19" s="3" t="s">
        <v>28</v>
      </c>
      <c r="B19" s="3" t="str">
        <f t="shared" si="0"/>
        <v>AMZN</v>
      </c>
      <c r="C19" s="3" t="str">
        <f t="shared" si="1"/>
        <v>260123</v>
      </c>
      <c r="D19" s="3" t="str">
        <f t="shared" si="2"/>
        <v>C00207500</v>
      </c>
      <c r="E19" s="38">
        <v>46044.645833333336</v>
      </c>
      <c r="F19" s="4">
        <v>207.5</v>
      </c>
      <c r="G19" s="49">
        <v>50.25</v>
      </c>
      <c r="H19" s="49">
        <v>50.35</v>
      </c>
      <c r="I19" s="49">
        <v>50.8</v>
      </c>
      <c r="J19" s="18">
        <v>2.2999999999999998</v>
      </c>
      <c r="K19" s="19">
        <v>4.8000000000000001E-2</v>
      </c>
      <c r="L19" s="49">
        <v>8</v>
      </c>
      <c r="M19" s="49">
        <v>232</v>
      </c>
      <c r="N19" s="51">
        <v>0.46639999999999998</v>
      </c>
      <c r="O19" t="s">
        <v>62</v>
      </c>
      <c r="P19" s="9">
        <v>46044</v>
      </c>
      <c r="Q19">
        <f t="shared" si="3"/>
        <v>234.34</v>
      </c>
    </row>
    <row r="20" spans="1:17" x14ac:dyDescent="0.25">
      <c r="A20" s="3" t="s">
        <v>29</v>
      </c>
      <c r="B20" s="3" t="str">
        <f t="shared" si="0"/>
        <v>AMZN</v>
      </c>
      <c r="C20" s="3" t="str">
        <f t="shared" si="1"/>
        <v>260123</v>
      </c>
      <c r="D20" s="3" t="str">
        <f t="shared" si="2"/>
        <v>C00210000</v>
      </c>
      <c r="E20" s="38">
        <v>46043.557638888888</v>
      </c>
      <c r="F20" s="4">
        <v>210</v>
      </c>
      <c r="G20" s="49">
        <v>40.92</v>
      </c>
      <c r="H20" s="49">
        <v>46.15</v>
      </c>
      <c r="I20" s="49">
        <v>46.6</v>
      </c>
      <c r="J20" s="18">
        <v>0</v>
      </c>
      <c r="K20" s="19">
        <v>0</v>
      </c>
      <c r="L20" s="49">
        <v>1</v>
      </c>
      <c r="M20" s="49">
        <v>147</v>
      </c>
      <c r="N20" s="51">
        <v>0.45200000000000001</v>
      </c>
      <c r="O20" t="s">
        <v>62</v>
      </c>
      <c r="P20" s="9">
        <v>46044</v>
      </c>
      <c r="Q20">
        <f t="shared" si="3"/>
        <v>234.34</v>
      </c>
    </row>
    <row r="21" spans="1:17" x14ac:dyDescent="0.25">
      <c r="A21" s="3" t="s">
        <v>30</v>
      </c>
      <c r="B21" s="3" t="str">
        <f t="shared" si="0"/>
        <v>AMZN</v>
      </c>
      <c r="C21" s="3" t="str">
        <f t="shared" si="1"/>
        <v>260123</v>
      </c>
      <c r="D21" s="3" t="str">
        <f t="shared" si="2"/>
        <v>C00212500</v>
      </c>
      <c r="E21" s="38">
        <v>46044.623611111114</v>
      </c>
      <c r="F21" s="4">
        <v>212.5</v>
      </c>
      <c r="G21" s="49">
        <v>42.45</v>
      </c>
      <c r="H21" s="49">
        <v>42.1</v>
      </c>
      <c r="I21" s="49">
        <v>42.7</v>
      </c>
      <c r="J21" s="18">
        <v>2.12</v>
      </c>
      <c r="K21" s="19">
        <v>5.2600000000000001E-2</v>
      </c>
      <c r="L21" s="49">
        <v>25</v>
      </c>
      <c r="M21" s="49">
        <v>578</v>
      </c>
      <c r="N21" s="51">
        <v>0.443</v>
      </c>
      <c r="O21" t="s">
        <v>62</v>
      </c>
      <c r="P21" s="9">
        <v>46044</v>
      </c>
      <c r="Q21">
        <f t="shared" si="3"/>
        <v>234.34</v>
      </c>
    </row>
    <row r="22" spans="1:17" x14ac:dyDescent="0.25">
      <c r="A22" s="3" t="s">
        <v>31</v>
      </c>
      <c r="B22" s="3" t="str">
        <f t="shared" si="0"/>
        <v>AMZN</v>
      </c>
      <c r="C22" s="3" t="str">
        <f t="shared" si="1"/>
        <v>260123</v>
      </c>
      <c r="D22" s="3" t="str">
        <f t="shared" si="2"/>
        <v>C00215000</v>
      </c>
      <c r="E22" s="38">
        <v>46043.500694444447</v>
      </c>
      <c r="F22" s="4">
        <v>215</v>
      </c>
      <c r="G22" s="49">
        <v>34.380000000000003</v>
      </c>
      <c r="H22" s="49">
        <v>38.25</v>
      </c>
      <c r="I22" s="49">
        <v>38.799999999999997</v>
      </c>
      <c r="J22" s="18">
        <v>0</v>
      </c>
      <c r="K22" s="19">
        <v>0</v>
      </c>
      <c r="L22" s="49">
        <v>14</v>
      </c>
      <c r="M22" s="49">
        <v>442</v>
      </c>
      <c r="N22" s="51">
        <v>0.43099999999999999</v>
      </c>
      <c r="O22" t="s">
        <v>62</v>
      </c>
      <c r="P22" s="9">
        <v>46044</v>
      </c>
      <c r="Q22">
        <f t="shared" si="3"/>
        <v>234.34</v>
      </c>
    </row>
    <row r="23" spans="1:17" x14ac:dyDescent="0.25">
      <c r="A23" s="3" t="s">
        <v>32</v>
      </c>
      <c r="B23" s="3" t="str">
        <f t="shared" si="0"/>
        <v>AMZN</v>
      </c>
      <c r="C23" s="3" t="str">
        <f t="shared" si="1"/>
        <v>260123</v>
      </c>
      <c r="D23" s="3" t="str">
        <f t="shared" si="2"/>
        <v>C00217500</v>
      </c>
      <c r="E23" s="38">
        <v>46044.623611111114</v>
      </c>
      <c r="F23" s="4">
        <v>217.5</v>
      </c>
      <c r="G23" s="49">
        <v>34.85</v>
      </c>
      <c r="H23" s="49">
        <v>34.65</v>
      </c>
      <c r="I23" s="49">
        <v>35</v>
      </c>
      <c r="J23" s="18">
        <v>2.0499999999999998</v>
      </c>
      <c r="K23" s="19">
        <v>6.25E-2</v>
      </c>
      <c r="L23" s="49">
        <v>20</v>
      </c>
      <c r="M23" s="52">
        <v>3651</v>
      </c>
      <c r="N23" s="51">
        <v>0.41860000000000003</v>
      </c>
      <c r="O23" t="s">
        <v>62</v>
      </c>
      <c r="P23" s="9">
        <v>46044</v>
      </c>
      <c r="Q23">
        <f t="shared" si="3"/>
        <v>234.34</v>
      </c>
    </row>
    <row r="24" spans="1:17" x14ac:dyDescent="0.25">
      <c r="A24" s="3" t="s">
        <v>33</v>
      </c>
      <c r="B24" s="3" t="str">
        <f t="shared" si="0"/>
        <v>AMZN</v>
      </c>
      <c r="C24" s="3" t="str">
        <f t="shared" si="1"/>
        <v>260123</v>
      </c>
      <c r="D24" s="3" t="str">
        <f t="shared" si="2"/>
        <v>C00220000</v>
      </c>
      <c r="E24" s="38">
        <v>46044.427083333336</v>
      </c>
      <c r="F24" s="4">
        <v>220</v>
      </c>
      <c r="G24" s="49">
        <v>30.05</v>
      </c>
      <c r="H24" s="49">
        <v>31.05</v>
      </c>
      <c r="I24" s="49">
        <v>31.55</v>
      </c>
      <c r="J24" s="18">
        <v>1.35</v>
      </c>
      <c r="K24" s="19">
        <v>4.7E-2</v>
      </c>
      <c r="L24" s="49">
        <v>1</v>
      </c>
      <c r="M24" s="49">
        <v>462</v>
      </c>
      <c r="N24" s="51">
        <v>0.41099999999999998</v>
      </c>
      <c r="O24" t="s">
        <v>62</v>
      </c>
      <c r="P24" s="9">
        <v>46044</v>
      </c>
      <c r="Q24">
        <f t="shared" si="3"/>
        <v>234.34</v>
      </c>
    </row>
    <row r="25" spans="1:17" x14ac:dyDescent="0.25">
      <c r="A25" s="3" t="s">
        <v>34</v>
      </c>
      <c r="B25" s="3" t="str">
        <f t="shared" si="0"/>
        <v>AMZN</v>
      </c>
      <c r="C25" s="3" t="str">
        <f t="shared" si="1"/>
        <v>260123</v>
      </c>
      <c r="D25" s="3" t="str">
        <f t="shared" si="2"/>
        <v>C00222500</v>
      </c>
      <c r="E25" s="38">
        <v>46044.567361111112</v>
      </c>
      <c r="F25" s="4">
        <v>222.5</v>
      </c>
      <c r="G25" s="49">
        <v>28.55</v>
      </c>
      <c r="H25" s="49">
        <v>27.8</v>
      </c>
      <c r="I25" s="49">
        <v>28.25</v>
      </c>
      <c r="J25" s="18">
        <v>2.25</v>
      </c>
      <c r="K25" s="19">
        <v>8.5599999999999996E-2</v>
      </c>
      <c r="L25" s="49">
        <v>33</v>
      </c>
      <c r="M25" s="52">
        <v>3283</v>
      </c>
      <c r="N25" s="51">
        <v>0.40300000000000002</v>
      </c>
      <c r="O25" t="s">
        <v>62</v>
      </c>
      <c r="P25" s="9">
        <v>46044</v>
      </c>
      <c r="Q25">
        <f t="shared" si="3"/>
        <v>234.34</v>
      </c>
    </row>
    <row r="26" spans="1:17" x14ac:dyDescent="0.25">
      <c r="A26" s="3" t="s">
        <v>35</v>
      </c>
      <c r="B26" s="3" t="str">
        <f t="shared" si="0"/>
        <v>AMZN</v>
      </c>
      <c r="C26" s="3" t="str">
        <f t="shared" si="1"/>
        <v>260123</v>
      </c>
      <c r="D26" s="3" t="str">
        <f t="shared" si="2"/>
        <v>C00225000</v>
      </c>
      <c r="E26" s="38">
        <v>46044.547222222223</v>
      </c>
      <c r="F26" s="4">
        <v>225</v>
      </c>
      <c r="G26" s="49">
        <v>25.8</v>
      </c>
      <c r="H26" s="49">
        <v>24.7</v>
      </c>
      <c r="I26" s="49">
        <v>25.15</v>
      </c>
      <c r="J26" s="18">
        <v>2.79</v>
      </c>
      <c r="K26" s="19">
        <v>0.12130000000000001</v>
      </c>
      <c r="L26" s="49">
        <v>107</v>
      </c>
      <c r="M26" s="52">
        <v>2194</v>
      </c>
      <c r="N26" s="51">
        <v>0.39579999999999999</v>
      </c>
      <c r="O26" t="s">
        <v>62</v>
      </c>
      <c r="P26" s="9">
        <v>46044</v>
      </c>
      <c r="Q26">
        <f t="shared" si="3"/>
        <v>234.34</v>
      </c>
    </row>
    <row r="27" spans="1:17" x14ac:dyDescent="0.25">
      <c r="A27" s="3" t="s">
        <v>36</v>
      </c>
      <c r="B27" s="3" t="str">
        <f t="shared" si="0"/>
        <v>AMZN</v>
      </c>
      <c r="C27" s="3" t="str">
        <f t="shared" si="1"/>
        <v>260123</v>
      </c>
      <c r="D27" s="3" t="str">
        <f t="shared" si="2"/>
        <v>C00227500</v>
      </c>
      <c r="E27" s="38">
        <v>46044.663888888892</v>
      </c>
      <c r="F27" s="4">
        <v>227.5</v>
      </c>
      <c r="G27" s="49">
        <v>22.05</v>
      </c>
      <c r="H27" s="49">
        <v>21.9</v>
      </c>
      <c r="I27" s="49">
        <v>22.25</v>
      </c>
      <c r="J27" s="18">
        <v>1.6</v>
      </c>
      <c r="K27" s="19">
        <v>7.8200000000000006E-2</v>
      </c>
      <c r="L27" s="49">
        <v>165</v>
      </c>
      <c r="M27" s="52">
        <v>2911</v>
      </c>
      <c r="N27" s="51">
        <v>0.38890000000000002</v>
      </c>
      <c r="O27" t="s">
        <v>62</v>
      </c>
      <c r="P27" s="9">
        <v>46044</v>
      </c>
      <c r="Q27">
        <f t="shared" si="3"/>
        <v>234.34</v>
      </c>
    </row>
    <row r="28" spans="1:17" x14ac:dyDescent="0.25">
      <c r="A28" s="5" t="s">
        <v>37</v>
      </c>
      <c r="B28" s="3" t="str">
        <f t="shared" si="0"/>
        <v>AMZN</v>
      </c>
      <c r="C28" s="3" t="str">
        <f t="shared" si="1"/>
        <v>260123</v>
      </c>
      <c r="D28" s="3" t="str">
        <f t="shared" si="2"/>
        <v>C00230000</v>
      </c>
      <c r="E28" s="39">
        <v>46044.663888888892</v>
      </c>
      <c r="F28" s="6">
        <v>230</v>
      </c>
      <c r="G28" s="45">
        <v>19.28</v>
      </c>
      <c r="H28" s="45">
        <v>19.25</v>
      </c>
      <c r="I28" s="45">
        <v>19.45</v>
      </c>
      <c r="J28" s="17">
        <v>1.31</v>
      </c>
      <c r="K28" s="20">
        <v>7.2900000000000006E-2</v>
      </c>
      <c r="L28" s="45">
        <v>233</v>
      </c>
      <c r="M28" s="53">
        <v>3191</v>
      </c>
      <c r="N28" s="54">
        <v>0.38030000000000003</v>
      </c>
      <c r="O28" t="s">
        <v>62</v>
      </c>
      <c r="P28" s="9">
        <v>46044</v>
      </c>
      <c r="Q28">
        <f t="shared" si="3"/>
        <v>234.34</v>
      </c>
    </row>
    <row r="29" spans="1:17" x14ac:dyDescent="0.25">
      <c r="A29" s="5" t="s">
        <v>38</v>
      </c>
      <c r="B29" s="3" t="str">
        <f t="shared" si="0"/>
        <v>AMZN</v>
      </c>
      <c r="C29" s="3" t="str">
        <f t="shared" si="1"/>
        <v>260123</v>
      </c>
      <c r="D29" s="3" t="str">
        <f t="shared" si="2"/>
        <v>C00232500</v>
      </c>
      <c r="E29" s="39">
        <v>46044.664583333331</v>
      </c>
      <c r="F29" s="6">
        <v>232.5</v>
      </c>
      <c r="G29" s="45">
        <v>16.87</v>
      </c>
      <c r="H29" s="45">
        <v>16.850000000000001</v>
      </c>
      <c r="I29" s="45">
        <v>17</v>
      </c>
      <c r="J29" s="17">
        <v>1.27</v>
      </c>
      <c r="K29" s="20">
        <v>8.14E-2</v>
      </c>
      <c r="L29" s="45">
        <v>270</v>
      </c>
      <c r="M29" s="53">
        <v>3644</v>
      </c>
      <c r="N29" s="54">
        <v>0.37490000000000001</v>
      </c>
      <c r="O29" t="s">
        <v>62</v>
      </c>
      <c r="P29" s="9">
        <v>46044</v>
      </c>
      <c r="Q29">
        <f t="shared" si="3"/>
        <v>234.34</v>
      </c>
    </row>
    <row r="30" spans="1:17" x14ac:dyDescent="0.25">
      <c r="A30" s="5" t="s">
        <v>39</v>
      </c>
      <c r="B30" s="3" t="str">
        <f t="shared" si="0"/>
        <v>AMZN</v>
      </c>
      <c r="C30" s="3" t="str">
        <f t="shared" si="1"/>
        <v>260123</v>
      </c>
      <c r="D30" s="3" t="str">
        <f t="shared" si="2"/>
        <v>C00235000</v>
      </c>
      <c r="E30" s="39">
        <v>46044.654166666667</v>
      </c>
      <c r="F30" s="6">
        <v>235</v>
      </c>
      <c r="G30" s="45">
        <v>14.5</v>
      </c>
      <c r="H30" s="45">
        <v>14.65</v>
      </c>
      <c r="I30" s="45">
        <v>14.85</v>
      </c>
      <c r="J30" s="17">
        <v>0.95</v>
      </c>
      <c r="K30" s="20">
        <v>7.0099999999999996E-2</v>
      </c>
      <c r="L30" s="45">
        <v>121</v>
      </c>
      <c r="M30" s="53">
        <v>3038</v>
      </c>
      <c r="N30" s="54">
        <v>0.37140000000000001</v>
      </c>
      <c r="O30" t="s">
        <v>62</v>
      </c>
      <c r="P30" s="9">
        <v>46044</v>
      </c>
      <c r="Q30">
        <f t="shared" si="3"/>
        <v>234.34</v>
      </c>
    </row>
    <row r="31" spans="1:17" x14ac:dyDescent="0.25">
      <c r="A31" s="5" t="s">
        <v>40</v>
      </c>
      <c r="B31" s="3" t="str">
        <f t="shared" si="0"/>
        <v>AMZN</v>
      </c>
      <c r="C31" s="3" t="str">
        <f t="shared" si="1"/>
        <v>260123</v>
      </c>
      <c r="D31" s="3" t="str">
        <f t="shared" si="2"/>
        <v>C00237500</v>
      </c>
      <c r="E31" s="39">
        <v>46044.661111111112</v>
      </c>
      <c r="F31" s="6">
        <v>237.5</v>
      </c>
      <c r="G31" s="45">
        <v>12.62</v>
      </c>
      <c r="H31" s="45">
        <v>12.65</v>
      </c>
      <c r="I31" s="45">
        <v>12.8</v>
      </c>
      <c r="J31" s="17">
        <v>1.07</v>
      </c>
      <c r="K31" s="20">
        <v>9.2600000000000002E-2</v>
      </c>
      <c r="L31" s="45">
        <v>723</v>
      </c>
      <c r="M31" s="53">
        <v>12760</v>
      </c>
      <c r="N31" s="54">
        <v>0.36620000000000003</v>
      </c>
      <c r="O31" t="s">
        <v>62</v>
      </c>
      <c r="P31" s="9">
        <v>46044</v>
      </c>
      <c r="Q31">
        <f t="shared" si="3"/>
        <v>234.34</v>
      </c>
    </row>
    <row r="32" spans="1:17" x14ac:dyDescent="0.25">
      <c r="A32" s="5" t="s">
        <v>41</v>
      </c>
      <c r="B32" s="3" t="str">
        <f t="shared" si="0"/>
        <v>AMZN</v>
      </c>
      <c r="C32" s="3" t="str">
        <f t="shared" si="1"/>
        <v>260123</v>
      </c>
      <c r="D32" s="3" t="str">
        <f t="shared" si="2"/>
        <v>C00240000</v>
      </c>
      <c r="E32" s="39">
        <v>46044.655555555553</v>
      </c>
      <c r="F32" s="6">
        <v>240</v>
      </c>
      <c r="G32" s="45">
        <v>10.83</v>
      </c>
      <c r="H32" s="45">
        <v>10.85</v>
      </c>
      <c r="I32" s="45">
        <v>11</v>
      </c>
      <c r="J32" s="17">
        <v>0.63</v>
      </c>
      <c r="K32" s="20">
        <v>6.1800000000000001E-2</v>
      </c>
      <c r="L32" s="45">
        <v>54</v>
      </c>
      <c r="M32" s="53">
        <v>1778</v>
      </c>
      <c r="N32" s="54">
        <v>0.36209999999999998</v>
      </c>
      <c r="O32" t="s">
        <v>62</v>
      </c>
      <c r="P32" s="9">
        <v>46044</v>
      </c>
      <c r="Q32">
        <f t="shared" si="3"/>
        <v>234.34</v>
      </c>
    </row>
    <row r="33" spans="1:17" x14ac:dyDescent="0.25">
      <c r="A33" s="5" t="s">
        <v>42</v>
      </c>
      <c r="B33" s="3" t="str">
        <f t="shared" si="0"/>
        <v>AMZN</v>
      </c>
      <c r="C33" s="3" t="str">
        <f t="shared" si="1"/>
        <v>260123</v>
      </c>
      <c r="D33" s="3" t="str">
        <f t="shared" si="2"/>
        <v>C00242500</v>
      </c>
      <c r="E33" s="39">
        <v>46044.663888888892</v>
      </c>
      <c r="F33" s="6">
        <v>242.5</v>
      </c>
      <c r="G33" s="45">
        <v>9.3800000000000008</v>
      </c>
      <c r="H33" s="45">
        <v>9.3000000000000007</v>
      </c>
      <c r="I33" s="45">
        <v>9.4499999999999993</v>
      </c>
      <c r="J33" s="17">
        <v>0.93</v>
      </c>
      <c r="K33" s="20">
        <v>0.1101</v>
      </c>
      <c r="L33" s="45">
        <v>134</v>
      </c>
      <c r="M33" s="53">
        <v>16677</v>
      </c>
      <c r="N33" s="54">
        <v>0.35949999999999999</v>
      </c>
      <c r="O33" t="s">
        <v>62</v>
      </c>
      <c r="P33" s="9">
        <v>46044</v>
      </c>
      <c r="Q33">
        <f t="shared" si="3"/>
        <v>234.34</v>
      </c>
    </row>
    <row r="34" spans="1:17" x14ac:dyDescent="0.25">
      <c r="A34" s="5" t="s">
        <v>43</v>
      </c>
      <c r="B34" s="3" t="str">
        <f t="shared" si="0"/>
        <v>AMZN</v>
      </c>
      <c r="C34" s="3" t="str">
        <f t="shared" si="1"/>
        <v>260123</v>
      </c>
      <c r="D34" s="3" t="str">
        <f t="shared" si="2"/>
        <v>C00245000</v>
      </c>
      <c r="E34" s="39">
        <v>46044.623611111114</v>
      </c>
      <c r="F34" s="6">
        <v>245</v>
      </c>
      <c r="G34" s="45">
        <v>8.0500000000000007</v>
      </c>
      <c r="H34" s="45">
        <v>7.95</v>
      </c>
      <c r="I34" s="45">
        <v>8.0500000000000007</v>
      </c>
      <c r="J34" s="17">
        <v>0.65</v>
      </c>
      <c r="K34" s="20">
        <v>8.7800000000000003E-2</v>
      </c>
      <c r="L34" s="45">
        <v>888</v>
      </c>
      <c r="M34" s="53">
        <v>1302</v>
      </c>
      <c r="N34" s="54">
        <v>0.35649999999999998</v>
      </c>
      <c r="O34" t="s">
        <v>62</v>
      </c>
      <c r="P34" s="9">
        <v>46044</v>
      </c>
      <c r="Q34">
        <f t="shared" si="3"/>
        <v>234.34</v>
      </c>
    </row>
    <row r="35" spans="1:17" x14ac:dyDescent="0.25">
      <c r="A35" s="5" t="s">
        <v>44</v>
      </c>
      <c r="B35" s="3" t="str">
        <f t="shared" si="0"/>
        <v>AMZN</v>
      </c>
      <c r="C35" s="3" t="str">
        <f t="shared" si="1"/>
        <v>260123</v>
      </c>
      <c r="D35" s="3" t="str">
        <f t="shared" si="2"/>
        <v>C00247500</v>
      </c>
      <c r="E35" s="39">
        <v>46044.645138888889</v>
      </c>
      <c r="F35" s="6">
        <v>247.5</v>
      </c>
      <c r="G35" s="45">
        <v>6.77</v>
      </c>
      <c r="H35" s="45">
        <v>6.75</v>
      </c>
      <c r="I35" s="45">
        <v>6.85</v>
      </c>
      <c r="J35" s="17">
        <v>0.67</v>
      </c>
      <c r="K35" s="20">
        <v>0.10979999999999999</v>
      </c>
      <c r="L35" s="45">
        <v>178</v>
      </c>
      <c r="M35" s="53">
        <v>5137</v>
      </c>
      <c r="N35" s="54">
        <v>0.3543</v>
      </c>
      <c r="O35" t="s">
        <v>62</v>
      </c>
      <c r="P35" s="9">
        <v>46044</v>
      </c>
      <c r="Q35">
        <f t="shared" si="3"/>
        <v>234.34</v>
      </c>
    </row>
    <row r="36" spans="1:17" x14ac:dyDescent="0.25">
      <c r="A36" s="5" t="s">
        <v>45</v>
      </c>
      <c r="B36" s="3" t="str">
        <f t="shared" si="0"/>
        <v>AMZN</v>
      </c>
      <c r="C36" s="3" t="str">
        <f t="shared" si="1"/>
        <v>260123</v>
      </c>
      <c r="D36" s="3" t="str">
        <f t="shared" si="2"/>
        <v>C00250000</v>
      </c>
      <c r="E36" s="39">
        <v>46044.601388888892</v>
      </c>
      <c r="F36" s="6">
        <v>250</v>
      </c>
      <c r="G36" s="45">
        <v>6</v>
      </c>
      <c r="H36" s="45">
        <v>5.7</v>
      </c>
      <c r="I36" s="45">
        <v>5.8</v>
      </c>
      <c r="J36" s="17">
        <v>0.75</v>
      </c>
      <c r="K36" s="20">
        <v>0.1429</v>
      </c>
      <c r="L36" s="45">
        <v>163</v>
      </c>
      <c r="M36" s="53">
        <v>12526</v>
      </c>
      <c r="N36" s="54">
        <v>0.35239999999999999</v>
      </c>
      <c r="O36" t="s">
        <v>62</v>
      </c>
      <c r="P36" s="9">
        <v>46044</v>
      </c>
      <c r="Q36">
        <f t="shared" si="3"/>
        <v>234.34</v>
      </c>
    </row>
    <row r="37" spans="1:17" x14ac:dyDescent="0.25">
      <c r="A37" s="5" t="s">
        <v>46</v>
      </c>
      <c r="B37" s="3" t="str">
        <f t="shared" si="0"/>
        <v>AMZN</v>
      </c>
      <c r="C37" s="3" t="str">
        <f t="shared" si="1"/>
        <v>260123</v>
      </c>
      <c r="D37" s="3" t="str">
        <f t="shared" si="2"/>
        <v>C00252500</v>
      </c>
      <c r="E37" s="39">
        <v>46044.635416666664</v>
      </c>
      <c r="F37" s="6">
        <v>252.5</v>
      </c>
      <c r="G37" s="45">
        <v>4.8499999999999996</v>
      </c>
      <c r="H37" s="45">
        <v>4.8</v>
      </c>
      <c r="I37" s="45">
        <v>4.9000000000000004</v>
      </c>
      <c r="J37" s="17">
        <v>0.45</v>
      </c>
      <c r="K37" s="20">
        <v>0.1023</v>
      </c>
      <c r="L37" s="45">
        <v>57</v>
      </c>
      <c r="M37" s="53">
        <v>8120</v>
      </c>
      <c r="N37" s="54">
        <v>0.3508</v>
      </c>
      <c r="O37" t="s">
        <v>62</v>
      </c>
      <c r="P37" s="9">
        <v>46044</v>
      </c>
      <c r="Q37">
        <f t="shared" si="3"/>
        <v>234.34</v>
      </c>
    </row>
    <row r="38" spans="1:17" x14ac:dyDescent="0.25">
      <c r="A38" s="5" t="s">
        <v>47</v>
      </c>
      <c r="B38" s="3" t="str">
        <f t="shared" si="0"/>
        <v>AMZN</v>
      </c>
      <c r="C38" s="3" t="str">
        <f t="shared" si="1"/>
        <v>260123</v>
      </c>
      <c r="D38" s="3" t="str">
        <f t="shared" si="2"/>
        <v>C00255000</v>
      </c>
      <c r="E38" s="39">
        <v>46044.665972222225</v>
      </c>
      <c r="F38" s="6">
        <v>255</v>
      </c>
      <c r="G38" s="45">
        <v>4.0999999999999996</v>
      </c>
      <c r="H38" s="45">
        <v>4.05</v>
      </c>
      <c r="I38" s="45">
        <v>4.1500000000000004</v>
      </c>
      <c r="J38" s="17">
        <v>0.3</v>
      </c>
      <c r="K38" s="20">
        <v>7.8899999999999998E-2</v>
      </c>
      <c r="L38" s="45">
        <v>92</v>
      </c>
      <c r="M38" s="53">
        <v>2686</v>
      </c>
      <c r="N38" s="54">
        <v>0.35020000000000001</v>
      </c>
      <c r="O38" t="s">
        <v>62</v>
      </c>
      <c r="P38" s="9">
        <v>46044</v>
      </c>
      <c r="Q38">
        <f t="shared" si="3"/>
        <v>234.34</v>
      </c>
    </row>
    <row r="39" spans="1:17" x14ac:dyDescent="0.25">
      <c r="A39" s="5" t="s">
        <v>48</v>
      </c>
      <c r="B39" s="3" t="str">
        <f t="shared" si="0"/>
        <v>AMZN</v>
      </c>
      <c r="C39" s="3" t="str">
        <f t="shared" si="1"/>
        <v>260123</v>
      </c>
      <c r="D39" s="3" t="str">
        <f t="shared" si="2"/>
        <v>C00257500</v>
      </c>
      <c r="E39" s="39">
        <v>46044.660416666666</v>
      </c>
      <c r="F39" s="6">
        <v>257.5</v>
      </c>
      <c r="G39" s="45">
        <v>3.45</v>
      </c>
      <c r="H39" s="45">
        <v>3.4</v>
      </c>
      <c r="I39" s="45">
        <v>3.5</v>
      </c>
      <c r="J39" s="17">
        <v>0.25</v>
      </c>
      <c r="K39" s="20">
        <v>7.8100000000000003E-2</v>
      </c>
      <c r="L39" s="45">
        <v>51</v>
      </c>
      <c r="M39" s="53">
        <v>2305</v>
      </c>
      <c r="N39" s="54">
        <v>0.34960000000000002</v>
      </c>
      <c r="O39" t="s">
        <v>62</v>
      </c>
      <c r="P39" s="9">
        <v>46044</v>
      </c>
      <c r="Q39">
        <f t="shared" si="3"/>
        <v>234.34</v>
      </c>
    </row>
    <row r="40" spans="1:17" x14ac:dyDescent="0.25">
      <c r="A40" s="5" t="s">
        <v>49</v>
      </c>
      <c r="B40" s="3" t="str">
        <f t="shared" si="0"/>
        <v>AMZN</v>
      </c>
      <c r="C40" s="3" t="str">
        <f t="shared" si="1"/>
        <v>260123</v>
      </c>
      <c r="D40" s="3" t="str">
        <f t="shared" si="2"/>
        <v>C00260000</v>
      </c>
      <c r="E40" s="39">
        <v>46044.618055555555</v>
      </c>
      <c r="F40" s="6">
        <v>260</v>
      </c>
      <c r="G40" s="45">
        <v>2.96</v>
      </c>
      <c r="H40" s="45">
        <v>2.88</v>
      </c>
      <c r="I40" s="45">
        <v>3.2</v>
      </c>
      <c r="J40" s="17">
        <v>0.33</v>
      </c>
      <c r="K40" s="20">
        <v>0.1255</v>
      </c>
      <c r="L40" s="45">
        <v>130</v>
      </c>
      <c r="M40" s="45">
        <v>432</v>
      </c>
      <c r="N40" s="54">
        <v>0.35780000000000001</v>
      </c>
      <c r="O40" t="s">
        <v>62</v>
      </c>
      <c r="P40" s="9">
        <v>46044</v>
      </c>
      <c r="Q40">
        <f t="shared" si="3"/>
        <v>234.34</v>
      </c>
    </row>
    <row r="41" spans="1:17" x14ac:dyDescent="0.25">
      <c r="A41" s="5" t="s">
        <v>50</v>
      </c>
      <c r="B41" s="3" t="str">
        <f t="shared" si="0"/>
        <v>AMZN</v>
      </c>
      <c r="C41" s="3" t="str">
        <f t="shared" si="1"/>
        <v>260123</v>
      </c>
      <c r="D41" s="3" t="str">
        <f t="shared" si="2"/>
        <v>C00262500</v>
      </c>
      <c r="E41" s="39">
        <v>46044.646527777775</v>
      </c>
      <c r="F41" s="6">
        <v>262.5</v>
      </c>
      <c r="G41" s="45">
        <v>2.42</v>
      </c>
      <c r="H41" s="45">
        <v>2.4300000000000002</v>
      </c>
      <c r="I41" s="45">
        <v>2.4900000000000002</v>
      </c>
      <c r="J41" s="17">
        <v>0.2</v>
      </c>
      <c r="K41" s="20">
        <v>9.01E-2</v>
      </c>
      <c r="L41" s="45">
        <v>133</v>
      </c>
      <c r="M41" s="53">
        <v>2459</v>
      </c>
      <c r="N41" s="54">
        <v>0.34939999999999999</v>
      </c>
      <c r="O41" t="s">
        <v>62</v>
      </c>
      <c r="P41" s="9">
        <v>46044</v>
      </c>
      <c r="Q41">
        <f t="shared" si="3"/>
        <v>234.34</v>
      </c>
    </row>
    <row r="42" spans="1:17" x14ac:dyDescent="0.25">
      <c r="A42" s="5" t="s">
        <v>51</v>
      </c>
      <c r="B42" s="3" t="str">
        <f t="shared" si="0"/>
        <v>AMZN</v>
      </c>
      <c r="C42" s="3" t="str">
        <f t="shared" si="1"/>
        <v>260123</v>
      </c>
      <c r="D42" s="3" t="str">
        <f t="shared" si="2"/>
        <v>C00265000</v>
      </c>
      <c r="E42" s="39">
        <v>46044.55</v>
      </c>
      <c r="F42" s="6">
        <v>265</v>
      </c>
      <c r="G42" s="45">
        <v>2.27</v>
      </c>
      <c r="H42" s="45">
        <v>2.0499999999999998</v>
      </c>
      <c r="I42" s="45">
        <v>2.09</v>
      </c>
      <c r="J42" s="17">
        <v>0.56999999999999995</v>
      </c>
      <c r="K42" s="20">
        <v>0.33529999999999999</v>
      </c>
      <c r="L42" s="45">
        <v>15</v>
      </c>
      <c r="M42" s="53">
        <v>1391</v>
      </c>
      <c r="N42" s="54">
        <v>0.34920000000000001</v>
      </c>
      <c r="O42" t="s">
        <v>62</v>
      </c>
      <c r="P42" s="9">
        <v>46044</v>
      </c>
      <c r="Q42">
        <f t="shared" si="3"/>
        <v>234.34</v>
      </c>
    </row>
    <row r="43" spans="1:17" x14ac:dyDescent="0.25">
      <c r="A43" s="5" t="s">
        <v>52</v>
      </c>
      <c r="B43" s="3" t="str">
        <f t="shared" si="0"/>
        <v>AMZN</v>
      </c>
      <c r="C43" s="3" t="str">
        <f t="shared" si="1"/>
        <v>260123</v>
      </c>
      <c r="D43" s="3" t="str">
        <f t="shared" si="2"/>
        <v>C00267500</v>
      </c>
      <c r="E43" s="39">
        <v>46044.621527777781</v>
      </c>
      <c r="F43" s="6">
        <v>267.5</v>
      </c>
      <c r="G43" s="45">
        <v>1.75</v>
      </c>
      <c r="H43" s="45">
        <v>1.73</v>
      </c>
      <c r="I43" s="45">
        <v>1.77</v>
      </c>
      <c r="J43" s="17">
        <v>0.15</v>
      </c>
      <c r="K43" s="20">
        <v>9.3700000000000006E-2</v>
      </c>
      <c r="L43" s="45">
        <v>82</v>
      </c>
      <c r="M43" s="45">
        <v>541</v>
      </c>
      <c r="N43" s="54">
        <v>0.35010000000000002</v>
      </c>
      <c r="O43" t="s">
        <v>62</v>
      </c>
      <c r="P43" s="9">
        <v>46044</v>
      </c>
      <c r="Q43">
        <f t="shared" si="3"/>
        <v>234.34</v>
      </c>
    </row>
    <row r="44" spans="1:17" x14ac:dyDescent="0.25">
      <c r="A44" s="5" t="s">
        <v>53</v>
      </c>
      <c r="B44" s="3" t="str">
        <f t="shared" si="0"/>
        <v>AMZN</v>
      </c>
      <c r="C44" s="3" t="str">
        <f t="shared" si="1"/>
        <v>260123</v>
      </c>
      <c r="D44" s="3" t="str">
        <f t="shared" si="2"/>
        <v>C00270000</v>
      </c>
      <c r="E44" s="39">
        <v>46044.55</v>
      </c>
      <c r="F44" s="6">
        <v>270</v>
      </c>
      <c r="G44" s="45">
        <v>1.63</v>
      </c>
      <c r="H44" s="45">
        <v>1.46</v>
      </c>
      <c r="I44" s="45">
        <v>1.5</v>
      </c>
      <c r="J44" s="17">
        <v>0.26</v>
      </c>
      <c r="K44" s="20">
        <v>0.1898</v>
      </c>
      <c r="L44" s="45">
        <v>4</v>
      </c>
      <c r="M44" s="45">
        <v>711</v>
      </c>
      <c r="N44" s="54">
        <v>0.35110000000000002</v>
      </c>
      <c r="O44" t="s">
        <v>62</v>
      </c>
      <c r="P44" s="9">
        <v>46044</v>
      </c>
      <c r="Q44">
        <f t="shared" si="3"/>
        <v>234.34</v>
      </c>
    </row>
    <row r="45" spans="1:17" x14ac:dyDescent="0.25">
      <c r="A45" s="5" t="s">
        <v>54</v>
      </c>
      <c r="B45" s="3" t="str">
        <f t="shared" si="0"/>
        <v>AMZN</v>
      </c>
      <c r="C45" s="3" t="str">
        <f t="shared" si="1"/>
        <v>260123</v>
      </c>
      <c r="D45" s="3" t="str">
        <f t="shared" si="2"/>
        <v>C00275000</v>
      </c>
      <c r="E45" s="39">
        <v>46044.602777777778</v>
      </c>
      <c r="F45" s="6">
        <v>275</v>
      </c>
      <c r="G45" s="45">
        <v>1.32</v>
      </c>
      <c r="H45" s="45">
        <v>1.23</v>
      </c>
      <c r="I45" s="45">
        <v>1.27</v>
      </c>
      <c r="J45" s="17">
        <v>0.17</v>
      </c>
      <c r="K45" s="20">
        <v>0.14779999999999999</v>
      </c>
      <c r="L45" s="45">
        <v>53</v>
      </c>
      <c r="M45" s="53">
        <v>1368</v>
      </c>
      <c r="N45" s="54">
        <v>0.35199999999999998</v>
      </c>
      <c r="O45" t="s">
        <v>62</v>
      </c>
      <c r="P45" s="9">
        <v>46044</v>
      </c>
      <c r="Q45">
        <f t="shared" si="3"/>
        <v>234.34</v>
      </c>
    </row>
    <row r="46" spans="1:17" x14ac:dyDescent="0.25">
      <c r="A46" s="5" t="s">
        <v>55</v>
      </c>
      <c r="B46" s="3" t="str">
        <f t="shared" si="0"/>
        <v>AMZN</v>
      </c>
      <c r="C46" s="3" t="str">
        <f t="shared" si="1"/>
        <v>260123</v>
      </c>
      <c r="D46" s="3" t="str">
        <f t="shared" si="2"/>
        <v>C00280000</v>
      </c>
      <c r="E46" s="39">
        <v>46044.656944444447</v>
      </c>
      <c r="F46" s="6">
        <v>280</v>
      </c>
      <c r="G46" s="45">
        <v>1.05</v>
      </c>
      <c r="H46" s="45">
        <v>1.04</v>
      </c>
      <c r="I46" s="45">
        <v>1.08</v>
      </c>
      <c r="J46" s="17">
        <v>0.08</v>
      </c>
      <c r="K46" s="20">
        <v>8.2500000000000004E-2</v>
      </c>
      <c r="L46" s="45">
        <v>18</v>
      </c>
      <c r="M46" s="53">
        <v>1953</v>
      </c>
      <c r="N46" s="54">
        <v>0.3533</v>
      </c>
      <c r="O46" t="s">
        <v>62</v>
      </c>
      <c r="P46" s="9">
        <v>46044</v>
      </c>
      <c r="Q46">
        <f t="shared" si="3"/>
        <v>234.34</v>
      </c>
    </row>
    <row r="47" spans="1:17" x14ac:dyDescent="0.25">
      <c r="A47" s="5" t="s">
        <v>56</v>
      </c>
      <c r="B47" s="3" t="str">
        <f t="shared" si="0"/>
        <v>AMZN</v>
      </c>
      <c r="C47" s="3" t="str">
        <f t="shared" si="1"/>
        <v>260123</v>
      </c>
      <c r="D47" s="3" t="str">
        <f t="shared" si="2"/>
        <v>C00285000</v>
      </c>
      <c r="E47" s="39">
        <v>46043.515972222223</v>
      </c>
      <c r="F47" s="6">
        <v>285</v>
      </c>
      <c r="G47" s="45">
        <v>0.76</v>
      </c>
      <c r="H47" s="45">
        <v>0.88</v>
      </c>
      <c r="I47" s="45">
        <v>0.92</v>
      </c>
      <c r="J47" s="17">
        <v>0</v>
      </c>
      <c r="K47" s="20">
        <v>0</v>
      </c>
      <c r="L47" s="45">
        <v>7</v>
      </c>
      <c r="M47" s="45">
        <v>535</v>
      </c>
      <c r="N47" s="54">
        <v>0.35470000000000002</v>
      </c>
      <c r="O47" t="s">
        <v>62</v>
      </c>
      <c r="P47" s="9">
        <v>46044</v>
      </c>
      <c r="Q47">
        <f t="shared" si="3"/>
        <v>234.34</v>
      </c>
    </row>
    <row r="48" spans="1:17" x14ac:dyDescent="0.25">
      <c r="A48" s="5" t="s">
        <v>57</v>
      </c>
      <c r="B48" s="3" t="str">
        <f t="shared" si="0"/>
        <v>AMZN</v>
      </c>
      <c r="C48" s="3" t="str">
        <f t="shared" si="1"/>
        <v>260123</v>
      </c>
      <c r="D48" s="3" t="str">
        <f t="shared" si="2"/>
        <v>C00290000</v>
      </c>
      <c r="E48" s="39">
        <v>46044.513194444444</v>
      </c>
      <c r="F48" s="6">
        <v>290</v>
      </c>
      <c r="G48" s="45">
        <v>0.7</v>
      </c>
      <c r="H48" s="45">
        <v>0.63</v>
      </c>
      <c r="I48" s="45">
        <v>0.68</v>
      </c>
      <c r="J48" s="17">
        <v>0.12</v>
      </c>
      <c r="K48" s="20">
        <v>0.2069</v>
      </c>
      <c r="L48" s="45">
        <v>5</v>
      </c>
      <c r="M48" s="45">
        <v>396</v>
      </c>
      <c r="N48" s="54">
        <v>0.35859999999999997</v>
      </c>
      <c r="O48" t="s">
        <v>62</v>
      </c>
      <c r="P48" s="9">
        <v>46044</v>
      </c>
      <c r="Q48">
        <f t="shared" si="3"/>
        <v>234.34</v>
      </c>
    </row>
    <row r="49" spans="1:17" x14ac:dyDescent="0.25">
      <c r="A49" s="5" t="s">
        <v>58</v>
      </c>
      <c r="B49" s="3" t="str">
        <f t="shared" si="0"/>
        <v>AMZN</v>
      </c>
      <c r="C49" s="3" t="str">
        <f t="shared" si="1"/>
        <v>260123</v>
      </c>
      <c r="D49" s="3" t="str">
        <f t="shared" si="2"/>
        <v>C00295000</v>
      </c>
      <c r="E49" s="39">
        <v>46043.447916666664</v>
      </c>
      <c r="F49" s="6">
        <v>295</v>
      </c>
      <c r="G49" s="45">
        <v>0.43</v>
      </c>
      <c r="H49" s="45">
        <v>0.46</v>
      </c>
      <c r="I49" s="45">
        <v>0.5</v>
      </c>
      <c r="J49" s="17">
        <v>-0.01</v>
      </c>
      <c r="K49" s="20">
        <v>-2.2700000000000001E-2</v>
      </c>
      <c r="L49" s="45">
        <v>13</v>
      </c>
      <c r="M49" s="53">
        <v>1490</v>
      </c>
      <c r="N49" s="54">
        <v>0.36209999999999998</v>
      </c>
      <c r="O49" t="s">
        <v>62</v>
      </c>
      <c r="P49" s="9">
        <v>46044</v>
      </c>
      <c r="Q49">
        <f t="shared" si="3"/>
        <v>234.34</v>
      </c>
    </row>
    <row r="50" spans="1:17" x14ac:dyDescent="0.25">
      <c r="A50" s="5" t="s">
        <v>59</v>
      </c>
      <c r="B50" s="3" t="str">
        <f t="shared" si="0"/>
        <v>AMZN</v>
      </c>
      <c r="C50" s="3" t="str">
        <f t="shared" si="1"/>
        <v>260123</v>
      </c>
      <c r="D50" s="3" t="str">
        <f t="shared" si="2"/>
        <v>C00300000</v>
      </c>
      <c r="E50" s="39">
        <v>46044.431250000001</v>
      </c>
      <c r="F50" s="6">
        <v>300</v>
      </c>
      <c r="G50" s="45">
        <v>0.33</v>
      </c>
      <c r="H50" s="45">
        <v>0.33</v>
      </c>
      <c r="I50" s="45">
        <v>0.37</v>
      </c>
      <c r="J50" s="17">
        <v>0.02</v>
      </c>
      <c r="K50" s="20">
        <v>6.4500000000000002E-2</v>
      </c>
      <c r="L50" s="45">
        <v>20</v>
      </c>
      <c r="M50" s="45">
        <v>185</v>
      </c>
      <c r="N50" s="54">
        <v>0.36570000000000003</v>
      </c>
      <c r="O50" t="s">
        <v>62</v>
      </c>
      <c r="P50" s="9">
        <v>46044</v>
      </c>
      <c r="Q50">
        <f t="shared" si="3"/>
        <v>234.34</v>
      </c>
    </row>
    <row r="51" spans="1:17" x14ac:dyDescent="0.25">
      <c r="A51" s="7" t="s">
        <v>60</v>
      </c>
      <c r="B51" s="3" t="str">
        <f t="shared" si="0"/>
        <v>AMZN</v>
      </c>
      <c r="C51" s="3" t="str">
        <f t="shared" si="1"/>
        <v>260123</v>
      </c>
      <c r="D51" s="3" t="str">
        <f t="shared" si="2"/>
        <v>C00305000</v>
      </c>
      <c r="E51" s="40">
        <v>46044.513194444444</v>
      </c>
      <c r="F51" s="8">
        <v>305</v>
      </c>
      <c r="G51" s="50">
        <v>0.27</v>
      </c>
      <c r="H51" s="50">
        <v>0.25</v>
      </c>
      <c r="I51" s="50">
        <v>0.28000000000000003</v>
      </c>
      <c r="J51" s="21">
        <v>0.05</v>
      </c>
      <c r="K51" s="22">
        <v>0.2273</v>
      </c>
      <c r="L51" s="50">
        <v>64</v>
      </c>
      <c r="M51" s="55">
        <v>1364</v>
      </c>
      <c r="N51" s="56">
        <v>0.37009999999999998</v>
      </c>
      <c r="O51" t="s">
        <v>62</v>
      </c>
      <c r="P51" s="9">
        <v>46044</v>
      </c>
      <c r="Q51">
        <f t="shared" si="3"/>
        <v>234.34</v>
      </c>
    </row>
    <row r="52" spans="1:17" x14ac:dyDescent="0.25">
      <c r="A52" s="5" t="s">
        <v>66</v>
      </c>
      <c r="B52" s="3" t="str">
        <f t="shared" si="0"/>
        <v>AMZN</v>
      </c>
      <c r="C52" s="3" t="str">
        <f t="shared" ref="C52:C115" si="4">+MID(A52,5,6)</f>
        <v>260123</v>
      </c>
      <c r="D52" s="3" t="str">
        <f t="shared" ref="D52:D115" si="5">+MID(A52,11,10)</f>
        <v>P00125000</v>
      </c>
      <c r="E52" s="39">
        <v>46043.559027777781</v>
      </c>
      <c r="F52" s="6">
        <v>125</v>
      </c>
      <c r="G52" s="45">
        <v>0.16</v>
      </c>
      <c r="H52" s="45">
        <v>0.1</v>
      </c>
      <c r="I52" s="45">
        <v>0.13</v>
      </c>
      <c r="J52" s="17">
        <v>0</v>
      </c>
      <c r="K52" s="20">
        <v>0</v>
      </c>
      <c r="L52" s="45">
        <v>58</v>
      </c>
      <c r="M52" s="53">
        <v>1141</v>
      </c>
      <c r="N52" s="54">
        <v>0.58689999999999998</v>
      </c>
      <c r="O52" t="s">
        <v>65</v>
      </c>
      <c r="P52" s="9">
        <v>46044</v>
      </c>
      <c r="Q52">
        <f t="shared" si="3"/>
        <v>234.34</v>
      </c>
    </row>
    <row r="53" spans="1:17" x14ac:dyDescent="0.25">
      <c r="A53" s="5" t="s">
        <v>67</v>
      </c>
      <c r="B53" s="3" t="str">
        <f t="shared" si="0"/>
        <v>AMZN</v>
      </c>
      <c r="C53" s="3" t="str">
        <f t="shared" si="4"/>
        <v>260123</v>
      </c>
      <c r="D53" s="3" t="str">
        <f t="shared" si="5"/>
        <v>P00130000</v>
      </c>
      <c r="E53" s="39">
        <v>46038.57708333333</v>
      </c>
      <c r="F53" s="6">
        <v>130</v>
      </c>
      <c r="G53" s="45">
        <v>0.16</v>
      </c>
      <c r="H53" s="45">
        <v>0.13</v>
      </c>
      <c r="I53" s="45">
        <v>0.17</v>
      </c>
      <c r="J53" s="17">
        <v>0</v>
      </c>
      <c r="K53" s="20">
        <v>0</v>
      </c>
      <c r="L53" s="45">
        <v>3</v>
      </c>
      <c r="M53" s="45">
        <v>94</v>
      </c>
      <c r="N53" s="54">
        <v>0.57320000000000004</v>
      </c>
      <c r="O53" t="s">
        <v>65</v>
      </c>
      <c r="P53" s="9">
        <v>46044</v>
      </c>
      <c r="Q53">
        <f t="shared" si="3"/>
        <v>234.34</v>
      </c>
    </row>
    <row r="54" spans="1:17" x14ac:dyDescent="0.25">
      <c r="A54" s="5" t="s">
        <v>68</v>
      </c>
      <c r="B54" s="3" t="str">
        <f t="shared" si="0"/>
        <v>AMZN</v>
      </c>
      <c r="C54" s="3" t="str">
        <f t="shared" si="4"/>
        <v>260123</v>
      </c>
      <c r="D54" s="3" t="str">
        <f t="shared" si="5"/>
        <v>P00135000</v>
      </c>
      <c r="E54" s="39">
        <v>46042.620833333334</v>
      </c>
      <c r="F54" s="6">
        <v>135</v>
      </c>
      <c r="G54" s="45">
        <v>0.24</v>
      </c>
      <c r="H54" s="45">
        <v>0.17</v>
      </c>
      <c r="I54" s="45">
        <v>0.21</v>
      </c>
      <c r="J54" s="17">
        <v>0</v>
      </c>
      <c r="K54" s="20">
        <v>0</v>
      </c>
      <c r="L54" s="45">
        <v>1</v>
      </c>
      <c r="M54" s="45">
        <v>100</v>
      </c>
      <c r="N54" s="54">
        <v>0.55859999999999999</v>
      </c>
      <c r="O54" t="s">
        <v>65</v>
      </c>
      <c r="P54" s="9">
        <v>46044</v>
      </c>
      <c r="Q54">
        <f t="shared" si="3"/>
        <v>234.34</v>
      </c>
    </row>
    <row r="55" spans="1:17" x14ac:dyDescent="0.25">
      <c r="A55" s="5" t="s">
        <v>69</v>
      </c>
      <c r="B55" s="3" t="str">
        <f t="shared" si="0"/>
        <v>AMZN</v>
      </c>
      <c r="C55" s="3" t="str">
        <f t="shared" si="4"/>
        <v>260123</v>
      </c>
      <c r="D55" s="3" t="str">
        <f t="shared" si="5"/>
        <v>P00140000</v>
      </c>
      <c r="E55" s="39">
        <v>46043.542361111111</v>
      </c>
      <c r="F55" s="6">
        <v>140</v>
      </c>
      <c r="G55" s="45">
        <v>0.33</v>
      </c>
      <c r="H55" s="45">
        <v>0.22</v>
      </c>
      <c r="I55" s="45">
        <v>0.25</v>
      </c>
      <c r="J55" s="17">
        <v>0</v>
      </c>
      <c r="K55" s="20">
        <v>0</v>
      </c>
      <c r="L55" s="45">
        <v>2</v>
      </c>
      <c r="M55" s="45">
        <v>104</v>
      </c>
      <c r="N55" s="54">
        <v>0.54300000000000004</v>
      </c>
      <c r="O55" t="s">
        <v>65</v>
      </c>
      <c r="P55" s="9">
        <v>46044</v>
      </c>
      <c r="Q55">
        <f t="shared" si="3"/>
        <v>234.34</v>
      </c>
    </row>
    <row r="56" spans="1:17" x14ac:dyDescent="0.25">
      <c r="A56" s="5" t="s">
        <v>70</v>
      </c>
      <c r="B56" s="3" t="str">
        <f t="shared" si="0"/>
        <v>AMZN</v>
      </c>
      <c r="C56" s="3" t="str">
        <f t="shared" si="4"/>
        <v>260123</v>
      </c>
      <c r="D56" s="3" t="str">
        <f t="shared" si="5"/>
        <v>P00145000</v>
      </c>
      <c r="E56" s="39">
        <v>46044.543749999997</v>
      </c>
      <c r="F56" s="6">
        <v>145</v>
      </c>
      <c r="G56" s="45">
        <v>0.28999999999999998</v>
      </c>
      <c r="H56" s="45">
        <v>0.28000000000000003</v>
      </c>
      <c r="I56" s="45">
        <v>0.32</v>
      </c>
      <c r="J56" s="17">
        <v>-0.12</v>
      </c>
      <c r="K56" s="20">
        <v>-0.29270000000000002</v>
      </c>
      <c r="L56" s="45">
        <v>2</v>
      </c>
      <c r="M56" s="45">
        <v>109</v>
      </c>
      <c r="N56" s="54">
        <v>0.53080000000000005</v>
      </c>
      <c r="O56" t="s">
        <v>65</v>
      </c>
      <c r="P56" s="9">
        <v>46044</v>
      </c>
      <c r="Q56">
        <f t="shared" si="3"/>
        <v>234.34</v>
      </c>
    </row>
    <row r="57" spans="1:17" x14ac:dyDescent="0.25">
      <c r="A57" s="5" t="s">
        <v>71</v>
      </c>
      <c r="B57" s="3" t="str">
        <f t="shared" si="0"/>
        <v>AMZN</v>
      </c>
      <c r="C57" s="3" t="str">
        <f t="shared" si="4"/>
        <v>260123</v>
      </c>
      <c r="D57" s="3" t="str">
        <f t="shared" si="5"/>
        <v>P00150000</v>
      </c>
      <c r="E57" s="39">
        <v>46043.484027777777</v>
      </c>
      <c r="F57" s="6">
        <v>150</v>
      </c>
      <c r="G57" s="45">
        <v>0.45</v>
      </c>
      <c r="H57" s="45">
        <v>0.35</v>
      </c>
      <c r="I57" s="45">
        <v>0.39</v>
      </c>
      <c r="J57" s="17">
        <v>0</v>
      </c>
      <c r="K57" s="20">
        <v>0</v>
      </c>
      <c r="L57" s="45">
        <v>13</v>
      </c>
      <c r="M57" s="45">
        <v>325</v>
      </c>
      <c r="N57" s="54">
        <v>0.51659999999999995</v>
      </c>
      <c r="O57" t="s">
        <v>65</v>
      </c>
      <c r="P57" s="9">
        <v>46044</v>
      </c>
      <c r="Q57">
        <f t="shared" si="3"/>
        <v>234.34</v>
      </c>
    </row>
    <row r="58" spans="1:17" x14ac:dyDescent="0.25">
      <c r="A58" s="5" t="s">
        <v>72</v>
      </c>
      <c r="B58" s="3" t="str">
        <f t="shared" si="0"/>
        <v>AMZN</v>
      </c>
      <c r="C58" s="3" t="str">
        <f t="shared" si="4"/>
        <v>260123</v>
      </c>
      <c r="D58" s="3" t="str">
        <f t="shared" si="5"/>
        <v>P00155000</v>
      </c>
      <c r="E58" s="39">
        <v>46043.557638888888</v>
      </c>
      <c r="F58" s="6">
        <v>155</v>
      </c>
      <c r="G58" s="45">
        <v>0.63</v>
      </c>
      <c r="H58" s="45">
        <v>0.44</v>
      </c>
      <c r="I58" s="45">
        <v>0.48</v>
      </c>
      <c r="J58" s="17">
        <v>0</v>
      </c>
      <c r="K58" s="20">
        <v>0</v>
      </c>
      <c r="L58" s="45">
        <v>4</v>
      </c>
      <c r="M58" s="45">
        <v>806</v>
      </c>
      <c r="N58" s="54">
        <v>0.50419999999999998</v>
      </c>
      <c r="O58" t="s">
        <v>65</v>
      </c>
      <c r="P58" s="9">
        <v>46044</v>
      </c>
      <c r="Q58">
        <f t="shared" si="3"/>
        <v>234.34</v>
      </c>
    </row>
    <row r="59" spans="1:17" x14ac:dyDescent="0.25">
      <c r="A59" s="5" t="s">
        <v>73</v>
      </c>
      <c r="B59" s="3" t="str">
        <f t="shared" si="0"/>
        <v>AMZN</v>
      </c>
      <c r="C59" s="3" t="str">
        <f t="shared" si="4"/>
        <v>260123</v>
      </c>
      <c r="D59" s="3" t="str">
        <f t="shared" si="5"/>
        <v>P00160000</v>
      </c>
      <c r="E59" s="39">
        <v>46044.40625</v>
      </c>
      <c r="F59" s="6">
        <v>160</v>
      </c>
      <c r="G59" s="45">
        <v>0.54</v>
      </c>
      <c r="H59" s="45">
        <v>0.54</v>
      </c>
      <c r="I59" s="45">
        <v>0.57999999999999996</v>
      </c>
      <c r="J59" s="17">
        <v>-0.18</v>
      </c>
      <c r="K59" s="20">
        <v>-0.25</v>
      </c>
      <c r="L59" s="45">
        <v>1</v>
      </c>
      <c r="M59" s="45">
        <v>266</v>
      </c>
      <c r="N59" s="54">
        <v>0.49340000000000001</v>
      </c>
      <c r="O59" t="s">
        <v>65</v>
      </c>
      <c r="P59" s="9">
        <v>46044</v>
      </c>
      <c r="Q59">
        <f t="shared" si="3"/>
        <v>234.34</v>
      </c>
    </row>
    <row r="60" spans="1:17" x14ac:dyDescent="0.25">
      <c r="A60" s="5" t="s">
        <v>74</v>
      </c>
      <c r="B60" s="3" t="str">
        <f t="shared" si="0"/>
        <v>AMZN</v>
      </c>
      <c r="C60" s="3" t="str">
        <f t="shared" si="4"/>
        <v>260123</v>
      </c>
      <c r="D60" s="3" t="str">
        <f t="shared" si="5"/>
        <v>P00165000</v>
      </c>
      <c r="E60" s="39">
        <v>46043.433333333334</v>
      </c>
      <c r="F60" s="6">
        <v>165</v>
      </c>
      <c r="G60" s="45">
        <v>0.81</v>
      </c>
      <c r="H60" s="45">
        <v>0.66</v>
      </c>
      <c r="I60" s="45">
        <v>0.7</v>
      </c>
      <c r="J60" s="17">
        <v>0</v>
      </c>
      <c r="K60" s="20">
        <v>0</v>
      </c>
      <c r="L60" s="45">
        <v>4</v>
      </c>
      <c r="M60" s="45">
        <v>601</v>
      </c>
      <c r="N60" s="54">
        <v>0.47970000000000002</v>
      </c>
      <c r="O60" t="s">
        <v>65</v>
      </c>
      <c r="P60" s="9">
        <v>46044</v>
      </c>
      <c r="Q60">
        <f t="shared" si="3"/>
        <v>234.34</v>
      </c>
    </row>
    <row r="61" spans="1:17" x14ac:dyDescent="0.25">
      <c r="A61" s="5" t="s">
        <v>75</v>
      </c>
      <c r="B61" s="3" t="str">
        <f t="shared" si="0"/>
        <v>AMZN</v>
      </c>
      <c r="C61" s="3" t="str">
        <f t="shared" si="4"/>
        <v>260123</v>
      </c>
      <c r="D61" s="3" t="str">
        <f t="shared" si="5"/>
        <v>P00170000</v>
      </c>
      <c r="E61" s="39">
        <v>46044.581250000003</v>
      </c>
      <c r="F61" s="6">
        <v>170</v>
      </c>
      <c r="G61" s="45">
        <v>0.81</v>
      </c>
      <c r="H61" s="45">
        <v>0.81</v>
      </c>
      <c r="I61" s="45">
        <v>0.85</v>
      </c>
      <c r="J61" s="17">
        <v>-0.1</v>
      </c>
      <c r="K61" s="20">
        <v>-0.1099</v>
      </c>
      <c r="L61" s="45">
        <v>10</v>
      </c>
      <c r="M61" s="45">
        <v>815</v>
      </c>
      <c r="N61" s="54">
        <v>0.46700000000000003</v>
      </c>
      <c r="O61" t="s">
        <v>65</v>
      </c>
      <c r="P61" s="9">
        <v>46044</v>
      </c>
      <c r="Q61">
        <f t="shared" si="3"/>
        <v>234.34</v>
      </c>
    </row>
    <row r="62" spans="1:17" x14ac:dyDescent="0.25">
      <c r="A62" s="5" t="s">
        <v>76</v>
      </c>
      <c r="B62" s="3" t="str">
        <f t="shared" si="0"/>
        <v>AMZN</v>
      </c>
      <c r="C62" s="3" t="str">
        <f t="shared" si="4"/>
        <v>260123</v>
      </c>
      <c r="D62" s="3" t="str">
        <f t="shared" si="5"/>
        <v>P00175000</v>
      </c>
      <c r="E62" s="39">
        <v>46044.637499999997</v>
      </c>
      <c r="F62" s="6">
        <v>175</v>
      </c>
      <c r="G62" s="45">
        <v>0.99</v>
      </c>
      <c r="H62" s="45">
        <v>0.99</v>
      </c>
      <c r="I62" s="45">
        <v>1.02</v>
      </c>
      <c r="J62" s="17">
        <v>-0.22</v>
      </c>
      <c r="K62" s="20">
        <v>-0.18179999999999999</v>
      </c>
      <c r="L62" s="45">
        <v>5</v>
      </c>
      <c r="M62" s="53">
        <v>1185</v>
      </c>
      <c r="N62" s="54">
        <v>0.45400000000000001</v>
      </c>
      <c r="O62" t="s">
        <v>65</v>
      </c>
      <c r="P62" s="9">
        <v>46044</v>
      </c>
      <c r="Q62">
        <f t="shared" si="3"/>
        <v>234.34</v>
      </c>
    </row>
    <row r="63" spans="1:17" x14ac:dyDescent="0.25">
      <c r="A63" s="5" t="s">
        <v>77</v>
      </c>
      <c r="B63" s="3" t="str">
        <f t="shared" si="0"/>
        <v>AMZN</v>
      </c>
      <c r="C63" s="3" t="str">
        <f t="shared" si="4"/>
        <v>260123</v>
      </c>
      <c r="D63" s="3" t="str">
        <f t="shared" si="5"/>
        <v>P00180000</v>
      </c>
      <c r="E63" s="39">
        <v>46044.645138888889</v>
      </c>
      <c r="F63" s="6">
        <v>180</v>
      </c>
      <c r="G63" s="45">
        <v>1.24</v>
      </c>
      <c r="H63" s="45">
        <v>1.2</v>
      </c>
      <c r="I63" s="45">
        <v>1.23</v>
      </c>
      <c r="J63" s="17">
        <v>-0.18</v>
      </c>
      <c r="K63" s="20">
        <v>-0.1268</v>
      </c>
      <c r="L63" s="45">
        <v>5</v>
      </c>
      <c r="M63" s="53">
        <v>2230</v>
      </c>
      <c r="N63" s="54">
        <v>0.44190000000000002</v>
      </c>
      <c r="O63" t="s">
        <v>65</v>
      </c>
      <c r="P63" s="9">
        <v>46044</v>
      </c>
      <c r="Q63">
        <f t="shared" si="3"/>
        <v>234.34</v>
      </c>
    </row>
    <row r="64" spans="1:17" x14ac:dyDescent="0.25">
      <c r="A64" s="5" t="s">
        <v>78</v>
      </c>
      <c r="B64" s="3" t="str">
        <f t="shared" si="0"/>
        <v>AMZN</v>
      </c>
      <c r="C64" s="3" t="str">
        <f t="shared" si="4"/>
        <v>260123</v>
      </c>
      <c r="D64" s="3" t="str">
        <f t="shared" si="5"/>
        <v>P00185000</v>
      </c>
      <c r="E64" s="39">
        <v>46043.59375</v>
      </c>
      <c r="F64" s="6">
        <v>185</v>
      </c>
      <c r="G64" s="45">
        <v>1.96</v>
      </c>
      <c r="H64" s="45">
        <v>1.45</v>
      </c>
      <c r="I64" s="45">
        <v>1.49</v>
      </c>
      <c r="J64" s="17">
        <v>0</v>
      </c>
      <c r="K64" s="20">
        <v>0</v>
      </c>
      <c r="L64" s="45">
        <v>4</v>
      </c>
      <c r="M64" s="45">
        <v>487</v>
      </c>
      <c r="N64" s="54">
        <v>0.43070000000000003</v>
      </c>
      <c r="O64" t="s">
        <v>65</v>
      </c>
      <c r="P64" s="9">
        <v>46044</v>
      </c>
      <c r="Q64">
        <f t="shared" si="3"/>
        <v>234.34</v>
      </c>
    </row>
    <row r="65" spans="1:17" x14ac:dyDescent="0.25">
      <c r="A65" s="5" t="s">
        <v>79</v>
      </c>
      <c r="B65" s="3" t="str">
        <f t="shared" si="0"/>
        <v>AMZN</v>
      </c>
      <c r="C65" s="3" t="str">
        <f t="shared" si="4"/>
        <v>260123</v>
      </c>
      <c r="D65" s="3" t="str">
        <f t="shared" si="5"/>
        <v>P00190000</v>
      </c>
      <c r="E65" s="39">
        <v>46044.568749999999</v>
      </c>
      <c r="F65" s="6">
        <v>190</v>
      </c>
      <c r="G65" s="45">
        <v>1.75</v>
      </c>
      <c r="H65" s="45">
        <v>1.75</v>
      </c>
      <c r="I65" s="45">
        <v>1.8</v>
      </c>
      <c r="J65" s="17">
        <v>-0.28000000000000003</v>
      </c>
      <c r="K65" s="20">
        <v>-0.13789999999999999</v>
      </c>
      <c r="L65" s="45">
        <v>3</v>
      </c>
      <c r="M65" s="53">
        <v>2649</v>
      </c>
      <c r="N65" s="54">
        <v>0.41980000000000001</v>
      </c>
      <c r="O65" t="s">
        <v>65</v>
      </c>
      <c r="P65" s="9">
        <v>46044</v>
      </c>
      <c r="Q65">
        <f t="shared" si="3"/>
        <v>234.34</v>
      </c>
    </row>
    <row r="66" spans="1:17" x14ac:dyDescent="0.25">
      <c r="A66" s="5" t="s">
        <v>80</v>
      </c>
      <c r="B66" s="3" t="str">
        <f t="shared" si="0"/>
        <v>AMZN</v>
      </c>
      <c r="C66" s="3" t="str">
        <f t="shared" si="4"/>
        <v>260123</v>
      </c>
      <c r="D66" s="3" t="str">
        <f t="shared" si="5"/>
        <v>P00195000</v>
      </c>
      <c r="E66" s="39">
        <v>46044.555555555555</v>
      </c>
      <c r="F66" s="6">
        <v>195</v>
      </c>
      <c r="G66" s="45">
        <v>2.12</v>
      </c>
      <c r="H66" s="45">
        <v>2.13</v>
      </c>
      <c r="I66" s="45">
        <v>2.1800000000000002</v>
      </c>
      <c r="J66" s="17">
        <v>-0.76</v>
      </c>
      <c r="K66" s="20">
        <v>-0.26390000000000002</v>
      </c>
      <c r="L66" s="45">
        <v>2</v>
      </c>
      <c r="M66" s="53">
        <v>1361</v>
      </c>
      <c r="N66" s="54">
        <v>0.4098</v>
      </c>
      <c r="O66" t="s">
        <v>65</v>
      </c>
      <c r="P66" s="9">
        <v>46044</v>
      </c>
      <c r="Q66">
        <f t="shared" ref="Q66:Q101" si="6">234.34</f>
        <v>234.34</v>
      </c>
    </row>
    <row r="67" spans="1:17" x14ac:dyDescent="0.25">
      <c r="A67" s="5" t="s">
        <v>81</v>
      </c>
      <c r="B67" s="3" t="str">
        <f t="shared" ref="B67:B130" si="7">+MID(A67,1,4)</f>
        <v>AMZN</v>
      </c>
      <c r="C67" s="3" t="str">
        <f t="shared" si="4"/>
        <v>260123</v>
      </c>
      <c r="D67" s="3" t="str">
        <f t="shared" si="5"/>
        <v>P00200000</v>
      </c>
      <c r="E67" s="39">
        <v>46044.477777777778</v>
      </c>
      <c r="F67" s="6">
        <v>200</v>
      </c>
      <c r="G67" s="45">
        <v>2.5</v>
      </c>
      <c r="H67" s="45">
        <v>2.58</v>
      </c>
      <c r="I67" s="45">
        <v>2.63</v>
      </c>
      <c r="J67" s="17">
        <v>-0.48</v>
      </c>
      <c r="K67" s="20">
        <v>-0.16109999999999999</v>
      </c>
      <c r="L67" s="45">
        <v>4</v>
      </c>
      <c r="M67" s="53">
        <v>4097</v>
      </c>
      <c r="N67" s="54">
        <v>0.4</v>
      </c>
      <c r="O67" t="s">
        <v>65</v>
      </c>
      <c r="P67" s="9">
        <v>46044</v>
      </c>
      <c r="Q67">
        <f t="shared" si="6"/>
        <v>234.34</v>
      </c>
    </row>
    <row r="68" spans="1:17" x14ac:dyDescent="0.25">
      <c r="A68" s="5" t="s">
        <v>82</v>
      </c>
      <c r="B68" s="3" t="str">
        <f t="shared" si="7"/>
        <v>AMZN</v>
      </c>
      <c r="C68" s="3" t="str">
        <f t="shared" si="4"/>
        <v>260123</v>
      </c>
      <c r="D68" s="3" t="str">
        <f t="shared" si="5"/>
        <v>P00205000</v>
      </c>
      <c r="E68" s="39">
        <v>46044.644444444442</v>
      </c>
      <c r="F68" s="6">
        <v>205</v>
      </c>
      <c r="G68" s="45">
        <v>3.19</v>
      </c>
      <c r="H68" s="45">
        <v>3.1</v>
      </c>
      <c r="I68" s="45">
        <v>3.2</v>
      </c>
      <c r="J68" s="17">
        <v>-0.41</v>
      </c>
      <c r="K68" s="20">
        <v>-0.1139</v>
      </c>
      <c r="L68" s="45">
        <v>7</v>
      </c>
      <c r="M68" s="53">
        <v>4477</v>
      </c>
      <c r="N68" s="54">
        <v>0.39190000000000003</v>
      </c>
      <c r="O68" t="s">
        <v>65</v>
      </c>
      <c r="P68" s="9">
        <v>46044</v>
      </c>
      <c r="Q68">
        <f t="shared" si="6"/>
        <v>234.34</v>
      </c>
    </row>
    <row r="69" spans="1:17" x14ac:dyDescent="0.25">
      <c r="A69" s="5" t="s">
        <v>83</v>
      </c>
      <c r="B69" s="3" t="str">
        <f t="shared" si="7"/>
        <v>AMZN</v>
      </c>
      <c r="C69" s="3" t="str">
        <f t="shared" si="4"/>
        <v>260123</v>
      </c>
      <c r="D69" s="3" t="str">
        <f t="shared" si="5"/>
        <v>P00207500</v>
      </c>
      <c r="E69" s="39">
        <v>46044.644444444442</v>
      </c>
      <c r="F69" s="6">
        <v>207.5</v>
      </c>
      <c r="G69" s="45">
        <v>3.8</v>
      </c>
      <c r="H69" s="45">
        <v>3.75</v>
      </c>
      <c r="I69" s="45">
        <v>3.85</v>
      </c>
      <c r="J69" s="17">
        <v>-1.25</v>
      </c>
      <c r="K69" s="20">
        <v>-0.2475</v>
      </c>
      <c r="L69" s="45">
        <v>17</v>
      </c>
      <c r="M69" s="53">
        <v>2161</v>
      </c>
      <c r="N69" s="54">
        <v>0.38319999999999999</v>
      </c>
      <c r="O69" t="s">
        <v>65</v>
      </c>
      <c r="P69" s="9">
        <v>46044</v>
      </c>
      <c r="Q69">
        <f t="shared" si="6"/>
        <v>234.34</v>
      </c>
    </row>
    <row r="70" spans="1:17" x14ac:dyDescent="0.25">
      <c r="A70" s="5" t="s">
        <v>84</v>
      </c>
      <c r="B70" s="3" t="str">
        <f t="shared" si="7"/>
        <v>AMZN</v>
      </c>
      <c r="C70" s="3" t="str">
        <f t="shared" si="4"/>
        <v>260123</v>
      </c>
      <c r="D70" s="3" t="str">
        <f t="shared" si="5"/>
        <v>P00210000</v>
      </c>
      <c r="E70" s="39">
        <v>46044.645138888889</v>
      </c>
      <c r="F70" s="6">
        <v>210</v>
      </c>
      <c r="G70" s="45">
        <v>4.6100000000000003</v>
      </c>
      <c r="H70" s="45">
        <v>4.5</v>
      </c>
      <c r="I70" s="45">
        <v>4.5999999999999996</v>
      </c>
      <c r="J70" s="17">
        <v>-0.49</v>
      </c>
      <c r="K70" s="20">
        <v>-9.6100000000000005E-2</v>
      </c>
      <c r="L70" s="45">
        <v>164</v>
      </c>
      <c r="M70" s="53">
        <v>7058</v>
      </c>
      <c r="N70" s="54">
        <v>0.37430000000000002</v>
      </c>
      <c r="O70" t="s">
        <v>65</v>
      </c>
      <c r="P70" s="9">
        <v>46044</v>
      </c>
      <c r="Q70">
        <f t="shared" si="6"/>
        <v>234.34</v>
      </c>
    </row>
    <row r="71" spans="1:17" x14ac:dyDescent="0.25">
      <c r="A71" s="5" t="s">
        <v>85</v>
      </c>
      <c r="B71" s="3" t="str">
        <f t="shared" si="7"/>
        <v>AMZN</v>
      </c>
      <c r="C71" s="3" t="str">
        <f t="shared" si="4"/>
        <v>260123</v>
      </c>
      <c r="D71" s="3" t="str">
        <f t="shared" si="5"/>
        <v>P00212500</v>
      </c>
      <c r="E71" s="39">
        <v>46044.645138888889</v>
      </c>
      <c r="F71" s="6">
        <v>212.5</v>
      </c>
      <c r="G71" s="45">
        <v>5.5</v>
      </c>
      <c r="H71" s="45">
        <v>5.4</v>
      </c>
      <c r="I71" s="45">
        <v>5.55</v>
      </c>
      <c r="J71" s="17">
        <v>-0.75</v>
      </c>
      <c r="K71" s="20">
        <v>-0.12</v>
      </c>
      <c r="L71" s="53">
        <v>2484</v>
      </c>
      <c r="M71" s="53">
        <v>4369</v>
      </c>
      <c r="N71" s="54">
        <v>0.36770000000000003</v>
      </c>
      <c r="O71" t="s">
        <v>65</v>
      </c>
      <c r="P71" s="9">
        <v>46044</v>
      </c>
      <c r="Q71">
        <f t="shared" si="6"/>
        <v>234.34</v>
      </c>
    </row>
    <row r="72" spans="1:17" x14ac:dyDescent="0.25">
      <c r="A72" s="5" t="s">
        <v>86</v>
      </c>
      <c r="B72" s="3" t="str">
        <f t="shared" si="7"/>
        <v>AMZN</v>
      </c>
      <c r="C72" s="3" t="str">
        <f t="shared" si="4"/>
        <v>260123</v>
      </c>
      <c r="D72" s="3" t="str">
        <f t="shared" si="5"/>
        <v>P00215000</v>
      </c>
      <c r="E72" s="39">
        <v>46044.654861111114</v>
      </c>
      <c r="F72" s="6">
        <v>215</v>
      </c>
      <c r="G72" s="45">
        <v>6.7</v>
      </c>
      <c r="H72" s="45">
        <v>6.5</v>
      </c>
      <c r="I72" s="45">
        <v>6.6</v>
      </c>
      <c r="J72" s="17">
        <v>-0.75</v>
      </c>
      <c r="K72" s="20">
        <v>-0.1007</v>
      </c>
      <c r="L72" s="45">
        <v>35</v>
      </c>
      <c r="M72" s="53">
        <v>2645</v>
      </c>
      <c r="N72" s="54">
        <v>0.3599</v>
      </c>
      <c r="O72" t="s">
        <v>65</v>
      </c>
      <c r="P72" s="9">
        <v>46044</v>
      </c>
      <c r="Q72">
        <f t="shared" si="6"/>
        <v>234.34</v>
      </c>
    </row>
    <row r="73" spans="1:17" x14ac:dyDescent="0.25">
      <c r="A73" s="5" t="s">
        <v>87</v>
      </c>
      <c r="B73" s="3" t="str">
        <f t="shared" si="7"/>
        <v>AMZN</v>
      </c>
      <c r="C73" s="3" t="str">
        <f t="shared" si="4"/>
        <v>260123</v>
      </c>
      <c r="D73" s="3" t="str">
        <f t="shared" si="5"/>
        <v>P00217500</v>
      </c>
      <c r="E73" s="39">
        <v>46044.654861111114</v>
      </c>
      <c r="F73" s="6">
        <v>217.5</v>
      </c>
      <c r="G73" s="45">
        <v>7.95</v>
      </c>
      <c r="H73" s="45">
        <v>7.7</v>
      </c>
      <c r="I73" s="45">
        <v>7.85</v>
      </c>
      <c r="J73" s="17">
        <v>-0.75</v>
      </c>
      <c r="K73" s="20">
        <v>-8.6199999999999999E-2</v>
      </c>
      <c r="L73" s="53">
        <v>1002</v>
      </c>
      <c r="M73" s="53">
        <v>5817</v>
      </c>
      <c r="N73" s="54">
        <v>0.3533</v>
      </c>
      <c r="O73" t="s">
        <v>65</v>
      </c>
      <c r="P73" s="9">
        <v>46044</v>
      </c>
      <c r="Q73">
        <f t="shared" si="6"/>
        <v>234.34</v>
      </c>
    </row>
    <row r="74" spans="1:17" x14ac:dyDescent="0.25">
      <c r="A74" s="5" t="s">
        <v>88</v>
      </c>
      <c r="B74" s="3" t="str">
        <f t="shared" si="7"/>
        <v>AMZN</v>
      </c>
      <c r="C74" s="3" t="str">
        <f t="shared" si="4"/>
        <v>260123</v>
      </c>
      <c r="D74" s="3" t="str">
        <f t="shared" si="5"/>
        <v>P00220000</v>
      </c>
      <c r="E74" s="39">
        <v>46044.655555555553</v>
      </c>
      <c r="F74" s="6">
        <v>220</v>
      </c>
      <c r="G74" s="45">
        <v>9.3800000000000008</v>
      </c>
      <c r="H74" s="45">
        <v>9.15</v>
      </c>
      <c r="I74" s="45">
        <v>9.3000000000000007</v>
      </c>
      <c r="J74" s="17">
        <v>-0.87</v>
      </c>
      <c r="K74" s="20">
        <v>-8.4900000000000003E-2</v>
      </c>
      <c r="L74" s="45">
        <v>92</v>
      </c>
      <c r="M74" s="53">
        <v>2697</v>
      </c>
      <c r="N74" s="54">
        <v>0.34720000000000001</v>
      </c>
      <c r="O74" t="s">
        <v>65</v>
      </c>
      <c r="P74" s="9">
        <v>46044</v>
      </c>
      <c r="Q74">
        <f t="shared" si="6"/>
        <v>234.34</v>
      </c>
    </row>
    <row r="75" spans="1:17" x14ac:dyDescent="0.25">
      <c r="A75" s="5" t="s">
        <v>89</v>
      </c>
      <c r="B75" s="3" t="str">
        <f t="shared" si="7"/>
        <v>AMZN</v>
      </c>
      <c r="C75" s="3" t="str">
        <f t="shared" si="4"/>
        <v>260123</v>
      </c>
      <c r="D75" s="3" t="str">
        <f t="shared" si="5"/>
        <v>P00222500</v>
      </c>
      <c r="E75" s="39">
        <v>46044.65902777778</v>
      </c>
      <c r="F75" s="6">
        <v>222.5</v>
      </c>
      <c r="G75" s="45">
        <v>10.95</v>
      </c>
      <c r="H75" s="45">
        <v>10.8</v>
      </c>
      <c r="I75" s="45">
        <v>10.95</v>
      </c>
      <c r="J75" s="17">
        <v>-1.3</v>
      </c>
      <c r="K75" s="20">
        <v>-0.1061</v>
      </c>
      <c r="L75" s="45">
        <v>248</v>
      </c>
      <c r="M75" s="53">
        <v>5327</v>
      </c>
      <c r="N75" s="54">
        <v>0.34129999999999999</v>
      </c>
      <c r="O75" t="s">
        <v>65</v>
      </c>
      <c r="P75" s="9">
        <v>46044</v>
      </c>
      <c r="Q75">
        <f t="shared" si="6"/>
        <v>234.34</v>
      </c>
    </row>
    <row r="76" spans="1:17" x14ac:dyDescent="0.25">
      <c r="A76" s="5" t="s">
        <v>90</v>
      </c>
      <c r="B76" s="3" t="str">
        <f t="shared" si="7"/>
        <v>AMZN</v>
      </c>
      <c r="C76" s="3" t="str">
        <f t="shared" si="4"/>
        <v>260123</v>
      </c>
      <c r="D76" s="3" t="str">
        <f t="shared" si="5"/>
        <v>P00225000</v>
      </c>
      <c r="E76" s="39">
        <v>46044.640277777777</v>
      </c>
      <c r="F76" s="6">
        <v>225</v>
      </c>
      <c r="G76" s="45">
        <v>12.65</v>
      </c>
      <c r="H76" s="45">
        <v>12.65</v>
      </c>
      <c r="I76" s="45">
        <v>12.8</v>
      </c>
      <c r="J76" s="17">
        <v>-1.65</v>
      </c>
      <c r="K76" s="20">
        <v>-0.1154</v>
      </c>
      <c r="L76" s="45">
        <v>27</v>
      </c>
      <c r="M76" s="53">
        <v>3122</v>
      </c>
      <c r="N76" s="54">
        <v>0.33529999999999999</v>
      </c>
      <c r="O76" t="s">
        <v>65</v>
      </c>
      <c r="P76" s="9">
        <v>46044</v>
      </c>
      <c r="Q76">
        <f t="shared" si="6"/>
        <v>234.34</v>
      </c>
    </row>
    <row r="77" spans="1:17" x14ac:dyDescent="0.25">
      <c r="A77" s="5" t="s">
        <v>91</v>
      </c>
      <c r="B77" s="3" t="str">
        <f t="shared" si="7"/>
        <v>AMZN</v>
      </c>
      <c r="C77" s="3" t="str">
        <f t="shared" si="4"/>
        <v>260123</v>
      </c>
      <c r="D77" s="3" t="str">
        <f t="shared" si="5"/>
        <v>P00227500</v>
      </c>
      <c r="E77" s="39">
        <v>46044.62222222222</v>
      </c>
      <c r="F77" s="6">
        <v>227.5</v>
      </c>
      <c r="G77" s="45">
        <v>14.8</v>
      </c>
      <c r="H77" s="45">
        <v>14.75</v>
      </c>
      <c r="I77" s="45">
        <v>14.9</v>
      </c>
      <c r="J77" s="17">
        <v>-1.45</v>
      </c>
      <c r="K77" s="20">
        <v>-8.9200000000000002E-2</v>
      </c>
      <c r="L77" s="45">
        <v>130</v>
      </c>
      <c r="M77" s="53">
        <v>2301</v>
      </c>
      <c r="N77" s="54">
        <v>0.3301</v>
      </c>
      <c r="O77" t="s">
        <v>65</v>
      </c>
      <c r="P77" s="9">
        <v>46044</v>
      </c>
      <c r="Q77">
        <f t="shared" si="6"/>
        <v>234.34</v>
      </c>
    </row>
    <row r="78" spans="1:17" x14ac:dyDescent="0.25">
      <c r="A78" s="3" t="s">
        <v>92</v>
      </c>
      <c r="B78" s="3" t="str">
        <f t="shared" si="7"/>
        <v>AMZN</v>
      </c>
      <c r="C78" s="3" t="str">
        <f t="shared" si="4"/>
        <v>260123</v>
      </c>
      <c r="D78" s="3" t="str">
        <f t="shared" si="5"/>
        <v>P00230000</v>
      </c>
      <c r="E78" s="38">
        <v>46044.65347222222</v>
      </c>
      <c r="F78" s="4">
        <v>230</v>
      </c>
      <c r="G78" s="49">
        <v>17.5</v>
      </c>
      <c r="H78" s="49">
        <v>17.05</v>
      </c>
      <c r="I78" s="49">
        <v>17.25</v>
      </c>
      <c r="J78" s="18">
        <v>-2.25</v>
      </c>
      <c r="K78" s="19">
        <v>-0.1139</v>
      </c>
      <c r="L78" s="49">
        <v>42</v>
      </c>
      <c r="M78" s="52">
        <v>2863</v>
      </c>
      <c r="N78" s="51">
        <v>0.32529999999999998</v>
      </c>
      <c r="O78" t="s">
        <v>65</v>
      </c>
      <c r="P78" s="9">
        <v>46044</v>
      </c>
      <c r="Q78">
        <f t="shared" si="6"/>
        <v>234.34</v>
      </c>
    </row>
    <row r="79" spans="1:17" x14ac:dyDescent="0.25">
      <c r="A79" s="3" t="s">
        <v>93</v>
      </c>
      <c r="B79" s="3" t="str">
        <f t="shared" si="7"/>
        <v>AMZN</v>
      </c>
      <c r="C79" s="3" t="str">
        <f t="shared" si="4"/>
        <v>260123</v>
      </c>
      <c r="D79" s="3" t="str">
        <f t="shared" si="5"/>
        <v>P00232500</v>
      </c>
      <c r="E79" s="38">
        <v>46044.590277777781</v>
      </c>
      <c r="F79" s="4">
        <v>232.5</v>
      </c>
      <c r="G79" s="49">
        <v>19.5</v>
      </c>
      <c r="H79" s="49">
        <v>19.600000000000001</v>
      </c>
      <c r="I79" s="49">
        <v>19.8</v>
      </c>
      <c r="J79" s="18">
        <v>-2.5</v>
      </c>
      <c r="K79" s="19">
        <v>-0.11360000000000001</v>
      </c>
      <c r="L79" s="49">
        <v>19</v>
      </c>
      <c r="M79" s="52">
        <v>1484</v>
      </c>
      <c r="N79" s="51">
        <v>0.32</v>
      </c>
      <c r="O79" t="s">
        <v>65</v>
      </c>
      <c r="P79" s="9">
        <v>46044</v>
      </c>
      <c r="Q79">
        <f t="shared" si="6"/>
        <v>234.34</v>
      </c>
    </row>
    <row r="80" spans="1:17" x14ac:dyDescent="0.25">
      <c r="A80" s="3" t="s">
        <v>94</v>
      </c>
      <c r="B80" s="3" t="str">
        <f t="shared" si="7"/>
        <v>AMZN</v>
      </c>
      <c r="C80" s="3" t="str">
        <f t="shared" si="4"/>
        <v>260123</v>
      </c>
      <c r="D80" s="3" t="str">
        <f t="shared" si="5"/>
        <v>P00235000</v>
      </c>
      <c r="E80" s="38">
        <v>46044.660416666666</v>
      </c>
      <c r="F80" s="4">
        <v>235</v>
      </c>
      <c r="G80" s="49">
        <v>22.7</v>
      </c>
      <c r="H80" s="49">
        <v>22.4</v>
      </c>
      <c r="I80" s="49">
        <v>22.6</v>
      </c>
      <c r="J80" s="18">
        <v>-2</v>
      </c>
      <c r="K80" s="19">
        <v>-8.1000000000000003E-2</v>
      </c>
      <c r="L80" s="49">
        <v>2</v>
      </c>
      <c r="M80" s="49">
        <v>876</v>
      </c>
      <c r="N80" s="51">
        <v>0.31509999999999999</v>
      </c>
      <c r="O80" t="s">
        <v>65</v>
      </c>
      <c r="P80" s="9">
        <v>46044</v>
      </c>
      <c r="Q80">
        <f t="shared" si="6"/>
        <v>234.34</v>
      </c>
    </row>
    <row r="81" spans="1:17" x14ac:dyDescent="0.25">
      <c r="A81" s="3" t="s">
        <v>95</v>
      </c>
      <c r="B81" s="3" t="str">
        <f t="shared" si="7"/>
        <v>AMZN</v>
      </c>
      <c r="C81" s="3" t="str">
        <f t="shared" si="4"/>
        <v>260123</v>
      </c>
      <c r="D81" s="3" t="str">
        <f t="shared" si="5"/>
        <v>P00237500</v>
      </c>
      <c r="E81" s="38">
        <v>46044.445833333331</v>
      </c>
      <c r="F81" s="4">
        <v>237.5</v>
      </c>
      <c r="G81" s="49">
        <v>25.8</v>
      </c>
      <c r="H81" s="49">
        <v>25.4</v>
      </c>
      <c r="I81" s="49">
        <v>25.65</v>
      </c>
      <c r="J81" s="18">
        <v>-1.45</v>
      </c>
      <c r="K81" s="19">
        <v>-5.3199999999999997E-2</v>
      </c>
      <c r="L81" s="49">
        <v>11</v>
      </c>
      <c r="M81" s="52">
        <v>2805</v>
      </c>
      <c r="N81" s="51">
        <v>0.31059999999999999</v>
      </c>
      <c r="O81" t="s">
        <v>65</v>
      </c>
      <c r="P81" s="9">
        <v>46044</v>
      </c>
      <c r="Q81">
        <f t="shared" si="6"/>
        <v>234.34</v>
      </c>
    </row>
    <row r="82" spans="1:17" x14ac:dyDescent="0.25">
      <c r="A82" s="3" t="s">
        <v>96</v>
      </c>
      <c r="B82" s="3" t="str">
        <f t="shared" si="7"/>
        <v>AMZN</v>
      </c>
      <c r="C82" s="3" t="str">
        <f t="shared" si="4"/>
        <v>260123</v>
      </c>
      <c r="D82" s="3" t="str">
        <f t="shared" si="5"/>
        <v>P00240000</v>
      </c>
      <c r="E82" s="38">
        <v>46044.643750000003</v>
      </c>
      <c r="F82" s="4">
        <v>240</v>
      </c>
      <c r="G82" s="49">
        <v>28.9</v>
      </c>
      <c r="H82" s="49">
        <v>28.7</v>
      </c>
      <c r="I82" s="49">
        <v>29.1</v>
      </c>
      <c r="J82" s="18">
        <v>-1.95</v>
      </c>
      <c r="K82" s="19">
        <v>-6.3200000000000006E-2</v>
      </c>
      <c r="L82" s="49">
        <v>326</v>
      </c>
      <c r="M82" s="49">
        <v>283</v>
      </c>
      <c r="N82" s="51">
        <v>0.30980000000000002</v>
      </c>
      <c r="O82" t="s">
        <v>65</v>
      </c>
      <c r="P82" s="9">
        <v>46044</v>
      </c>
      <c r="Q82">
        <f t="shared" si="6"/>
        <v>234.34</v>
      </c>
    </row>
    <row r="83" spans="1:17" x14ac:dyDescent="0.25">
      <c r="A83" s="3" t="s">
        <v>97</v>
      </c>
      <c r="B83" s="3" t="str">
        <f t="shared" si="7"/>
        <v>AMZN</v>
      </c>
      <c r="C83" s="3" t="str">
        <f t="shared" si="4"/>
        <v>260123</v>
      </c>
      <c r="D83" s="3" t="str">
        <f t="shared" si="5"/>
        <v>P00242500</v>
      </c>
      <c r="E83" s="38">
        <v>46044.401388888888</v>
      </c>
      <c r="F83" s="4">
        <v>242.5</v>
      </c>
      <c r="G83" s="49">
        <v>33.03</v>
      </c>
      <c r="H83" s="49">
        <v>32.1</v>
      </c>
      <c r="I83" s="49">
        <v>32.6</v>
      </c>
      <c r="J83" s="18">
        <v>-2.82</v>
      </c>
      <c r="K83" s="19">
        <v>-7.8700000000000006E-2</v>
      </c>
      <c r="L83" s="49">
        <v>1</v>
      </c>
      <c r="M83" s="49">
        <v>302</v>
      </c>
      <c r="N83" s="51">
        <v>0.30580000000000002</v>
      </c>
      <c r="O83" t="s">
        <v>65</v>
      </c>
      <c r="P83" s="9">
        <v>46044</v>
      </c>
      <c r="Q83">
        <f t="shared" si="6"/>
        <v>234.34</v>
      </c>
    </row>
    <row r="84" spans="1:17" x14ac:dyDescent="0.25">
      <c r="A84" s="3" t="s">
        <v>98</v>
      </c>
      <c r="B84" s="3" t="str">
        <f t="shared" si="7"/>
        <v>AMZN</v>
      </c>
      <c r="C84" s="3" t="str">
        <f t="shared" si="4"/>
        <v>260123</v>
      </c>
      <c r="D84" s="3" t="str">
        <f t="shared" si="5"/>
        <v>P00245000</v>
      </c>
      <c r="E84" s="38">
        <v>46043.602083333331</v>
      </c>
      <c r="F84" s="4">
        <v>245</v>
      </c>
      <c r="G84" s="49">
        <v>41.4</v>
      </c>
      <c r="H84" s="49">
        <v>35.799999999999997</v>
      </c>
      <c r="I84" s="49">
        <v>36.299999999999997</v>
      </c>
      <c r="J84" s="18">
        <v>0</v>
      </c>
      <c r="K84" s="19">
        <v>0</v>
      </c>
      <c r="L84" s="49">
        <v>1</v>
      </c>
      <c r="M84" s="49">
        <v>123</v>
      </c>
      <c r="N84" s="51">
        <v>0.30180000000000001</v>
      </c>
      <c r="O84" t="s">
        <v>65</v>
      </c>
      <c r="P84" s="9">
        <v>46044</v>
      </c>
      <c r="Q84">
        <f t="shared" si="6"/>
        <v>234.34</v>
      </c>
    </row>
    <row r="85" spans="1:17" x14ac:dyDescent="0.25">
      <c r="A85" s="3" t="s">
        <v>99</v>
      </c>
      <c r="B85" s="3" t="str">
        <f t="shared" si="7"/>
        <v>AMZN</v>
      </c>
      <c r="C85" s="3" t="str">
        <f t="shared" si="4"/>
        <v>260123</v>
      </c>
      <c r="D85" s="3" t="str">
        <f t="shared" si="5"/>
        <v>P00247500</v>
      </c>
      <c r="E85" s="38">
        <v>46042.543055555558</v>
      </c>
      <c r="F85" s="4">
        <v>247.5</v>
      </c>
      <c r="G85" s="49">
        <v>41.73</v>
      </c>
      <c r="H85" s="49">
        <v>39.65</v>
      </c>
      <c r="I85" s="49">
        <v>40.200000000000003</v>
      </c>
      <c r="J85" s="18">
        <v>0</v>
      </c>
      <c r="K85" s="19">
        <v>0</v>
      </c>
      <c r="L85" s="49">
        <v>64</v>
      </c>
      <c r="M85" s="49">
        <v>157</v>
      </c>
      <c r="N85" s="51">
        <v>0.29809999999999998</v>
      </c>
      <c r="O85" t="s">
        <v>65</v>
      </c>
      <c r="P85" s="9">
        <v>46044</v>
      </c>
      <c r="Q85">
        <f t="shared" si="6"/>
        <v>234.34</v>
      </c>
    </row>
    <row r="86" spans="1:17" x14ac:dyDescent="0.25">
      <c r="A86" s="3" t="s">
        <v>100</v>
      </c>
      <c r="B86" s="3" t="str">
        <f t="shared" si="7"/>
        <v>AMZN</v>
      </c>
      <c r="C86" s="3" t="str">
        <f t="shared" si="4"/>
        <v>260123</v>
      </c>
      <c r="D86" s="3" t="str">
        <f t="shared" si="5"/>
        <v>P00250000</v>
      </c>
      <c r="E86" s="38">
        <v>46043.663888888892</v>
      </c>
      <c r="F86" s="4">
        <v>250</v>
      </c>
      <c r="G86" s="49">
        <v>46.35</v>
      </c>
      <c r="H86" s="49">
        <v>43.7</v>
      </c>
      <c r="I86" s="49">
        <v>44.25</v>
      </c>
      <c r="J86" s="18">
        <v>0</v>
      </c>
      <c r="K86" s="19">
        <v>0</v>
      </c>
      <c r="L86" s="49">
        <v>72</v>
      </c>
      <c r="M86" s="49">
        <v>194</v>
      </c>
      <c r="N86" s="51">
        <v>0.29399999999999998</v>
      </c>
      <c r="O86" t="s">
        <v>65</v>
      </c>
      <c r="P86" s="9">
        <v>46044</v>
      </c>
      <c r="Q86">
        <f t="shared" si="6"/>
        <v>234.34</v>
      </c>
    </row>
    <row r="87" spans="1:17" x14ac:dyDescent="0.25">
      <c r="A87" s="3" t="s">
        <v>101</v>
      </c>
      <c r="B87" s="3" t="str">
        <f t="shared" si="7"/>
        <v>AMZN</v>
      </c>
      <c r="C87" s="3" t="str">
        <f t="shared" si="4"/>
        <v>260123</v>
      </c>
      <c r="D87" s="3" t="str">
        <f t="shared" si="5"/>
        <v>P00252500</v>
      </c>
      <c r="E87" s="38">
        <v>46044.397222222222</v>
      </c>
      <c r="F87" s="4">
        <v>252.5</v>
      </c>
      <c r="G87" s="49">
        <v>48.4</v>
      </c>
      <c r="H87" s="49">
        <v>46.9</v>
      </c>
      <c r="I87" s="49">
        <v>48.55</v>
      </c>
      <c r="J87" s="18">
        <v>-2.9</v>
      </c>
      <c r="K87" s="19">
        <v>-5.6500000000000002E-2</v>
      </c>
      <c r="L87" s="49">
        <v>4</v>
      </c>
      <c r="M87" s="49">
        <v>130</v>
      </c>
      <c r="N87" s="51">
        <v>0.29270000000000002</v>
      </c>
      <c r="O87" t="s">
        <v>65</v>
      </c>
      <c r="P87" s="9">
        <v>46044</v>
      </c>
      <c r="Q87">
        <f t="shared" si="6"/>
        <v>234.34</v>
      </c>
    </row>
    <row r="88" spans="1:17" x14ac:dyDescent="0.25">
      <c r="A88" s="3" t="s">
        <v>102</v>
      </c>
      <c r="B88" s="3" t="str">
        <f t="shared" si="7"/>
        <v>AMZN</v>
      </c>
      <c r="C88" s="3" t="str">
        <f t="shared" si="4"/>
        <v>260123</v>
      </c>
      <c r="D88" s="3" t="str">
        <f t="shared" si="5"/>
        <v>P00255000</v>
      </c>
      <c r="E88" s="38">
        <v>46043.504166666666</v>
      </c>
      <c r="F88" s="4">
        <v>255</v>
      </c>
      <c r="G88" s="49">
        <v>58.3</v>
      </c>
      <c r="H88" s="49">
        <v>52.25</v>
      </c>
      <c r="I88" s="49">
        <v>52.9</v>
      </c>
      <c r="J88" s="18">
        <v>0</v>
      </c>
      <c r="K88" s="19">
        <v>0</v>
      </c>
      <c r="L88" s="49">
        <v>6</v>
      </c>
      <c r="M88" s="49">
        <v>167</v>
      </c>
      <c r="N88" s="51">
        <v>0.28910000000000002</v>
      </c>
      <c r="O88" t="s">
        <v>65</v>
      </c>
      <c r="P88" s="9">
        <v>46044</v>
      </c>
      <c r="Q88">
        <f t="shared" si="6"/>
        <v>234.34</v>
      </c>
    </row>
    <row r="89" spans="1:17" x14ac:dyDescent="0.25">
      <c r="A89" s="3" t="s">
        <v>103</v>
      </c>
      <c r="B89" s="3" t="str">
        <f t="shared" si="7"/>
        <v>AMZN</v>
      </c>
      <c r="C89" s="3" t="str">
        <f t="shared" si="4"/>
        <v>260123</v>
      </c>
      <c r="D89" s="3" t="str">
        <f t="shared" si="5"/>
        <v>P00257500</v>
      </c>
      <c r="E89" s="38">
        <v>46042.600694444445</v>
      </c>
      <c r="F89" s="4">
        <v>257.5</v>
      </c>
      <c r="G89" s="49">
        <v>60.95</v>
      </c>
      <c r="H89" s="49">
        <v>56.75</v>
      </c>
      <c r="I89" s="49">
        <v>57.4</v>
      </c>
      <c r="J89" s="18">
        <v>0</v>
      </c>
      <c r="K89" s="19">
        <v>0</v>
      </c>
      <c r="L89" s="49">
        <v>212</v>
      </c>
      <c r="M89" s="49">
        <v>174</v>
      </c>
      <c r="N89" s="51">
        <v>0.28660000000000002</v>
      </c>
      <c r="O89" t="s">
        <v>65</v>
      </c>
      <c r="P89" s="9">
        <v>46044</v>
      </c>
      <c r="Q89">
        <f t="shared" si="6"/>
        <v>234.34</v>
      </c>
    </row>
    <row r="90" spans="1:17" x14ac:dyDescent="0.25">
      <c r="A90" s="3" t="s">
        <v>104</v>
      </c>
      <c r="B90" s="3" t="str">
        <f t="shared" si="7"/>
        <v>AMZN</v>
      </c>
      <c r="C90" s="3" t="str">
        <f t="shared" si="4"/>
        <v>260123</v>
      </c>
      <c r="D90" s="3" t="str">
        <f t="shared" si="5"/>
        <v>P00260000</v>
      </c>
      <c r="E90" s="38">
        <v>46042.594444444447</v>
      </c>
      <c r="F90" s="4">
        <v>260</v>
      </c>
      <c r="G90" s="49">
        <v>65.150000000000006</v>
      </c>
      <c r="H90" s="49">
        <v>61.3</v>
      </c>
      <c r="I90" s="49">
        <v>62</v>
      </c>
      <c r="J90" s="18">
        <v>0</v>
      </c>
      <c r="K90" s="19">
        <v>0</v>
      </c>
      <c r="L90" s="49">
        <v>64</v>
      </c>
      <c r="M90" s="49">
        <v>44</v>
      </c>
      <c r="N90" s="51">
        <v>0.28439999999999999</v>
      </c>
      <c r="O90" t="s">
        <v>65</v>
      </c>
      <c r="P90" s="9">
        <v>46044</v>
      </c>
      <c r="Q90">
        <f t="shared" si="6"/>
        <v>234.34</v>
      </c>
    </row>
    <row r="91" spans="1:17" x14ac:dyDescent="0.25">
      <c r="A91" s="3" t="s">
        <v>105</v>
      </c>
      <c r="B91" s="3" t="str">
        <f t="shared" si="7"/>
        <v>AMZN</v>
      </c>
      <c r="C91" s="3" t="str">
        <f t="shared" si="4"/>
        <v>260123</v>
      </c>
      <c r="D91" s="3" t="str">
        <f t="shared" si="5"/>
        <v>P00262500</v>
      </c>
      <c r="E91" s="38">
        <v>46042.533333333333</v>
      </c>
      <c r="F91" s="4">
        <v>262.5</v>
      </c>
      <c r="G91" s="49">
        <v>67.92</v>
      </c>
      <c r="H91" s="49">
        <v>65.900000000000006</v>
      </c>
      <c r="I91" s="49">
        <v>66.650000000000006</v>
      </c>
      <c r="J91" s="18">
        <v>0</v>
      </c>
      <c r="K91" s="19">
        <v>0</v>
      </c>
      <c r="L91" s="49">
        <v>72</v>
      </c>
      <c r="M91" s="49">
        <v>77</v>
      </c>
      <c r="N91" s="51">
        <v>0.28039999999999998</v>
      </c>
      <c r="O91" t="s">
        <v>65</v>
      </c>
      <c r="P91" s="9">
        <v>46044</v>
      </c>
      <c r="Q91">
        <f t="shared" si="6"/>
        <v>234.34</v>
      </c>
    </row>
    <row r="92" spans="1:17" x14ac:dyDescent="0.25">
      <c r="A92" s="3" t="s">
        <v>106</v>
      </c>
      <c r="B92" s="3" t="str">
        <f t="shared" si="7"/>
        <v>AMZN</v>
      </c>
      <c r="C92" s="3" t="str">
        <f t="shared" si="4"/>
        <v>260123</v>
      </c>
      <c r="D92" s="3" t="str">
        <f t="shared" si="5"/>
        <v>P00265000</v>
      </c>
      <c r="E92" s="38">
        <v>46002.415277777778</v>
      </c>
      <c r="F92" s="4">
        <v>265</v>
      </c>
      <c r="G92" s="49">
        <v>75.2</v>
      </c>
      <c r="H92" s="49">
        <v>70.7</v>
      </c>
      <c r="I92" s="49">
        <v>71.45</v>
      </c>
      <c r="J92" s="18">
        <v>0</v>
      </c>
      <c r="K92" s="19">
        <v>0</v>
      </c>
      <c r="L92" s="49">
        <v>5</v>
      </c>
      <c r="M92" s="49">
        <v>0</v>
      </c>
      <c r="N92" s="51">
        <v>0.28160000000000002</v>
      </c>
      <c r="O92" t="s">
        <v>65</v>
      </c>
      <c r="P92" s="9">
        <v>46044</v>
      </c>
      <c r="Q92">
        <f t="shared" si="6"/>
        <v>234.34</v>
      </c>
    </row>
    <row r="93" spans="1:17" x14ac:dyDescent="0.25">
      <c r="A93" s="3" t="s">
        <v>107</v>
      </c>
      <c r="B93" s="3" t="str">
        <f t="shared" si="7"/>
        <v>AMZN</v>
      </c>
      <c r="C93" s="3" t="str">
        <f t="shared" si="4"/>
        <v>260123</v>
      </c>
      <c r="D93" s="3" t="str">
        <f t="shared" si="5"/>
        <v>P00267500</v>
      </c>
      <c r="E93" s="38">
        <v>46035.649305555555</v>
      </c>
      <c r="F93" s="4">
        <v>267.5</v>
      </c>
      <c r="G93" s="49">
        <v>68.8</v>
      </c>
      <c r="H93" s="49">
        <v>74.5</v>
      </c>
      <c r="I93" s="49">
        <v>77.099999999999994</v>
      </c>
      <c r="J93" s="18">
        <v>0</v>
      </c>
      <c r="K93" s="19">
        <v>0</v>
      </c>
      <c r="L93" s="49">
        <v>22</v>
      </c>
      <c r="M93" s="49">
        <v>12</v>
      </c>
      <c r="N93" s="51">
        <v>0.3342</v>
      </c>
      <c r="O93" t="s">
        <v>65</v>
      </c>
      <c r="P93" s="9">
        <v>46044</v>
      </c>
      <c r="Q93">
        <f t="shared" si="6"/>
        <v>234.34</v>
      </c>
    </row>
    <row r="94" spans="1:17" x14ac:dyDescent="0.25">
      <c r="A94" s="3" t="s">
        <v>108</v>
      </c>
      <c r="B94" s="3" t="str">
        <f t="shared" si="7"/>
        <v>AMZN</v>
      </c>
      <c r="C94" s="3" t="str">
        <f t="shared" si="4"/>
        <v>260123</v>
      </c>
      <c r="D94" s="3" t="str">
        <f t="shared" si="5"/>
        <v>P00270000</v>
      </c>
      <c r="E94" s="38">
        <v>46028.548611111109</v>
      </c>
      <c r="F94" s="4">
        <v>270</v>
      </c>
      <c r="G94" s="49">
        <v>73.739999999999995</v>
      </c>
      <c r="H94" s="49">
        <v>79.400000000000006</v>
      </c>
      <c r="I94" s="49">
        <v>82</v>
      </c>
      <c r="J94" s="18">
        <v>0</v>
      </c>
      <c r="K94" s="19">
        <v>0</v>
      </c>
      <c r="L94" s="49">
        <v>1</v>
      </c>
      <c r="M94" s="49">
        <v>0</v>
      </c>
      <c r="N94" s="51">
        <v>0.34289999999999998</v>
      </c>
      <c r="O94" t="s">
        <v>65</v>
      </c>
      <c r="P94" s="9">
        <v>46044</v>
      </c>
      <c r="Q94">
        <f t="shared" si="6"/>
        <v>234.34</v>
      </c>
    </row>
    <row r="95" spans="1:17" x14ac:dyDescent="0.25">
      <c r="A95" s="3" t="s">
        <v>109</v>
      </c>
      <c r="B95" s="3" t="str">
        <f t="shared" si="7"/>
        <v>AMZN</v>
      </c>
      <c r="C95" s="3" t="str">
        <f t="shared" si="4"/>
        <v>260123</v>
      </c>
      <c r="D95" s="3" t="str">
        <f t="shared" si="5"/>
        <v>P00290000</v>
      </c>
      <c r="E95" s="38">
        <v>46034.511111111111</v>
      </c>
      <c r="F95" s="4">
        <v>290</v>
      </c>
      <c r="G95" s="49">
        <v>72.3</v>
      </c>
      <c r="H95" s="49">
        <v>84.4</v>
      </c>
      <c r="I95" s="49">
        <v>87</v>
      </c>
      <c r="J95" s="18">
        <v>0</v>
      </c>
      <c r="K95" s="19">
        <v>0</v>
      </c>
      <c r="L95" s="49">
        <v>10</v>
      </c>
      <c r="M95" s="49">
        <v>0</v>
      </c>
      <c r="N95" s="51">
        <v>0.35659999999999997</v>
      </c>
      <c r="O95" t="s">
        <v>65</v>
      </c>
      <c r="P95" s="9">
        <v>46044</v>
      </c>
      <c r="Q95">
        <f t="shared" si="6"/>
        <v>234.34</v>
      </c>
    </row>
    <row r="96" spans="1:17" x14ac:dyDescent="0.25">
      <c r="A96" s="3" t="s">
        <v>110</v>
      </c>
      <c r="B96" s="3" t="str">
        <f t="shared" si="7"/>
        <v>AMZN</v>
      </c>
      <c r="C96" s="3" t="str">
        <f t="shared" si="4"/>
        <v>260123</v>
      </c>
      <c r="D96" s="3" t="str">
        <f t="shared" si="5"/>
        <v>P00340000</v>
      </c>
      <c r="E96" s="38">
        <v>45972.587500000001</v>
      </c>
      <c r="F96" s="4">
        <v>340</v>
      </c>
      <c r="G96" s="49">
        <v>76.680000000000007</v>
      </c>
      <c r="H96" s="49">
        <v>86.8</v>
      </c>
      <c r="I96" s="49">
        <v>89.35</v>
      </c>
      <c r="J96" s="18">
        <v>0</v>
      </c>
      <c r="K96" s="19">
        <v>0</v>
      </c>
      <c r="L96" s="49">
        <v>12</v>
      </c>
      <c r="M96" s="49">
        <v>0</v>
      </c>
      <c r="N96" s="51">
        <v>0</v>
      </c>
      <c r="O96" t="s">
        <v>65</v>
      </c>
      <c r="P96" s="9">
        <v>46044</v>
      </c>
      <c r="Q96">
        <f t="shared" si="6"/>
        <v>234.34</v>
      </c>
    </row>
    <row r="97" spans="1:17" x14ac:dyDescent="0.25">
      <c r="A97" s="3" t="s">
        <v>111</v>
      </c>
      <c r="B97" s="3" t="str">
        <f t="shared" si="7"/>
        <v>AMZN</v>
      </c>
      <c r="C97" s="3" t="str">
        <f t="shared" si="4"/>
        <v>260123</v>
      </c>
      <c r="D97" s="3" t="str">
        <f t="shared" si="5"/>
        <v>P00345000</v>
      </c>
      <c r="E97" s="38">
        <v>46021.431944444441</v>
      </c>
      <c r="F97" s="4">
        <v>345</v>
      </c>
      <c r="G97" s="49">
        <v>98.66</v>
      </c>
      <c r="H97" s="49">
        <v>94.4</v>
      </c>
      <c r="I97" s="49">
        <v>97</v>
      </c>
      <c r="J97" s="18">
        <v>0</v>
      </c>
      <c r="K97" s="19">
        <v>0</v>
      </c>
      <c r="L97" s="49">
        <v>1</v>
      </c>
      <c r="M97" s="49">
        <v>1</v>
      </c>
      <c r="N97" s="51">
        <v>0.38290000000000002</v>
      </c>
      <c r="O97" t="s">
        <v>65</v>
      </c>
      <c r="P97" s="9">
        <v>46044</v>
      </c>
      <c r="Q97">
        <f t="shared" si="6"/>
        <v>234.34</v>
      </c>
    </row>
    <row r="98" spans="1:17" x14ac:dyDescent="0.25">
      <c r="A98" s="3" t="s">
        <v>112</v>
      </c>
      <c r="B98" s="3" t="str">
        <f t="shared" si="7"/>
        <v>AMZN</v>
      </c>
      <c r="C98" s="3" t="str">
        <f t="shared" si="4"/>
        <v>260515</v>
      </c>
      <c r="D98" s="3" t="str">
        <f t="shared" si="5"/>
        <v>P00340000</v>
      </c>
      <c r="E98" s="38">
        <v>45964.46875</v>
      </c>
      <c r="F98" s="4">
        <v>340</v>
      </c>
      <c r="G98" s="49">
        <v>85.25</v>
      </c>
      <c r="H98" s="49">
        <v>102.15</v>
      </c>
      <c r="I98" s="49">
        <v>104.05</v>
      </c>
      <c r="J98" s="18">
        <v>0</v>
      </c>
      <c r="K98" s="19">
        <v>0</v>
      </c>
      <c r="L98" s="49" t="s">
        <v>113</v>
      </c>
      <c r="M98" s="49">
        <v>0</v>
      </c>
      <c r="N98" s="51">
        <v>0</v>
      </c>
      <c r="O98" t="s">
        <v>65</v>
      </c>
      <c r="P98" s="9">
        <v>46044</v>
      </c>
      <c r="Q98">
        <f t="shared" si="6"/>
        <v>234.34</v>
      </c>
    </row>
    <row r="99" spans="1:17" x14ac:dyDescent="0.25">
      <c r="A99" s="3" t="s">
        <v>114</v>
      </c>
      <c r="B99" s="3" t="str">
        <f t="shared" si="7"/>
        <v>AMZN</v>
      </c>
      <c r="C99" s="3" t="str">
        <f t="shared" si="4"/>
        <v>260515</v>
      </c>
      <c r="D99" s="3" t="str">
        <f t="shared" si="5"/>
        <v>P00350000</v>
      </c>
      <c r="E99" s="38">
        <v>45961.510416666664</v>
      </c>
      <c r="F99" s="4">
        <v>350</v>
      </c>
      <c r="G99" s="49">
        <v>104.5</v>
      </c>
      <c r="H99" s="49">
        <v>113.65</v>
      </c>
      <c r="I99" s="49">
        <v>117</v>
      </c>
      <c r="J99" s="18">
        <v>0</v>
      </c>
      <c r="K99" s="19">
        <v>0</v>
      </c>
      <c r="L99" s="49">
        <v>2</v>
      </c>
      <c r="M99" s="49">
        <v>0</v>
      </c>
      <c r="N99" s="51">
        <v>0.432</v>
      </c>
      <c r="O99" t="s">
        <v>65</v>
      </c>
      <c r="P99" s="9">
        <v>46044</v>
      </c>
      <c r="Q99">
        <f t="shared" si="6"/>
        <v>234.34</v>
      </c>
    </row>
    <row r="100" spans="1:17" x14ac:dyDescent="0.25">
      <c r="A100" s="3" t="s">
        <v>115</v>
      </c>
      <c r="B100" s="3" t="str">
        <f t="shared" si="7"/>
        <v>AMZN</v>
      </c>
      <c r="C100" s="3" t="str">
        <f t="shared" si="4"/>
        <v>260515</v>
      </c>
      <c r="D100" s="3" t="str">
        <f t="shared" si="5"/>
        <v>P00360000</v>
      </c>
      <c r="E100" s="38">
        <v>46044.433333333334</v>
      </c>
      <c r="F100" s="4">
        <v>360</v>
      </c>
      <c r="G100" s="49">
        <v>127.62</v>
      </c>
      <c r="H100" s="49">
        <v>124.4</v>
      </c>
      <c r="I100" s="49">
        <v>127</v>
      </c>
      <c r="J100" s="18">
        <v>-1.86</v>
      </c>
      <c r="K100" s="19">
        <v>-1.44E-2</v>
      </c>
      <c r="L100" s="49">
        <v>1</v>
      </c>
      <c r="M100" s="49">
        <v>1</v>
      </c>
      <c r="N100" s="51">
        <v>0.4551</v>
      </c>
      <c r="O100" t="s">
        <v>65</v>
      </c>
      <c r="P100" s="9">
        <v>46044</v>
      </c>
      <c r="Q100">
        <f t="shared" si="6"/>
        <v>234.34</v>
      </c>
    </row>
    <row r="101" spans="1:17" x14ac:dyDescent="0.25">
      <c r="A101" s="3" t="s">
        <v>116</v>
      </c>
      <c r="B101" s="3" t="str">
        <f t="shared" si="7"/>
        <v>AMZN</v>
      </c>
      <c r="C101" s="3" t="str">
        <f t="shared" si="4"/>
        <v>260515</v>
      </c>
      <c r="D101" s="3" t="str">
        <f t="shared" si="5"/>
        <v>P00370000</v>
      </c>
      <c r="E101" s="38">
        <v>46037.661805555559</v>
      </c>
      <c r="F101" s="4">
        <v>370</v>
      </c>
      <c r="G101" s="49">
        <v>130.66999999999999</v>
      </c>
      <c r="H101" s="49">
        <v>134.4</v>
      </c>
      <c r="I101" s="49">
        <v>137</v>
      </c>
      <c r="J101" s="18">
        <v>0</v>
      </c>
      <c r="K101" s="19">
        <v>0</v>
      </c>
      <c r="L101" s="49">
        <v>1</v>
      </c>
      <c r="M101" s="49">
        <v>0</v>
      </c>
      <c r="N101" s="51">
        <v>0.47720000000000001</v>
      </c>
      <c r="O101" t="s">
        <v>65</v>
      </c>
      <c r="P101" s="9">
        <v>46044</v>
      </c>
      <c r="Q101">
        <f t="shared" si="6"/>
        <v>234.34</v>
      </c>
    </row>
    <row r="102" spans="1:17" x14ac:dyDescent="0.25">
      <c r="A102" s="1" t="s">
        <v>0</v>
      </c>
      <c r="B102" s="3" t="str">
        <f t="shared" si="7"/>
        <v>Cont</v>
      </c>
      <c r="C102" s="3" t="str">
        <f t="shared" si="4"/>
        <v>ract N</v>
      </c>
      <c r="D102" s="3" t="str">
        <f t="shared" si="5"/>
        <v>ame</v>
      </c>
      <c r="E102" s="37" t="s">
        <v>1</v>
      </c>
      <c r="F102" s="2" t="s">
        <v>2</v>
      </c>
      <c r="G102" s="37" t="s">
        <v>3</v>
      </c>
      <c r="H102" s="37" t="s">
        <v>4</v>
      </c>
      <c r="I102" s="37" t="s">
        <v>5</v>
      </c>
      <c r="J102" s="14" t="s">
        <v>6</v>
      </c>
      <c r="K102" s="14" t="s">
        <v>7</v>
      </c>
      <c r="L102" s="37" t="s">
        <v>8</v>
      </c>
      <c r="M102" s="37" t="s">
        <v>9</v>
      </c>
      <c r="N102" s="37" t="s">
        <v>10</v>
      </c>
      <c r="O102" t="s">
        <v>62</v>
      </c>
      <c r="P102" s="9">
        <v>46051</v>
      </c>
      <c r="Q102">
        <v>241.73</v>
      </c>
    </row>
    <row r="103" spans="1:17" x14ac:dyDescent="0.25">
      <c r="A103" s="3" t="s">
        <v>117</v>
      </c>
      <c r="B103" s="3" t="str">
        <f t="shared" si="7"/>
        <v>AMZN</v>
      </c>
      <c r="C103" s="3" t="str">
        <f t="shared" si="4"/>
        <v>260515</v>
      </c>
      <c r="D103" s="3" t="str">
        <f t="shared" si="5"/>
        <v>C00105000</v>
      </c>
      <c r="E103" s="38">
        <v>46035.424305555556</v>
      </c>
      <c r="F103" s="4">
        <v>105</v>
      </c>
      <c r="G103" s="49">
        <v>142.07</v>
      </c>
      <c r="H103" s="49">
        <v>136.5</v>
      </c>
      <c r="I103" s="49">
        <v>140.1</v>
      </c>
      <c r="J103" s="18">
        <v>0</v>
      </c>
      <c r="K103" s="19">
        <v>0</v>
      </c>
      <c r="L103" s="49">
        <v>2</v>
      </c>
      <c r="M103" s="49">
        <v>21</v>
      </c>
      <c r="N103" s="51">
        <v>0.93120000000000003</v>
      </c>
      <c r="O103" t="s">
        <v>62</v>
      </c>
      <c r="P103" s="9">
        <v>46051</v>
      </c>
      <c r="Q103">
        <v>241.73</v>
      </c>
    </row>
    <row r="104" spans="1:17" x14ac:dyDescent="0.25">
      <c r="A104" s="3" t="s">
        <v>118</v>
      </c>
      <c r="B104" s="3" t="str">
        <f t="shared" si="7"/>
        <v>AMZN</v>
      </c>
      <c r="C104" s="3" t="str">
        <f t="shared" si="4"/>
        <v>260515</v>
      </c>
      <c r="D104" s="3" t="str">
        <f t="shared" si="5"/>
        <v>C00110000</v>
      </c>
      <c r="E104" s="38">
        <v>46043.491666666669</v>
      </c>
      <c r="F104" s="4">
        <v>110</v>
      </c>
      <c r="G104" s="49">
        <v>120</v>
      </c>
      <c r="H104" s="49">
        <v>131.6</v>
      </c>
      <c r="I104" s="49">
        <v>135.15</v>
      </c>
      <c r="J104" s="18">
        <v>0</v>
      </c>
      <c r="K104" s="19">
        <v>0</v>
      </c>
      <c r="L104" s="49">
        <v>2</v>
      </c>
      <c r="M104" s="49">
        <v>32</v>
      </c>
      <c r="N104" s="51">
        <v>0.89329999999999998</v>
      </c>
      <c r="O104" t="s">
        <v>62</v>
      </c>
      <c r="P104" s="9">
        <v>46051</v>
      </c>
      <c r="Q104">
        <v>241.73</v>
      </c>
    </row>
    <row r="105" spans="1:17" x14ac:dyDescent="0.25">
      <c r="A105" s="3" t="s">
        <v>119</v>
      </c>
      <c r="B105" s="3" t="str">
        <f t="shared" si="7"/>
        <v>AMZN</v>
      </c>
      <c r="C105" s="3" t="str">
        <f t="shared" si="4"/>
        <v>260515</v>
      </c>
      <c r="D105" s="3" t="str">
        <f t="shared" si="5"/>
        <v>C00115000</v>
      </c>
      <c r="E105" s="38">
        <v>46017.578472222223</v>
      </c>
      <c r="F105" s="4">
        <v>115</v>
      </c>
      <c r="G105" s="49">
        <v>119.81</v>
      </c>
      <c r="H105" s="49">
        <v>126.7</v>
      </c>
      <c r="I105" s="49">
        <v>130.25</v>
      </c>
      <c r="J105" s="18">
        <v>0</v>
      </c>
      <c r="K105" s="19">
        <v>0</v>
      </c>
      <c r="L105" s="49">
        <v>1</v>
      </c>
      <c r="M105" s="49">
        <v>39</v>
      </c>
      <c r="N105" s="51">
        <v>0.85940000000000005</v>
      </c>
      <c r="O105" t="s">
        <v>62</v>
      </c>
      <c r="P105" s="9">
        <v>46051</v>
      </c>
      <c r="Q105">
        <v>241.73</v>
      </c>
    </row>
    <row r="106" spans="1:17" x14ac:dyDescent="0.25">
      <c r="A106" s="3" t="s">
        <v>120</v>
      </c>
      <c r="B106" s="3" t="str">
        <f t="shared" si="7"/>
        <v>AMZN</v>
      </c>
      <c r="C106" s="3" t="str">
        <f t="shared" si="4"/>
        <v>260515</v>
      </c>
      <c r="D106" s="3" t="str">
        <f t="shared" si="5"/>
        <v>C00120000</v>
      </c>
      <c r="E106" s="38">
        <v>46048.55972222222</v>
      </c>
      <c r="F106" s="4">
        <v>120</v>
      </c>
      <c r="G106" s="49">
        <v>121</v>
      </c>
      <c r="H106" s="49">
        <v>122.25</v>
      </c>
      <c r="I106" s="49">
        <v>124.85</v>
      </c>
      <c r="J106" s="18">
        <v>0</v>
      </c>
      <c r="K106" s="19">
        <v>0</v>
      </c>
      <c r="L106" s="49">
        <v>2</v>
      </c>
      <c r="M106" s="52">
        <v>2247</v>
      </c>
      <c r="N106" s="51">
        <v>0.82350000000000001</v>
      </c>
      <c r="O106" t="s">
        <v>62</v>
      </c>
      <c r="P106" s="9">
        <v>46051</v>
      </c>
      <c r="Q106">
        <v>241.73</v>
      </c>
    </row>
    <row r="107" spans="1:17" x14ac:dyDescent="0.25">
      <c r="A107" s="3" t="s">
        <v>121</v>
      </c>
      <c r="B107" s="3" t="str">
        <f t="shared" si="7"/>
        <v>AMZN</v>
      </c>
      <c r="C107" s="3" t="str">
        <f t="shared" si="4"/>
        <v>260515</v>
      </c>
      <c r="D107" s="3" t="str">
        <f t="shared" si="5"/>
        <v>C00125000</v>
      </c>
      <c r="E107" s="38">
        <v>46009.511805555558</v>
      </c>
      <c r="F107" s="4">
        <v>125</v>
      </c>
      <c r="G107" s="49">
        <v>103.99</v>
      </c>
      <c r="H107" s="49">
        <v>116.9</v>
      </c>
      <c r="I107" s="49">
        <v>120.5</v>
      </c>
      <c r="J107" s="18">
        <v>0</v>
      </c>
      <c r="K107" s="19">
        <v>0</v>
      </c>
      <c r="L107" s="49">
        <v>1</v>
      </c>
      <c r="M107" s="49">
        <v>41</v>
      </c>
      <c r="N107" s="51">
        <v>0.79549999999999998</v>
      </c>
      <c r="O107" t="s">
        <v>62</v>
      </c>
      <c r="P107" s="9">
        <v>46051</v>
      </c>
      <c r="Q107">
        <v>241.73</v>
      </c>
    </row>
    <row r="108" spans="1:17" x14ac:dyDescent="0.25">
      <c r="A108" s="3" t="s">
        <v>122</v>
      </c>
      <c r="B108" s="3" t="str">
        <f t="shared" si="7"/>
        <v>AMZN</v>
      </c>
      <c r="C108" s="3" t="str">
        <f t="shared" si="4"/>
        <v>260515</v>
      </c>
      <c r="D108" s="3" t="str">
        <f t="shared" si="5"/>
        <v>C00130000</v>
      </c>
      <c r="E108" s="38">
        <v>46031.40625</v>
      </c>
      <c r="F108" s="4">
        <v>130</v>
      </c>
      <c r="G108" s="49">
        <v>116.45</v>
      </c>
      <c r="H108" s="49">
        <v>112.05</v>
      </c>
      <c r="I108" s="49">
        <v>115.6</v>
      </c>
      <c r="J108" s="18">
        <v>0</v>
      </c>
      <c r="K108" s="19">
        <v>0</v>
      </c>
      <c r="L108" s="49">
        <v>1</v>
      </c>
      <c r="M108" s="49">
        <v>63</v>
      </c>
      <c r="N108" s="51">
        <v>0.76539999999999997</v>
      </c>
      <c r="O108" t="s">
        <v>62</v>
      </c>
      <c r="P108" s="9">
        <v>46051</v>
      </c>
      <c r="Q108">
        <v>241.73</v>
      </c>
    </row>
    <row r="109" spans="1:17" x14ac:dyDescent="0.25">
      <c r="A109" s="3" t="s">
        <v>123</v>
      </c>
      <c r="B109" s="3" t="str">
        <f t="shared" si="7"/>
        <v>AMZN</v>
      </c>
      <c r="C109" s="3" t="str">
        <f t="shared" si="4"/>
        <v>260515</v>
      </c>
      <c r="D109" s="3" t="str">
        <f t="shared" si="5"/>
        <v>C00135000</v>
      </c>
      <c r="E109" s="38">
        <v>46043.602083333331</v>
      </c>
      <c r="F109" s="4">
        <v>135</v>
      </c>
      <c r="G109" s="49">
        <v>95.6</v>
      </c>
      <c r="H109" s="49">
        <v>107.6</v>
      </c>
      <c r="I109" s="49">
        <v>110.5</v>
      </c>
      <c r="J109" s="18">
        <v>0</v>
      </c>
      <c r="K109" s="19">
        <v>0</v>
      </c>
      <c r="L109" s="49">
        <v>1</v>
      </c>
      <c r="M109" s="49">
        <v>28</v>
      </c>
      <c r="N109" s="51">
        <v>0.74319999999999997</v>
      </c>
      <c r="O109" t="s">
        <v>62</v>
      </c>
      <c r="P109" s="9">
        <v>46051</v>
      </c>
      <c r="Q109">
        <v>241.73</v>
      </c>
    </row>
    <row r="110" spans="1:17" x14ac:dyDescent="0.25">
      <c r="A110" s="3" t="s">
        <v>124</v>
      </c>
      <c r="B110" s="3" t="str">
        <f t="shared" si="7"/>
        <v>AMZN</v>
      </c>
      <c r="C110" s="3" t="str">
        <f t="shared" si="4"/>
        <v>260515</v>
      </c>
      <c r="D110" s="3" t="str">
        <f t="shared" si="5"/>
        <v>C00140000</v>
      </c>
      <c r="E110" s="38">
        <v>46051.418749999997</v>
      </c>
      <c r="F110" s="4">
        <v>140</v>
      </c>
      <c r="G110" s="49">
        <v>100.3</v>
      </c>
      <c r="H110" s="49">
        <v>102.75</v>
      </c>
      <c r="I110" s="49">
        <v>105.4</v>
      </c>
      <c r="J110" s="18">
        <v>-6.26</v>
      </c>
      <c r="K110" s="19">
        <v>-5.8700000000000002E-2</v>
      </c>
      <c r="L110" s="49">
        <v>2</v>
      </c>
      <c r="M110" s="49">
        <v>23</v>
      </c>
      <c r="N110" s="51">
        <v>0.70609999999999995</v>
      </c>
      <c r="O110" t="s">
        <v>62</v>
      </c>
      <c r="P110" s="9">
        <v>46051</v>
      </c>
      <c r="Q110">
        <v>241.73</v>
      </c>
    </row>
    <row r="111" spans="1:17" x14ac:dyDescent="0.25">
      <c r="A111" s="3" t="s">
        <v>125</v>
      </c>
      <c r="B111" s="3" t="str">
        <f t="shared" si="7"/>
        <v>AMZN</v>
      </c>
      <c r="C111" s="3" t="str">
        <f t="shared" si="4"/>
        <v>260515</v>
      </c>
      <c r="D111" s="3" t="str">
        <f t="shared" si="5"/>
        <v>C00145000</v>
      </c>
      <c r="E111" s="38">
        <v>46037.413888888892</v>
      </c>
      <c r="F111" s="4">
        <v>145</v>
      </c>
      <c r="G111" s="49">
        <v>98.69</v>
      </c>
      <c r="H111" s="49">
        <v>97.95</v>
      </c>
      <c r="I111" s="49">
        <v>100.55</v>
      </c>
      <c r="J111" s="18">
        <v>3.13</v>
      </c>
      <c r="K111" s="19">
        <v>3.2800000000000003E-2</v>
      </c>
      <c r="L111" s="49">
        <v>1</v>
      </c>
      <c r="M111" s="49">
        <v>3</v>
      </c>
      <c r="N111" s="51">
        <v>0.68010000000000004</v>
      </c>
      <c r="O111" t="s">
        <v>62</v>
      </c>
      <c r="P111" s="9">
        <v>46051</v>
      </c>
      <c r="Q111">
        <v>241.73</v>
      </c>
    </row>
    <row r="112" spans="1:17" x14ac:dyDescent="0.25">
      <c r="A112" s="3" t="s">
        <v>126</v>
      </c>
      <c r="B112" s="3" t="str">
        <f t="shared" si="7"/>
        <v>AMZN</v>
      </c>
      <c r="C112" s="3" t="str">
        <f t="shared" si="4"/>
        <v>260515</v>
      </c>
      <c r="D112" s="3" t="str">
        <f t="shared" si="5"/>
        <v>C00150000</v>
      </c>
      <c r="E112" s="38">
        <v>46051.40347222222</v>
      </c>
      <c r="F112" s="4">
        <v>150</v>
      </c>
      <c r="G112" s="49">
        <v>95.06</v>
      </c>
      <c r="H112" s="49">
        <v>93.1</v>
      </c>
      <c r="I112" s="49">
        <v>95.75</v>
      </c>
      <c r="J112" s="18">
        <v>3.28</v>
      </c>
      <c r="K112" s="19">
        <v>3.5700000000000003E-2</v>
      </c>
      <c r="L112" s="49">
        <v>4</v>
      </c>
      <c r="M112" s="49">
        <v>82</v>
      </c>
      <c r="N112" s="51">
        <v>0.65390000000000004</v>
      </c>
      <c r="O112" t="s">
        <v>62</v>
      </c>
      <c r="P112" s="9">
        <v>46051</v>
      </c>
      <c r="Q112">
        <v>241.73</v>
      </c>
    </row>
    <row r="113" spans="1:17" x14ac:dyDescent="0.25">
      <c r="A113" s="3" t="s">
        <v>127</v>
      </c>
      <c r="B113" s="3" t="str">
        <f t="shared" si="7"/>
        <v>AMZN</v>
      </c>
      <c r="C113" s="3" t="str">
        <f t="shared" si="4"/>
        <v>260515</v>
      </c>
      <c r="D113" s="3" t="str">
        <f t="shared" si="5"/>
        <v>C00155000</v>
      </c>
      <c r="E113" s="38">
        <v>46051.592361111114</v>
      </c>
      <c r="F113" s="4">
        <v>155</v>
      </c>
      <c r="G113" s="49">
        <v>87.39</v>
      </c>
      <c r="H113" s="49">
        <v>88.3</v>
      </c>
      <c r="I113" s="49">
        <v>90.95</v>
      </c>
      <c r="J113" s="18">
        <v>10.64</v>
      </c>
      <c r="K113" s="19">
        <v>0.1386</v>
      </c>
      <c r="L113" s="49">
        <v>1</v>
      </c>
      <c r="M113" s="49">
        <v>86</v>
      </c>
      <c r="N113" s="51">
        <v>0.62919999999999998</v>
      </c>
      <c r="O113" t="s">
        <v>62</v>
      </c>
      <c r="P113" s="9">
        <v>46051</v>
      </c>
      <c r="Q113">
        <v>241.73</v>
      </c>
    </row>
    <row r="114" spans="1:17" x14ac:dyDescent="0.25">
      <c r="A114" s="3" t="s">
        <v>128</v>
      </c>
      <c r="B114" s="3" t="str">
        <f t="shared" si="7"/>
        <v>AMZN</v>
      </c>
      <c r="C114" s="3" t="str">
        <f t="shared" si="4"/>
        <v>260515</v>
      </c>
      <c r="D114" s="3" t="str">
        <f t="shared" si="5"/>
        <v>C00160000</v>
      </c>
      <c r="E114" s="38">
        <v>46048.446527777778</v>
      </c>
      <c r="F114" s="4">
        <v>160</v>
      </c>
      <c r="G114" s="49">
        <v>82.09</v>
      </c>
      <c r="H114" s="49">
        <v>83.55</v>
      </c>
      <c r="I114" s="49">
        <v>86.1</v>
      </c>
      <c r="J114" s="18">
        <v>0</v>
      </c>
      <c r="K114" s="19">
        <v>0</v>
      </c>
      <c r="L114" s="49">
        <v>1</v>
      </c>
      <c r="M114" s="49">
        <v>140</v>
      </c>
      <c r="N114" s="51">
        <v>0.60399999999999998</v>
      </c>
      <c r="O114" t="s">
        <v>62</v>
      </c>
      <c r="P114" s="9">
        <v>46051</v>
      </c>
      <c r="Q114">
        <v>241.73</v>
      </c>
    </row>
    <row r="115" spans="1:17" x14ac:dyDescent="0.25">
      <c r="A115" s="3" t="s">
        <v>129</v>
      </c>
      <c r="B115" s="3" t="str">
        <f t="shared" si="7"/>
        <v>AMZN</v>
      </c>
      <c r="C115" s="3" t="str">
        <f t="shared" si="4"/>
        <v>260515</v>
      </c>
      <c r="D115" s="3" t="str">
        <f t="shared" si="5"/>
        <v>C00165000</v>
      </c>
      <c r="E115" s="38">
        <v>46042.647916666669</v>
      </c>
      <c r="F115" s="4">
        <v>165</v>
      </c>
      <c r="G115" s="49">
        <v>69.45</v>
      </c>
      <c r="H115" s="49">
        <v>78.8</v>
      </c>
      <c r="I115" s="49">
        <v>81.25</v>
      </c>
      <c r="J115" s="18">
        <v>0</v>
      </c>
      <c r="K115" s="19">
        <v>0</v>
      </c>
      <c r="L115" s="49">
        <v>1</v>
      </c>
      <c r="M115" s="49">
        <v>118</v>
      </c>
      <c r="N115" s="51">
        <v>0.57850000000000001</v>
      </c>
      <c r="O115" t="s">
        <v>62</v>
      </c>
      <c r="P115" s="9">
        <v>46051</v>
      </c>
      <c r="Q115">
        <v>241.73</v>
      </c>
    </row>
    <row r="116" spans="1:17" x14ac:dyDescent="0.25">
      <c r="A116" s="3" t="s">
        <v>130</v>
      </c>
      <c r="B116" s="3" t="str">
        <f t="shared" si="7"/>
        <v>AMZN</v>
      </c>
      <c r="C116" s="3" t="str">
        <f t="shared" ref="C116:C179" si="8">+MID(A116,5,6)</f>
        <v>260515</v>
      </c>
      <c r="D116" s="3" t="str">
        <f t="shared" ref="D116:D179" si="9">+MID(A116,11,10)</f>
        <v>C00170000</v>
      </c>
      <c r="E116" s="38">
        <v>46051.638194444444</v>
      </c>
      <c r="F116" s="4">
        <v>170</v>
      </c>
      <c r="G116" s="49">
        <v>73.61</v>
      </c>
      <c r="H116" s="49">
        <v>74.099999999999994</v>
      </c>
      <c r="I116" s="49">
        <v>76.75</v>
      </c>
      <c r="J116" s="18">
        <v>6.81</v>
      </c>
      <c r="K116" s="19">
        <v>0.1019</v>
      </c>
      <c r="L116" s="49">
        <v>1</v>
      </c>
      <c r="M116" s="49">
        <v>92</v>
      </c>
      <c r="N116" s="51">
        <v>0.56200000000000006</v>
      </c>
      <c r="O116" t="s">
        <v>62</v>
      </c>
      <c r="P116" s="9">
        <v>46051</v>
      </c>
      <c r="Q116">
        <v>241.73</v>
      </c>
    </row>
    <row r="117" spans="1:17" x14ac:dyDescent="0.25">
      <c r="A117" s="3" t="s">
        <v>131</v>
      </c>
      <c r="B117" s="3" t="str">
        <f t="shared" si="7"/>
        <v>AMZN</v>
      </c>
      <c r="C117" s="3" t="str">
        <f t="shared" si="8"/>
        <v>260515</v>
      </c>
      <c r="D117" s="3" t="str">
        <f t="shared" si="9"/>
        <v>C00175000</v>
      </c>
      <c r="E117" s="38">
        <v>46051.630555555559</v>
      </c>
      <c r="F117" s="4">
        <v>175</v>
      </c>
      <c r="G117" s="49">
        <v>68.7</v>
      </c>
      <c r="H117" s="49">
        <v>69.650000000000006</v>
      </c>
      <c r="I117" s="49">
        <v>72</v>
      </c>
      <c r="J117" s="18">
        <v>0</v>
      </c>
      <c r="K117" s="19">
        <v>0</v>
      </c>
      <c r="L117" s="49">
        <v>55</v>
      </c>
      <c r="M117" s="49">
        <v>228</v>
      </c>
      <c r="N117" s="51">
        <v>0.54390000000000005</v>
      </c>
      <c r="O117" t="s">
        <v>62</v>
      </c>
      <c r="P117" s="9">
        <v>46051</v>
      </c>
      <c r="Q117">
        <v>241.73</v>
      </c>
    </row>
    <row r="118" spans="1:17" x14ac:dyDescent="0.25">
      <c r="A118" s="3" t="s">
        <v>132</v>
      </c>
      <c r="B118" s="3" t="str">
        <f t="shared" si="7"/>
        <v>AMZN</v>
      </c>
      <c r="C118" s="3" t="str">
        <f t="shared" si="8"/>
        <v>260515</v>
      </c>
      <c r="D118" s="3" t="str">
        <f t="shared" si="9"/>
        <v>C00180000</v>
      </c>
      <c r="E118" s="38">
        <v>46050.534722222219</v>
      </c>
      <c r="F118" s="4">
        <v>180</v>
      </c>
      <c r="G118" s="49">
        <v>67.319999999999993</v>
      </c>
      <c r="H118" s="49">
        <v>65.55</v>
      </c>
      <c r="I118" s="49">
        <v>67.099999999999994</v>
      </c>
      <c r="J118" s="18">
        <v>0</v>
      </c>
      <c r="K118" s="19">
        <v>0</v>
      </c>
      <c r="L118" s="49">
        <v>82</v>
      </c>
      <c r="M118" s="49">
        <v>249</v>
      </c>
      <c r="N118" s="51">
        <v>0.52829999999999999</v>
      </c>
      <c r="O118" t="s">
        <v>62</v>
      </c>
      <c r="P118" s="9">
        <v>46051</v>
      </c>
      <c r="Q118">
        <v>241.73</v>
      </c>
    </row>
    <row r="119" spans="1:17" x14ac:dyDescent="0.25">
      <c r="A119" s="3" t="s">
        <v>133</v>
      </c>
      <c r="B119" s="3" t="str">
        <f t="shared" si="7"/>
        <v>AMZN</v>
      </c>
      <c r="C119" s="3" t="str">
        <f t="shared" si="8"/>
        <v>260515</v>
      </c>
      <c r="D119" s="3" t="str">
        <f t="shared" si="9"/>
        <v>C00185000</v>
      </c>
      <c r="E119" s="38">
        <v>46048.413888888892</v>
      </c>
      <c r="F119" s="4">
        <v>185</v>
      </c>
      <c r="G119" s="49">
        <v>59.05</v>
      </c>
      <c r="H119" s="49">
        <v>61.1</v>
      </c>
      <c r="I119" s="49">
        <v>62.15</v>
      </c>
      <c r="J119" s="18">
        <v>0</v>
      </c>
      <c r="K119" s="19">
        <v>0</v>
      </c>
      <c r="L119" s="49">
        <v>1</v>
      </c>
      <c r="M119" s="49">
        <v>228</v>
      </c>
      <c r="N119" s="51">
        <v>0.50380000000000003</v>
      </c>
      <c r="O119" t="s">
        <v>62</v>
      </c>
      <c r="P119" s="9">
        <v>46051</v>
      </c>
      <c r="Q119">
        <v>241.73</v>
      </c>
    </row>
    <row r="120" spans="1:17" x14ac:dyDescent="0.25">
      <c r="A120" s="3" t="s">
        <v>134</v>
      </c>
      <c r="B120" s="3" t="str">
        <f t="shared" si="7"/>
        <v>AMZN</v>
      </c>
      <c r="C120" s="3" t="str">
        <f t="shared" si="8"/>
        <v>260515</v>
      </c>
      <c r="D120" s="3" t="str">
        <f t="shared" si="9"/>
        <v>C00190000</v>
      </c>
      <c r="E120" s="38">
        <v>46051.54791666667</v>
      </c>
      <c r="F120" s="4">
        <v>190</v>
      </c>
      <c r="G120" s="49">
        <v>55.1</v>
      </c>
      <c r="H120" s="49">
        <v>56.7</v>
      </c>
      <c r="I120" s="49">
        <v>58.15</v>
      </c>
      <c r="J120" s="18">
        <v>-3.06</v>
      </c>
      <c r="K120" s="19">
        <v>-5.2600000000000001E-2</v>
      </c>
      <c r="L120" s="49">
        <v>1</v>
      </c>
      <c r="M120" s="49">
        <v>233</v>
      </c>
      <c r="N120" s="51">
        <v>0.51870000000000005</v>
      </c>
      <c r="O120" t="s">
        <v>62</v>
      </c>
      <c r="P120" s="9">
        <v>46051</v>
      </c>
      <c r="Q120">
        <v>241.73</v>
      </c>
    </row>
    <row r="121" spans="1:17" x14ac:dyDescent="0.25">
      <c r="A121" s="3" t="s">
        <v>135</v>
      </c>
      <c r="B121" s="3" t="str">
        <f t="shared" si="7"/>
        <v>AMZN</v>
      </c>
      <c r="C121" s="3" t="str">
        <f t="shared" si="8"/>
        <v>260515</v>
      </c>
      <c r="D121" s="3" t="str">
        <f t="shared" si="9"/>
        <v>C00195000</v>
      </c>
      <c r="E121" s="38">
        <v>46050.572916666664</v>
      </c>
      <c r="F121" s="4">
        <v>195</v>
      </c>
      <c r="G121" s="49">
        <v>50.65</v>
      </c>
      <c r="H121" s="49">
        <v>52.35</v>
      </c>
      <c r="I121" s="49">
        <v>53.7</v>
      </c>
      <c r="J121" s="18">
        <v>-3.38</v>
      </c>
      <c r="K121" s="19">
        <v>-6.2600000000000003E-2</v>
      </c>
      <c r="L121" s="49">
        <v>1</v>
      </c>
      <c r="M121" s="49">
        <v>149</v>
      </c>
      <c r="N121" s="51">
        <v>0.49809999999999999</v>
      </c>
      <c r="O121" t="s">
        <v>62</v>
      </c>
      <c r="P121" s="9">
        <v>46051</v>
      </c>
      <c r="Q121">
        <v>241.73</v>
      </c>
    </row>
    <row r="122" spans="1:17" x14ac:dyDescent="0.25">
      <c r="A122" s="3" t="s">
        <v>136</v>
      </c>
      <c r="B122" s="3" t="str">
        <f t="shared" si="7"/>
        <v>AMZN</v>
      </c>
      <c r="C122" s="3" t="str">
        <f t="shared" si="8"/>
        <v>260515</v>
      </c>
      <c r="D122" s="3" t="str">
        <f t="shared" si="9"/>
        <v>C00200000</v>
      </c>
      <c r="E122" s="38">
        <v>46051.652083333334</v>
      </c>
      <c r="F122" s="4">
        <v>200</v>
      </c>
      <c r="G122" s="49">
        <v>48.3</v>
      </c>
      <c r="H122" s="49">
        <v>48.35</v>
      </c>
      <c r="I122" s="49">
        <v>49.3</v>
      </c>
      <c r="J122" s="18">
        <v>-1.2</v>
      </c>
      <c r="K122" s="19">
        <v>-2.4199999999999999E-2</v>
      </c>
      <c r="L122" s="49">
        <v>164</v>
      </c>
      <c r="M122" s="49">
        <v>700</v>
      </c>
      <c r="N122" s="51">
        <v>0.47770000000000001</v>
      </c>
      <c r="O122" t="s">
        <v>62</v>
      </c>
      <c r="P122" s="9">
        <v>46051</v>
      </c>
      <c r="Q122">
        <v>241.73</v>
      </c>
    </row>
    <row r="123" spans="1:17" x14ac:dyDescent="0.25">
      <c r="A123" s="3" t="s">
        <v>137</v>
      </c>
      <c r="B123" s="3" t="str">
        <f t="shared" si="7"/>
        <v>AMZN</v>
      </c>
      <c r="C123" s="3" t="str">
        <f t="shared" si="8"/>
        <v>260515</v>
      </c>
      <c r="D123" s="3" t="str">
        <f t="shared" si="9"/>
        <v>C00205000</v>
      </c>
      <c r="E123" s="38">
        <v>46051.417361111111</v>
      </c>
      <c r="F123" s="4">
        <v>205</v>
      </c>
      <c r="G123" s="49">
        <v>43.15</v>
      </c>
      <c r="H123" s="49">
        <v>44.45</v>
      </c>
      <c r="I123" s="49">
        <v>45.2</v>
      </c>
      <c r="J123" s="18">
        <v>-2.98</v>
      </c>
      <c r="K123" s="19">
        <v>-6.4600000000000005E-2</v>
      </c>
      <c r="L123" s="49">
        <v>2</v>
      </c>
      <c r="M123" s="49">
        <v>452</v>
      </c>
      <c r="N123" s="51">
        <v>0.46360000000000001</v>
      </c>
      <c r="O123" t="s">
        <v>62</v>
      </c>
      <c r="P123" s="9">
        <v>46051</v>
      </c>
      <c r="Q123">
        <v>241.73</v>
      </c>
    </row>
    <row r="124" spans="1:17" x14ac:dyDescent="0.25">
      <c r="A124" s="3" t="s">
        <v>138</v>
      </c>
      <c r="B124" s="3" t="str">
        <f t="shared" si="7"/>
        <v>AMZN</v>
      </c>
      <c r="C124" s="3" t="str">
        <f t="shared" si="8"/>
        <v>260515</v>
      </c>
      <c r="D124" s="3" t="str">
        <f t="shared" si="9"/>
        <v>C00210000</v>
      </c>
      <c r="E124" s="38">
        <v>46051.453472222223</v>
      </c>
      <c r="F124" s="4">
        <v>210</v>
      </c>
      <c r="G124" s="49">
        <v>37.25</v>
      </c>
      <c r="H124" s="49">
        <v>40.049999999999997</v>
      </c>
      <c r="I124" s="49">
        <v>41.15</v>
      </c>
      <c r="J124" s="18">
        <v>-4.1900000000000004</v>
      </c>
      <c r="K124" s="19">
        <v>-0.1011</v>
      </c>
      <c r="L124" s="49">
        <v>10</v>
      </c>
      <c r="M124" s="52">
        <v>3711</v>
      </c>
      <c r="N124" s="51">
        <v>0.44850000000000001</v>
      </c>
      <c r="O124" t="s">
        <v>62</v>
      </c>
      <c r="P124" s="9">
        <v>46051</v>
      </c>
      <c r="Q124">
        <v>241.73</v>
      </c>
    </row>
    <row r="125" spans="1:17" x14ac:dyDescent="0.25">
      <c r="A125" s="3" t="s">
        <v>139</v>
      </c>
      <c r="B125" s="3" t="str">
        <f t="shared" si="7"/>
        <v>AMZN</v>
      </c>
      <c r="C125" s="3" t="str">
        <f t="shared" si="8"/>
        <v>260515</v>
      </c>
      <c r="D125" s="3" t="str">
        <f t="shared" si="9"/>
        <v>C00215000</v>
      </c>
      <c r="E125" s="38">
        <v>46051.561111111114</v>
      </c>
      <c r="F125" s="4">
        <v>215</v>
      </c>
      <c r="G125" s="49">
        <v>35.549999999999997</v>
      </c>
      <c r="H125" s="49">
        <v>36.35</v>
      </c>
      <c r="I125" s="49">
        <v>37.549999999999997</v>
      </c>
      <c r="J125" s="18">
        <v>-2.87</v>
      </c>
      <c r="K125" s="19">
        <v>-7.4700000000000003E-2</v>
      </c>
      <c r="L125" s="49">
        <v>7</v>
      </c>
      <c r="M125" s="49">
        <v>578</v>
      </c>
      <c r="N125" s="51">
        <v>0.4415</v>
      </c>
      <c r="O125" t="s">
        <v>62</v>
      </c>
      <c r="P125" s="9">
        <v>46051</v>
      </c>
      <c r="Q125">
        <v>241.73</v>
      </c>
    </row>
    <row r="126" spans="1:17" x14ac:dyDescent="0.25">
      <c r="A126" s="3" t="s">
        <v>140</v>
      </c>
      <c r="B126" s="3" t="str">
        <f t="shared" si="7"/>
        <v>AMZN</v>
      </c>
      <c r="C126" s="3" t="str">
        <f t="shared" si="8"/>
        <v>260515</v>
      </c>
      <c r="D126" s="3" t="str">
        <f t="shared" si="9"/>
        <v>C00220000</v>
      </c>
      <c r="E126" s="38">
        <v>46051.655555555553</v>
      </c>
      <c r="F126" s="4">
        <v>220</v>
      </c>
      <c r="G126" s="49">
        <v>33.200000000000003</v>
      </c>
      <c r="H126" s="49">
        <v>33.299999999999997</v>
      </c>
      <c r="I126" s="49">
        <v>34</v>
      </c>
      <c r="J126" s="18">
        <v>-1.65</v>
      </c>
      <c r="K126" s="19">
        <v>-4.7300000000000002E-2</v>
      </c>
      <c r="L126" s="49">
        <v>21</v>
      </c>
      <c r="M126" s="52">
        <v>3283</v>
      </c>
      <c r="N126" s="51">
        <v>0.43240000000000001</v>
      </c>
      <c r="O126" t="s">
        <v>62</v>
      </c>
      <c r="P126" s="9">
        <v>46051</v>
      </c>
      <c r="Q126">
        <v>241.73</v>
      </c>
    </row>
    <row r="127" spans="1:17" x14ac:dyDescent="0.25">
      <c r="A127" s="3" t="s">
        <v>141</v>
      </c>
      <c r="B127" s="3" t="str">
        <f t="shared" si="7"/>
        <v>AMZN</v>
      </c>
      <c r="C127" s="3" t="str">
        <f t="shared" si="8"/>
        <v>260515</v>
      </c>
      <c r="D127" s="3" t="str">
        <f t="shared" si="9"/>
        <v>C00225000</v>
      </c>
      <c r="E127" s="38">
        <v>46051.656944444447</v>
      </c>
      <c r="F127" s="4">
        <v>225</v>
      </c>
      <c r="G127" s="49">
        <v>29.95</v>
      </c>
      <c r="H127" s="49">
        <v>30</v>
      </c>
      <c r="I127" s="49">
        <v>30.6</v>
      </c>
      <c r="J127" s="18">
        <v>-0.2</v>
      </c>
      <c r="K127" s="19">
        <v>-6.6E-3</v>
      </c>
      <c r="L127" s="49">
        <v>5</v>
      </c>
      <c r="M127" s="52">
        <v>2076</v>
      </c>
      <c r="N127" s="51">
        <v>0.4234</v>
      </c>
      <c r="O127" t="s">
        <v>62</v>
      </c>
      <c r="P127" s="9">
        <v>46051</v>
      </c>
      <c r="Q127">
        <v>241.73</v>
      </c>
    </row>
    <row r="128" spans="1:17" x14ac:dyDescent="0.25">
      <c r="A128" s="3" t="s">
        <v>142</v>
      </c>
      <c r="B128" s="3" t="str">
        <f t="shared" si="7"/>
        <v>AMZN</v>
      </c>
      <c r="C128" s="3" t="str">
        <f t="shared" si="8"/>
        <v>260515</v>
      </c>
      <c r="D128" s="3" t="str">
        <f t="shared" si="9"/>
        <v>C00230000</v>
      </c>
      <c r="E128" s="38">
        <v>46051.661805555559</v>
      </c>
      <c r="F128" s="4">
        <v>230</v>
      </c>
      <c r="G128" s="49">
        <v>27.08</v>
      </c>
      <c r="H128" s="49">
        <v>26.95</v>
      </c>
      <c r="I128" s="49">
        <v>27.3</v>
      </c>
      <c r="J128" s="18">
        <v>-0.92</v>
      </c>
      <c r="K128" s="19">
        <v>-3.2899999999999999E-2</v>
      </c>
      <c r="L128" s="49">
        <v>44</v>
      </c>
      <c r="M128" s="52">
        <v>2735</v>
      </c>
      <c r="N128" s="51">
        <v>0.4133</v>
      </c>
      <c r="O128" t="s">
        <v>62</v>
      </c>
      <c r="P128" s="9">
        <v>46051</v>
      </c>
      <c r="Q128">
        <v>241.73</v>
      </c>
    </row>
    <row r="129" spans="1:17" x14ac:dyDescent="0.25">
      <c r="A129" s="3" t="s">
        <v>143</v>
      </c>
      <c r="B129" s="3" t="str">
        <f t="shared" si="7"/>
        <v>AMZN</v>
      </c>
      <c r="C129" s="3" t="str">
        <f t="shared" si="8"/>
        <v>260515</v>
      </c>
      <c r="D129" s="3" t="str">
        <f t="shared" si="9"/>
        <v>C00235000</v>
      </c>
      <c r="E129" s="38">
        <v>46051.656944444447</v>
      </c>
      <c r="F129" s="4">
        <v>235</v>
      </c>
      <c r="G129" s="49">
        <v>23.96</v>
      </c>
      <c r="H129" s="49">
        <v>23.9</v>
      </c>
      <c r="I129" s="49">
        <v>24.65</v>
      </c>
      <c r="J129" s="18">
        <v>-1.1399999999999999</v>
      </c>
      <c r="K129" s="19">
        <v>-4.5400000000000003E-2</v>
      </c>
      <c r="L129" s="49">
        <v>100</v>
      </c>
      <c r="M129" s="52">
        <v>3259</v>
      </c>
      <c r="N129" s="51">
        <v>0.4128</v>
      </c>
      <c r="O129" t="s">
        <v>62</v>
      </c>
      <c r="P129" s="9">
        <v>46051</v>
      </c>
      <c r="Q129">
        <v>241.73</v>
      </c>
    </row>
    <row r="130" spans="1:17" x14ac:dyDescent="0.25">
      <c r="A130" s="3" t="s">
        <v>144</v>
      </c>
      <c r="B130" s="3" t="str">
        <f t="shared" si="7"/>
        <v>AMZN</v>
      </c>
      <c r="C130" s="3" t="str">
        <f t="shared" si="8"/>
        <v>260515</v>
      </c>
      <c r="D130" s="3" t="str">
        <f t="shared" si="9"/>
        <v>C00240000</v>
      </c>
      <c r="E130" s="38">
        <v>46051.665972222225</v>
      </c>
      <c r="F130" s="4">
        <v>240</v>
      </c>
      <c r="G130" s="49">
        <v>21.5</v>
      </c>
      <c r="H130" s="49">
        <v>21.35</v>
      </c>
      <c r="I130" s="49">
        <v>21.55</v>
      </c>
      <c r="J130" s="18">
        <v>-0.8</v>
      </c>
      <c r="K130" s="19">
        <v>-3.5900000000000001E-2</v>
      </c>
      <c r="L130" s="49">
        <v>237</v>
      </c>
      <c r="M130" s="52">
        <v>3753</v>
      </c>
      <c r="N130" s="51">
        <v>0.39989999999999998</v>
      </c>
      <c r="O130" t="s">
        <v>62</v>
      </c>
      <c r="P130" s="9">
        <v>46051</v>
      </c>
      <c r="Q130">
        <v>241.73</v>
      </c>
    </row>
    <row r="131" spans="1:17" x14ac:dyDescent="0.25">
      <c r="A131" s="5" t="s">
        <v>145</v>
      </c>
      <c r="B131" s="3" t="str">
        <f t="shared" ref="B131:B194" si="10">+MID(A131,1,4)</f>
        <v>AMZN</v>
      </c>
      <c r="C131" s="3" t="str">
        <f t="shared" si="8"/>
        <v>260515</v>
      </c>
      <c r="D131" s="3" t="str">
        <f t="shared" si="9"/>
        <v>C00245000</v>
      </c>
      <c r="E131" s="39">
        <v>46051.661111111112</v>
      </c>
      <c r="F131" s="6">
        <v>245</v>
      </c>
      <c r="G131" s="45">
        <v>19.12</v>
      </c>
      <c r="H131" s="45">
        <v>18.850000000000001</v>
      </c>
      <c r="I131" s="45">
        <v>19.05</v>
      </c>
      <c r="J131" s="17">
        <v>-0.78</v>
      </c>
      <c r="K131" s="20">
        <v>-3.9199999999999999E-2</v>
      </c>
      <c r="L131" s="45">
        <v>305</v>
      </c>
      <c r="M131" s="53">
        <v>3118</v>
      </c>
      <c r="N131" s="54">
        <v>0.39529999999999998</v>
      </c>
      <c r="O131" t="s">
        <v>62</v>
      </c>
      <c r="P131" s="9">
        <v>46051</v>
      </c>
      <c r="Q131">
        <v>241.73</v>
      </c>
    </row>
    <row r="132" spans="1:17" x14ac:dyDescent="0.25">
      <c r="A132" s="5" t="s">
        <v>146</v>
      </c>
      <c r="B132" s="3" t="str">
        <f t="shared" si="10"/>
        <v>AMZN</v>
      </c>
      <c r="C132" s="3" t="str">
        <f t="shared" si="8"/>
        <v>260515</v>
      </c>
      <c r="D132" s="3" t="str">
        <f t="shared" si="9"/>
        <v>C00250000</v>
      </c>
      <c r="E132" s="39">
        <v>46051.663888888892</v>
      </c>
      <c r="F132" s="6">
        <v>250</v>
      </c>
      <c r="G132" s="45">
        <v>16.75</v>
      </c>
      <c r="H132" s="45">
        <v>16.600000000000001</v>
      </c>
      <c r="I132" s="45">
        <v>16.75</v>
      </c>
      <c r="J132" s="17">
        <v>-0.84</v>
      </c>
      <c r="K132" s="20">
        <v>-4.7800000000000002E-2</v>
      </c>
      <c r="L132" s="53">
        <v>1611</v>
      </c>
      <c r="M132" s="53">
        <v>19684</v>
      </c>
      <c r="N132" s="54">
        <v>0.39079999999999998</v>
      </c>
      <c r="O132" t="s">
        <v>62</v>
      </c>
      <c r="P132" s="9">
        <v>46051</v>
      </c>
      <c r="Q132">
        <v>241.73</v>
      </c>
    </row>
    <row r="133" spans="1:17" x14ac:dyDescent="0.25">
      <c r="A133" s="5" t="s">
        <v>147</v>
      </c>
      <c r="B133" s="3" t="str">
        <f t="shared" si="10"/>
        <v>AMZN</v>
      </c>
      <c r="C133" s="3" t="str">
        <f t="shared" si="8"/>
        <v>260515</v>
      </c>
      <c r="D133" s="3" t="str">
        <f t="shared" si="9"/>
        <v>C00255000</v>
      </c>
      <c r="E133" s="39">
        <v>46051.661805555559</v>
      </c>
      <c r="F133" s="6">
        <v>255</v>
      </c>
      <c r="G133" s="45">
        <v>14.6</v>
      </c>
      <c r="H133" s="45">
        <v>14.55</v>
      </c>
      <c r="I133" s="45">
        <v>14.7</v>
      </c>
      <c r="J133" s="17">
        <v>-0.72</v>
      </c>
      <c r="K133" s="20">
        <v>-4.7E-2</v>
      </c>
      <c r="L133" s="45">
        <v>163</v>
      </c>
      <c r="M133" s="53">
        <v>1916</v>
      </c>
      <c r="N133" s="54">
        <v>0.38769999999999999</v>
      </c>
      <c r="O133" t="s">
        <v>62</v>
      </c>
      <c r="P133" s="9">
        <v>46051</v>
      </c>
      <c r="Q133">
        <v>241.73</v>
      </c>
    </row>
    <row r="134" spans="1:17" x14ac:dyDescent="0.25">
      <c r="A134" s="5" t="s">
        <v>148</v>
      </c>
      <c r="B134" s="3" t="str">
        <f t="shared" si="10"/>
        <v>AMZN</v>
      </c>
      <c r="C134" s="3" t="str">
        <f t="shared" si="8"/>
        <v>260515</v>
      </c>
      <c r="D134" s="3" t="str">
        <f t="shared" si="9"/>
        <v>C00260000</v>
      </c>
      <c r="E134" s="39">
        <v>46051.660416666666</v>
      </c>
      <c r="F134" s="6">
        <v>260</v>
      </c>
      <c r="G134" s="45">
        <v>12.81</v>
      </c>
      <c r="H134" s="45">
        <v>12.65</v>
      </c>
      <c r="I134" s="45">
        <v>12.8</v>
      </c>
      <c r="J134" s="17">
        <v>-0.64</v>
      </c>
      <c r="K134" s="20">
        <v>-4.7600000000000003E-2</v>
      </c>
      <c r="L134" s="45">
        <v>542</v>
      </c>
      <c r="M134" s="53">
        <v>28476</v>
      </c>
      <c r="N134" s="54">
        <v>0.38390000000000002</v>
      </c>
      <c r="O134" t="s">
        <v>62</v>
      </c>
      <c r="P134" s="9">
        <v>46051</v>
      </c>
      <c r="Q134">
        <v>241.73</v>
      </c>
    </row>
    <row r="135" spans="1:17" x14ac:dyDescent="0.25">
      <c r="A135" s="5" t="s">
        <v>149</v>
      </c>
      <c r="B135" s="3" t="str">
        <f t="shared" si="10"/>
        <v>AMZN</v>
      </c>
      <c r="C135" s="3" t="str">
        <f t="shared" si="8"/>
        <v>260515</v>
      </c>
      <c r="D135" s="3" t="str">
        <f t="shared" si="9"/>
        <v>C00265000</v>
      </c>
      <c r="E135" s="39">
        <v>46051.649305555555</v>
      </c>
      <c r="F135" s="6">
        <v>265</v>
      </c>
      <c r="G135" s="45">
        <v>11.05</v>
      </c>
      <c r="H135" s="45">
        <v>10.95</v>
      </c>
      <c r="I135" s="45">
        <v>11.15</v>
      </c>
      <c r="J135" s="17">
        <v>-0.4</v>
      </c>
      <c r="K135" s="20">
        <v>-3.49E-2</v>
      </c>
      <c r="L135" s="45">
        <v>185</v>
      </c>
      <c r="M135" s="53">
        <v>1884</v>
      </c>
      <c r="N135" s="54">
        <v>0.38169999999999998</v>
      </c>
      <c r="O135" t="s">
        <v>62</v>
      </c>
      <c r="P135" s="9">
        <v>46051</v>
      </c>
      <c r="Q135">
        <v>241.73</v>
      </c>
    </row>
    <row r="136" spans="1:17" x14ac:dyDescent="0.25">
      <c r="A136" s="5" t="s">
        <v>150</v>
      </c>
      <c r="B136" s="3" t="str">
        <f t="shared" si="10"/>
        <v>AMZN</v>
      </c>
      <c r="C136" s="3" t="str">
        <f t="shared" si="8"/>
        <v>260515</v>
      </c>
      <c r="D136" s="3" t="str">
        <f t="shared" si="9"/>
        <v>C00270000</v>
      </c>
      <c r="E136" s="39">
        <v>46051.65347222222</v>
      </c>
      <c r="F136" s="6">
        <v>270</v>
      </c>
      <c r="G136" s="45">
        <v>9.4</v>
      </c>
      <c r="H136" s="45">
        <v>9.4499999999999993</v>
      </c>
      <c r="I136" s="45">
        <v>9.65</v>
      </c>
      <c r="J136" s="17">
        <v>-0.6</v>
      </c>
      <c r="K136" s="20">
        <v>-0.06</v>
      </c>
      <c r="L136" s="45">
        <v>439</v>
      </c>
      <c r="M136" s="53">
        <v>5331</v>
      </c>
      <c r="N136" s="54">
        <v>0.37909999999999999</v>
      </c>
      <c r="O136" t="s">
        <v>62</v>
      </c>
      <c r="P136" s="9">
        <v>46051</v>
      </c>
      <c r="Q136">
        <v>241.73</v>
      </c>
    </row>
    <row r="137" spans="1:17" x14ac:dyDescent="0.25">
      <c r="A137" s="5" t="s">
        <v>151</v>
      </c>
      <c r="B137" s="3" t="str">
        <f t="shared" si="10"/>
        <v>AMZN</v>
      </c>
      <c r="C137" s="3" t="str">
        <f t="shared" si="8"/>
        <v>260515</v>
      </c>
      <c r="D137" s="3" t="str">
        <f t="shared" si="9"/>
        <v>C00275000</v>
      </c>
      <c r="E137" s="39">
        <v>46051.665972222225</v>
      </c>
      <c r="F137" s="6">
        <v>275</v>
      </c>
      <c r="G137" s="45">
        <v>8.3000000000000007</v>
      </c>
      <c r="H137" s="45">
        <v>8.15</v>
      </c>
      <c r="I137" s="45">
        <v>8.3000000000000007</v>
      </c>
      <c r="J137" s="17">
        <v>-0.2</v>
      </c>
      <c r="K137" s="20">
        <v>-2.35E-2</v>
      </c>
      <c r="L137" s="45">
        <v>825</v>
      </c>
      <c r="M137" s="53">
        <v>13538</v>
      </c>
      <c r="N137" s="54">
        <v>0.37640000000000001</v>
      </c>
      <c r="O137" t="s">
        <v>62</v>
      </c>
      <c r="P137" s="9">
        <v>46051</v>
      </c>
      <c r="Q137">
        <v>241.73</v>
      </c>
    </row>
    <row r="138" spans="1:17" x14ac:dyDescent="0.25">
      <c r="A138" s="5" t="s">
        <v>152</v>
      </c>
      <c r="B138" s="3" t="str">
        <f t="shared" si="10"/>
        <v>AMZN</v>
      </c>
      <c r="C138" s="3" t="str">
        <f t="shared" si="8"/>
        <v>260515</v>
      </c>
      <c r="D138" s="3" t="str">
        <f t="shared" si="9"/>
        <v>C00280000</v>
      </c>
      <c r="E138" s="39">
        <v>46051.643750000003</v>
      </c>
      <c r="F138" s="6">
        <v>280</v>
      </c>
      <c r="G138" s="45">
        <v>6.7</v>
      </c>
      <c r="H138" s="45">
        <v>7</v>
      </c>
      <c r="I138" s="45">
        <v>7.15</v>
      </c>
      <c r="J138" s="17">
        <v>-0.68</v>
      </c>
      <c r="K138" s="20">
        <v>-9.2100000000000001E-2</v>
      </c>
      <c r="L138" s="45">
        <v>896</v>
      </c>
      <c r="M138" s="53">
        <v>8849</v>
      </c>
      <c r="N138" s="54">
        <v>0.37490000000000001</v>
      </c>
      <c r="O138" t="s">
        <v>62</v>
      </c>
      <c r="P138" s="9">
        <v>46051</v>
      </c>
      <c r="Q138">
        <v>241.73</v>
      </c>
    </row>
    <row r="139" spans="1:17" x14ac:dyDescent="0.25">
      <c r="A139" s="5" t="s">
        <v>153</v>
      </c>
      <c r="B139" s="3" t="str">
        <f t="shared" si="10"/>
        <v>AMZN</v>
      </c>
      <c r="C139" s="3" t="str">
        <f t="shared" si="8"/>
        <v>260515</v>
      </c>
      <c r="D139" s="3" t="str">
        <f t="shared" si="9"/>
        <v>C00285000</v>
      </c>
      <c r="E139" s="39">
        <v>46051.665972222225</v>
      </c>
      <c r="F139" s="6">
        <v>285</v>
      </c>
      <c r="G139" s="45">
        <v>6.1</v>
      </c>
      <c r="H139" s="45">
        <v>6</v>
      </c>
      <c r="I139" s="45">
        <v>6.1</v>
      </c>
      <c r="J139" s="17">
        <v>-0.25</v>
      </c>
      <c r="K139" s="20">
        <v>-3.9399999999999998E-2</v>
      </c>
      <c r="L139" s="53">
        <v>1086</v>
      </c>
      <c r="M139" s="53">
        <v>15076</v>
      </c>
      <c r="N139" s="54">
        <v>0.37269999999999998</v>
      </c>
      <c r="O139" t="s">
        <v>62</v>
      </c>
      <c r="P139" s="9">
        <v>46051</v>
      </c>
      <c r="Q139">
        <v>241.73</v>
      </c>
    </row>
    <row r="140" spans="1:17" x14ac:dyDescent="0.25">
      <c r="A140" s="5" t="s">
        <v>154</v>
      </c>
      <c r="B140" s="3" t="str">
        <f t="shared" si="10"/>
        <v>AMZN</v>
      </c>
      <c r="C140" s="3" t="str">
        <f t="shared" si="8"/>
        <v>260515</v>
      </c>
      <c r="D140" s="3" t="str">
        <f t="shared" si="9"/>
        <v>C00290000</v>
      </c>
      <c r="E140" s="39">
        <v>46051.661805555559</v>
      </c>
      <c r="F140" s="6">
        <v>290</v>
      </c>
      <c r="G140" s="45">
        <v>5.14</v>
      </c>
      <c r="H140" s="45">
        <v>5.0999999999999996</v>
      </c>
      <c r="I140" s="45">
        <v>5.25</v>
      </c>
      <c r="J140" s="17">
        <v>-0.31</v>
      </c>
      <c r="K140" s="20">
        <v>-5.6899999999999999E-2</v>
      </c>
      <c r="L140" s="45">
        <v>621</v>
      </c>
      <c r="M140" s="53">
        <v>2606</v>
      </c>
      <c r="N140" s="54">
        <v>0.37240000000000001</v>
      </c>
      <c r="O140" t="s">
        <v>62</v>
      </c>
      <c r="P140" s="9">
        <v>46051</v>
      </c>
      <c r="Q140">
        <v>241.73</v>
      </c>
    </row>
    <row r="141" spans="1:17" x14ac:dyDescent="0.25">
      <c r="A141" s="5" t="s">
        <v>155</v>
      </c>
      <c r="B141" s="3" t="str">
        <f t="shared" si="10"/>
        <v>AMZN</v>
      </c>
      <c r="C141" s="3" t="str">
        <f t="shared" si="8"/>
        <v>260515</v>
      </c>
      <c r="D141" s="3" t="str">
        <f t="shared" si="9"/>
        <v>C00295000</v>
      </c>
      <c r="E141" s="39">
        <v>46051.584722222222</v>
      </c>
      <c r="F141" s="6">
        <v>295</v>
      </c>
      <c r="G141" s="45">
        <v>4</v>
      </c>
      <c r="H141" s="45">
        <v>4.3499999999999996</v>
      </c>
      <c r="I141" s="45">
        <v>4.45</v>
      </c>
      <c r="J141" s="17">
        <v>-0.61</v>
      </c>
      <c r="K141" s="20">
        <v>-0.1323</v>
      </c>
      <c r="L141" s="45">
        <v>15</v>
      </c>
      <c r="M141" s="45">
        <v>559</v>
      </c>
      <c r="N141" s="54">
        <v>0.3705</v>
      </c>
      <c r="O141" t="s">
        <v>62</v>
      </c>
      <c r="P141" s="9">
        <v>46051</v>
      </c>
      <c r="Q141">
        <v>241.73</v>
      </c>
    </row>
    <row r="142" spans="1:17" x14ac:dyDescent="0.25">
      <c r="A142" s="5" t="s">
        <v>156</v>
      </c>
      <c r="B142" s="3" t="str">
        <f t="shared" si="10"/>
        <v>AMZN</v>
      </c>
      <c r="C142" s="3" t="str">
        <f t="shared" si="8"/>
        <v>260515</v>
      </c>
      <c r="D142" s="3" t="str">
        <f t="shared" si="9"/>
        <v>C00300000</v>
      </c>
      <c r="E142" s="39">
        <v>46051.663888888892</v>
      </c>
      <c r="F142" s="6">
        <v>300</v>
      </c>
      <c r="G142" s="45">
        <v>3.75</v>
      </c>
      <c r="H142" s="45">
        <v>3.7</v>
      </c>
      <c r="I142" s="45">
        <v>3.8</v>
      </c>
      <c r="J142" s="17">
        <v>-0.16</v>
      </c>
      <c r="K142" s="20">
        <v>-4.0899999999999999E-2</v>
      </c>
      <c r="L142" s="45">
        <v>273</v>
      </c>
      <c r="M142" s="53">
        <v>2625</v>
      </c>
      <c r="N142" s="54">
        <v>0.37009999999999998</v>
      </c>
      <c r="O142" t="s">
        <v>62</v>
      </c>
      <c r="P142" s="9">
        <v>46051</v>
      </c>
      <c r="Q142">
        <v>241.73</v>
      </c>
    </row>
    <row r="143" spans="1:17" x14ac:dyDescent="0.25">
      <c r="A143" s="5" t="s">
        <v>157</v>
      </c>
      <c r="B143" s="3" t="str">
        <f t="shared" si="10"/>
        <v>AMZN</v>
      </c>
      <c r="C143" s="3" t="str">
        <f t="shared" si="8"/>
        <v>260515</v>
      </c>
      <c r="D143" s="3" t="str">
        <f t="shared" si="9"/>
        <v>C00305000</v>
      </c>
      <c r="E143" s="39">
        <v>46051.651388888888</v>
      </c>
      <c r="F143" s="6">
        <v>305</v>
      </c>
      <c r="G143" s="45">
        <v>3.1</v>
      </c>
      <c r="H143" s="45">
        <v>3.1</v>
      </c>
      <c r="I143" s="45">
        <v>3.25</v>
      </c>
      <c r="J143" s="17">
        <v>-0.22</v>
      </c>
      <c r="K143" s="20">
        <v>-6.6299999999999998E-2</v>
      </c>
      <c r="L143" s="45">
        <v>7</v>
      </c>
      <c r="M143" s="53">
        <v>1779</v>
      </c>
      <c r="N143" s="54">
        <v>0.37009999999999998</v>
      </c>
      <c r="O143" t="s">
        <v>62</v>
      </c>
      <c r="P143" s="9">
        <v>46051</v>
      </c>
      <c r="Q143">
        <v>241.73</v>
      </c>
    </row>
    <row r="144" spans="1:17" x14ac:dyDescent="0.25">
      <c r="A144" s="5" t="s">
        <v>158</v>
      </c>
      <c r="B144" s="3" t="str">
        <f t="shared" si="10"/>
        <v>AMZN</v>
      </c>
      <c r="C144" s="3" t="str">
        <f t="shared" si="8"/>
        <v>260515</v>
      </c>
      <c r="D144" s="3" t="str">
        <f t="shared" si="9"/>
        <v>C00310000</v>
      </c>
      <c r="E144" s="39">
        <v>46051.663194444445</v>
      </c>
      <c r="F144" s="6">
        <v>310</v>
      </c>
      <c r="G144" s="45">
        <v>2.72</v>
      </c>
      <c r="H144" s="45">
        <v>2.64</v>
      </c>
      <c r="I144" s="45">
        <v>2.74</v>
      </c>
      <c r="J144" s="17">
        <v>-0.12</v>
      </c>
      <c r="K144" s="20">
        <v>-4.2299999999999997E-2</v>
      </c>
      <c r="L144" s="45">
        <v>107</v>
      </c>
      <c r="M144" s="45">
        <v>665</v>
      </c>
      <c r="N144" s="54">
        <v>0.36899999999999999</v>
      </c>
      <c r="O144" t="s">
        <v>62</v>
      </c>
      <c r="P144" s="9">
        <v>46051</v>
      </c>
      <c r="Q144">
        <v>241.73</v>
      </c>
    </row>
    <row r="145" spans="1:17" x14ac:dyDescent="0.25">
      <c r="A145" s="5" t="s">
        <v>159</v>
      </c>
      <c r="B145" s="3" t="str">
        <f t="shared" si="10"/>
        <v>AMZN</v>
      </c>
      <c r="C145" s="3" t="str">
        <f t="shared" si="8"/>
        <v>260515</v>
      </c>
      <c r="D145" s="3" t="str">
        <f t="shared" si="9"/>
        <v>C00315000</v>
      </c>
      <c r="E145" s="39">
        <v>46051.42083333333</v>
      </c>
      <c r="F145" s="6">
        <v>315</v>
      </c>
      <c r="G145" s="45">
        <v>1.97</v>
      </c>
      <c r="H145" s="45">
        <v>2.25</v>
      </c>
      <c r="I145" s="45">
        <v>2.34</v>
      </c>
      <c r="J145" s="17">
        <v>-0.39</v>
      </c>
      <c r="K145" s="20">
        <v>-0.1653</v>
      </c>
      <c r="L145" s="45">
        <v>7</v>
      </c>
      <c r="M145" s="45">
        <v>716</v>
      </c>
      <c r="N145" s="54">
        <v>0.3695</v>
      </c>
      <c r="O145" t="s">
        <v>62</v>
      </c>
      <c r="P145" s="9">
        <v>46051</v>
      </c>
      <c r="Q145">
        <v>241.73</v>
      </c>
    </row>
    <row r="146" spans="1:17" x14ac:dyDescent="0.25">
      <c r="A146" s="5" t="s">
        <v>160</v>
      </c>
      <c r="B146" s="3" t="str">
        <f t="shared" si="10"/>
        <v>AMZN</v>
      </c>
      <c r="C146" s="3" t="str">
        <f t="shared" si="8"/>
        <v>260515</v>
      </c>
      <c r="D146" s="3" t="str">
        <f t="shared" si="9"/>
        <v>C00320000</v>
      </c>
      <c r="E146" s="39">
        <v>46051.533333333333</v>
      </c>
      <c r="F146" s="6">
        <v>320</v>
      </c>
      <c r="G146" s="45">
        <v>1.82</v>
      </c>
      <c r="H146" s="45">
        <v>1.9</v>
      </c>
      <c r="I146" s="45">
        <v>1.99</v>
      </c>
      <c r="J146" s="17">
        <v>-0.23</v>
      </c>
      <c r="K146" s="20">
        <v>-0.11219999999999999</v>
      </c>
      <c r="L146" s="45">
        <v>53</v>
      </c>
      <c r="M146" s="53">
        <v>1413</v>
      </c>
      <c r="N146" s="54">
        <v>0.36969999999999997</v>
      </c>
      <c r="O146" t="s">
        <v>62</v>
      </c>
      <c r="P146" s="9">
        <v>46051</v>
      </c>
      <c r="Q146">
        <v>241.73</v>
      </c>
    </row>
    <row r="147" spans="1:17" x14ac:dyDescent="0.25">
      <c r="A147" s="5" t="s">
        <v>161</v>
      </c>
      <c r="B147" s="3" t="str">
        <f t="shared" si="10"/>
        <v>AMZN</v>
      </c>
      <c r="C147" s="3" t="str">
        <f t="shared" si="8"/>
        <v>260515</v>
      </c>
      <c r="D147" s="3" t="str">
        <f t="shared" si="9"/>
        <v>C00325000</v>
      </c>
      <c r="E147" s="39">
        <v>46051.650694444441</v>
      </c>
      <c r="F147" s="6">
        <v>325</v>
      </c>
      <c r="G147" s="45">
        <v>1.64</v>
      </c>
      <c r="H147" s="45">
        <v>1.63</v>
      </c>
      <c r="I147" s="45">
        <v>1.7</v>
      </c>
      <c r="J147" s="17">
        <v>-0.01</v>
      </c>
      <c r="K147" s="20">
        <v>-6.1000000000000004E-3</v>
      </c>
      <c r="L147" s="45">
        <v>8</v>
      </c>
      <c r="M147" s="53">
        <v>2544</v>
      </c>
      <c r="N147" s="54">
        <v>0.3705</v>
      </c>
      <c r="O147" t="s">
        <v>62</v>
      </c>
      <c r="P147" s="9">
        <v>46051</v>
      </c>
      <c r="Q147">
        <v>241.73</v>
      </c>
    </row>
    <row r="148" spans="1:17" x14ac:dyDescent="0.25">
      <c r="A148" s="5" t="s">
        <v>162</v>
      </c>
      <c r="B148" s="3" t="str">
        <f t="shared" si="10"/>
        <v>AMZN</v>
      </c>
      <c r="C148" s="3" t="str">
        <f t="shared" si="8"/>
        <v>260515</v>
      </c>
      <c r="D148" s="3" t="str">
        <f t="shared" si="9"/>
        <v>C00330000</v>
      </c>
      <c r="E148" s="39">
        <v>46050.431250000001</v>
      </c>
      <c r="F148" s="6">
        <v>330</v>
      </c>
      <c r="G148" s="45">
        <v>1.66</v>
      </c>
      <c r="H148" s="45">
        <v>1.38</v>
      </c>
      <c r="I148" s="45">
        <v>1.45</v>
      </c>
      <c r="J148" s="17">
        <v>0</v>
      </c>
      <c r="K148" s="20">
        <v>0</v>
      </c>
      <c r="L148" s="45">
        <v>38</v>
      </c>
      <c r="M148" s="45">
        <v>548</v>
      </c>
      <c r="N148" s="54">
        <v>0.37119999999999997</v>
      </c>
      <c r="O148" t="s">
        <v>62</v>
      </c>
      <c r="P148" s="9">
        <v>46051</v>
      </c>
      <c r="Q148">
        <v>241.73</v>
      </c>
    </row>
    <row r="149" spans="1:17" x14ac:dyDescent="0.25">
      <c r="A149" s="5" t="s">
        <v>163</v>
      </c>
      <c r="B149" s="3" t="str">
        <f t="shared" si="10"/>
        <v>AMZN</v>
      </c>
      <c r="C149" s="3" t="str">
        <f t="shared" si="8"/>
        <v>260515</v>
      </c>
      <c r="D149" s="3" t="str">
        <f t="shared" si="9"/>
        <v>C00340000</v>
      </c>
      <c r="E149" s="39">
        <v>46051.427777777775</v>
      </c>
      <c r="F149" s="6">
        <v>340</v>
      </c>
      <c r="G149" s="45">
        <v>0.9</v>
      </c>
      <c r="H149" s="45">
        <v>1</v>
      </c>
      <c r="I149" s="45">
        <v>1.06</v>
      </c>
      <c r="J149" s="17">
        <v>-0.18</v>
      </c>
      <c r="K149" s="20">
        <v>-0.16669999999999999</v>
      </c>
      <c r="L149" s="45">
        <v>3</v>
      </c>
      <c r="M149" s="45">
        <v>483</v>
      </c>
      <c r="N149" s="54">
        <v>0.37319999999999998</v>
      </c>
      <c r="O149" t="s">
        <v>62</v>
      </c>
      <c r="P149" s="9">
        <v>46051</v>
      </c>
      <c r="Q149">
        <v>241.73</v>
      </c>
    </row>
    <row r="150" spans="1:17" x14ac:dyDescent="0.25">
      <c r="A150" s="5" t="s">
        <v>164</v>
      </c>
      <c r="B150" s="3" t="str">
        <f t="shared" si="10"/>
        <v>AMZN</v>
      </c>
      <c r="C150" s="3" t="str">
        <f t="shared" si="8"/>
        <v>260515</v>
      </c>
      <c r="D150" s="3" t="str">
        <f t="shared" si="9"/>
        <v>C00350000</v>
      </c>
      <c r="E150" s="39">
        <v>46051.650694444441</v>
      </c>
      <c r="F150" s="6">
        <v>350</v>
      </c>
      <c r="G150" s="45">
        <v>0.72</v>
      </c>
      <c r="H150" s="45">
        <v>0.72</v>
      </c>
      <c r="I150" s="45">
        <v>0.78</v>
      </c>
      <c r="J150" s="17">
        <v>-0.21</v>
      </c>
      <c r="K150" s="20">
        <v>-0.2258</v>
      </c>
      <c r="L150" s="45">
        <v>18</v>
      </c>
      <c r="M150" s="53">
        <v>1441</v>
      </c>
      <c r="N150" s="54">
        <v>0.37569999999999998</v>
      </c>
      <c r="O150" t="s">
        <v>62</v>
      </c>
      <c r="P150" s="9">
        <v>46051</v>
      </c>
      <c r="Q150">
        <v>241.73</v>
      </c>
    </row>
    <row r="151" spans="1:17" x14ac:dyDescent="0.25">
      <c r="A151" s="5" t="s">
        <v>165</v>
      </c>
      <c r="B151" s="3" t="str">
        <f t="shared" si="10"/>
        <v>AMZN</v>
      </c>
      <c r="C151" s="3" t="str">
        <f t="shared" si="8"/>
        <v>260515</v>
      </c>
      <c r="D151" s="3" t="str">
        <f t="shared" si="9"/>
        <v>C00360000</v>
      </c>
      <c r="E151" s="39">
        <v>46051.661805555559</v>
      </c>
      <c r="F151" s="6">
        <v>360</v>
      </c>
      <c r="G151" s="45">
        <v>0.55000000000000004</v>
      </c>
      <c r="H151" s="45">
        <v>0.51</v>
      </c>
      <c r="I151" s="45">
        <v>0.57999999999999996</v>
      </c>
      <c r="J151" s="17">
        <v>0.01</v>
      </c>
      <c r="K151" s="20">
        <v>1.8499999999999999E-2</v>
      </c>
      <c r="L151" s="45">
        <v>23</v>
      </c>
      <c r="M151" s="45">
        <v>202</v>
      </c>
      <c r="N151" s="54">
        <v>0.37880000000000003</v>
      </c>
      <c r="O151" t="s">
        <v>62</v>
      </c>
      <c r="P151" s="9">
        <v>46051</v>
      </c>
      <c r="Q151">
        <v>241.73</v>
      </c>
    </row>
    <row r="152" spans="1:17" x14ac:dyDescent="0.25">
      <c r="A152" s="7" t="s">
        <v>166</v>
      </c>
      <c r="B152" s="3" t="str">
        <f t="shared" si="10"/>
        <v>AMZN</v>
      </c>
      <c r="C152" s="3" t="str">
        <f t="shared" si="8"/>
        <v>260515</v>
      </c>
      <c r="D152" s="3" t="str">
        <f t="shared" si="9"/>
        <v>C00370000</v>
      </c>
      <c r="E152" s="40">
        <v>46051.647916666669</v>
      </c>
      <c r="F152" s="8">
        <v>370</v>
      </c>
      <c r="G152" s="50">
        <v>0.37</v>
      </c>
      <c r="H152" s="50">
        <v>0.38</v>
      </c>
      <c r="I152" s="50">
        <v>0.43</v>
      </c>
      <c r="J152" s="21">
        <v>-0.04</v>
      </c>
      <c r="K152" s="22">
        <v>-9.7600000000000006E-2</v>
      </c>
      <c r="L152" s="50">
        <v>58</v>
      </c>
      <c r="M152" s="55">
        <v>1570</v>
      </c>
      <c r="N152" s="56">
        <v>0.38159999999999999</v>
      </c>
      <c r="O152" t="s">
        <v>62</v>
      </c>
      <c r="P152" s="9">
        <v>46051</v>
      </c>
      <c r="Q152">
        <v>241.73</v>
      </c>
    </row>
    <row r="153" spans="1:17" x14ac:dyDescent="0.25">
      <c r="A153" s="1" t="s">
        <v>0</v>
      </c>
      <c r="B153" s="3" t="str">
        <f t="shared" si="10"/>
        <v>Cont</v>
      </c>
      <c r="C153" s="3" t="str">
        <f t="shared" si="8"/>
        <v>ract N</v>
      </c>
      <c r="D153" s="3" t="str">
        <f t="shared" si="9"/>
        <v>ame</v>
      </c>
      <c r="E153" s="37" t="s">
        <v>1</v>
      </c>
      <c r="F153" s="2" t="s">
        <v>2</v>
      </c>
      <c r="G153" s="37" t="s">
        <v>3</v>
      </c>
      <c r="H153" s="37" t="s">
        <v>4</v>
      </c>
      <c r="I153" s="37" t="s">
        <v>5</v>
      </c>
      <c r="J153" s="14" t="s">
        <v>6</v>
      </c>
      <c r="K153" s="14" t="s">
        <v>7</v>
      </c>
      <c r="L153" s="37" t="s">
        <v>8</v>
      </c>
      <c r="M153" s="37" t="s">
        <v>9</v>
      </c>
      <c r="N153" s="37" t="s">
        <v>10</v>
      </c>
      <c r="O153" t="s">
        <v>65</v>
      </c>
      <c r="P153" s="9">
        <v>46051</v>
      </c>
      <c r="Q153">
        <v>241.73</v>
      </c>
    </row>
    <row r="154" spans="1:17" x14ac:dyDescent="0.25">
      <c r="A154" s="5" t="s">
        <v>167</v>
      </c>
      <c r="B154" s="3" t="str">
        <f t="shared" si="10"/>
        <v>AMZN</v>
      </c>
      <c r="C154" s="3" t="str">
        <f t="shared" si="8"/>
        <v>260515</v>
      </c>
      <c r="D154" s="3" t="str">
        <f t="shared" si="9"/>
        <v>P00105000</v>
      </c>
      <c r="E154" s="39">
        <v>46051.395833333336</v>
      </c>
      <c r="F154" s="6">
        <v>105</v>
      </c>
      <c r="G154" s="45">
        <v>0.1</v>
      </c>
      <c r="H154" s="45">
        <v>0.1</v>
      </c>
      <c r="I154" s="45">
        <v>0.15</v>
      </c>
      <c r="J154" s="17">
        <v>-0.01</v>
      </c>
      <c r="K154" s="20">
        <v>-9.0899999999999995E-2</v>
      </c>
      <c r="L154" s="45">
        <v>1</v>
      </c>
      <c r="M154" s="53">
        <v>1147</v>
      </c>
      <c r="N154" s="54">
        <v>0.63090000000000002</v>
      </c>
      <c r="O154" t="s">
        <v>65</v>
      </c>
      <c r="P154" s="9">
        <v>46051</v>
      </c>
      <c r="Q154">
        <v>241.73</v>
      </c>
    </row>
    <row r="155" spans="1:17" x14ac:dyDescent="0.25">
      <c r="A155" s="5" t="s">
        <v>168</v>
      </c>
      <c r="B155" s="3" t="str">
        <f t="shared" si="10"/>
        <v>AMZN</v>
      </c>
      <c r="C155" s="3" t="str">
        <f t="shared" si="8"/>
        <v>260515</v>
      </c>
      <c r="D155" s="3" t="str">
        <f t="shared" si="9"/>
        <v>P00110000</v>
      </c>
      <c r="E155" s="39">
        <v>46048.545138888891</v>
      </c>
      <c r="F155" s="6">
        <v>110</v>
      </c>
      <c r="G155" s="45">
        <v>0.16</v>
      </c>
      <c r="H155" s="45">
        <v>0.11</v>
      </c>
      <c r="I155" s="45">
        <v>0.18</v>
      </c>
      <c r="J155" s="17">
        <v>0</v>
      </c>
      <c r="K155" s="20">
        <v>0</v>
      </c>
      <c r="L155" s="45">
        <v>10</v>
      </c>
      <c r="M155" s="45">
        <v>104</v>
      </c>
      <c r="N155" s="54">
        <v>0.60940000000000005</v>
      </c>
      <c r="O155" t="s">
        <v>65</v>
      </c>
      <c r="P155" s="9">
        <v>46051</v>
      </c>
      <c r="Q155">
        <v>241.73</v>
      </c>
    </row>
    <row r="156" spans="1:17" x14ac:dyDescent="0.25">
      <c r="A156" s="5" t="s">
        <v>169</v>
      </c>
      <c r="B156" s="3" t="str">
        <f t="shared" si="10"/>
        <v>AMZN</v>
      </c>
      <c r="C156" s="3" t="str">
        <f t="shared" si="8"/>
        <v>260515</v>
      </c>
      <c r="D156" s="3" t="str">
        <f t="shared" si="9"/>
        <v>P00115000</v>
      </c>
      <c r="E156" s="39">
        <v>46048.51458333333</v>
      </c>
      <c r="F156" s="6">
        <v>115</v>
      </c>
      <c r="G156" s="45">
        <v>0.17</v>
      </c>
      <c r="H156" s="45">
        <v>0.14000000000000001</v>
      </c>
      <c r="I156" s="45">
        <v>0.21</v>
      </c>
      <c r="J156" s="17">
        <v>0</v>
      </c>
      <c r="K156" s="20">
        <v>0</v>
      </c>
      <c r="L156" s="45">
        <v>9</v>
      </c>
      <c r="M156" s="45">
        <v>106</v>
      </c>
      <c r="N156" s="54">
        <v>0.59079999999999999</v>
      </c>
      <c r="O156" t="s">
        <v>65</v>
      </c>
      <c r="P156" s="9">
        <v>46051</v>
      </c>
      <c r="Q156">
        <v>241.73</v>
      </c>
    </row>
    <row r="157" spans="1:17" x14ac:dyDescent="0.25">
      <c r="A157" s="5" t="s">
        <v>170</v>
      </c>
      <c r="B157" s="3" t="str">
        <f t="shared" si="10"/>
        <v>AMZN</v>
      </c>
      <c r="C157" s="3" t="str">
        <f t="shared" si="8"/>
        <v>260515</v>
      </c>
      <c r="D157" s="3" t="str">
        <f t="shared" si="9"/>
        <v>P00120000</v>
      </c>
      <c r="E157" s="39">
        <v>46048.510416666664</v>
      </c>
      <c r="F157" s="6">
        <v>120</v>
      </c>
      <c r="G157" s="45">
        <v>0.22</v>
      </c>
      <c r="H157" s="45">
        <v>0.19</v>
      </c>
      <c r="I157" s="45">
        <v>0.46</v>
      </c>
      <c r="J157" s="17">
        <v>0</v>
      </c>
      <c r="K157" s="20">
        <v>0</v>
      </c>
      <c r="L157" s="45">
        <v>5</v>
      </c>
      <c r="M157" s="45">
        <v>104</v>
      </c>
      <c r="N157" s="54">
        <v>0.6089</v>
      </c>
      <c r="O157" t="s">
        <v>65</v>
      </c>
      <c r="P157" s="9">
        <v>46051</v>
      </c>
      <c r="Q157">
        <v>241.73</v>
      </c>
    </row>
    <row r="158" spans="1:17" x14ac:dyDescent="0.25">
      <c r="A158" s="5" t="s">
        <v>171</v>
      </c>
      <c r="B158" s="3" t="str">
        <f t="shared" si="10"/>
        <v>AMZN</v>
      </c>
      <c r="C158" s="3" t="str">
        <f t="shared" si="8"/>
        <v>260515</v>
      </c>
      <c r="D158" s="3" t="str">
        <f t="shared" si="9"/>
        <v>P00125000</v>
      </c>
      <c r="E158" s="39">
        <v>46048.511805555558</v>
      </c>
      <c r="F158" s="6">
        <v>125</v>
      </c>
      <c r="G158" s="45">
        <v>0.27</v>
      </c>
      <c r="H158" s="45">
        <v>0.24</v>
      </c>
      <c r="I158" s="45">
        <v>0.31</v>
      </c>
      <c r="J158" s="17">
        <v>0</v>
      </c>
      <c r="K158" s="20">
        <v>0</v>
      </c>
      <c r="L158" s="45">
        <v>6</v>
      </c>
      <c r="M158" s="45">
        <v>109</v>
      </c>
      <c r="N158" s="54">
        <v>0.56299999999999994</v>
      </c>
      <c r="O158" t="s">
        <v>65</v>
      </c>
      <c r="P158" s="9">
        <v>46051</v>
      </c>
      <c r="Q158">
        <v>241.73</v>
      </c>
    </row>
    <row r="159" spans="1:17" x14ac:dyDescent="0.25">
      <c r="A159" s="5" t="s">
        <v>172</v>
      </c>
      <c r="B159" s="3" t="str">
        <f t="shared" si="10"/>
        <v>AMZN</v>
      </c>
      <c r="C159" s="3" t="str">
        <f t="shared" si="8"/>
        <v>260515</v>
      </c>
      <c r="D159" s="3" t="str">
        <f t="shared" si="9"/>
        <v>P00130000</v>
      </c>
      <c r="E159" s="39">
        <v>46048.665972222225</v>
      </c>
      <c r="F159" s="6">
        <v>130</v>
      </c>
      <c r="G159" s="45">
        <v>0.36</v>
      </c>
      <c r="H159" s="45">
        <v>0.3</v>
      </c>
      <c r="I159" s="45">
        <v>0.38</v>
      </c>
      <c r="J159" s="17">
        <v>0</v>
      </c>
      <c r="K159" s="20">
        <v>0</v>
      </c>
      <c r="L159" s="45">
        <v>17</v>
      </c>
      <c r="M159" s="45">
        <v>331</v>
      </c>
      <c r="N159" s="54">
        <v>0.54930000000000001</v>
      </c>
      <c r="O159" t="s">
        <v>65</v>
      </c>
      <c r="P159" s="9">
        <v>46051</v>
      </c>
      <c r="Q159">
        <v>241.73</v>
      </c>
    </row>
    <row r="160" spans="1:17" x14ac:dyDescent="0.25">
      <c r="A160" s="5" t="s">
        <v>173</v>
      </c>
      <c r="B160" s="3" t="str">
        <f t="shared" si="10"/>
        <v>AMZN</v>
      </c>
      <c r="C160" s="3" t="str">
        <f t="shared" si="8"/>
        <v>260515</v>
      </c>
      <c r="D160" s="3" t="str">
        <f t="shared" si="9"/>
        <v>P00135000</v>
      </c>
      <c r="E160" s="39">
        <v>46050.45208333333</v>
      </c>
      <c r="F160" s="6">
        <v>135</v>
      </c>
      <c r="G160" s="45">
        <v>0.4</v>
      </c>
      <c r="H160" s="45">
        <v>0.38</v>
      </c>
      <c r="I160" s="45">
        <v>0.45</v>
      </c>
      <c r="J160" s="17">
        <v>0</v>
      </c>
      <c r="K160" s="20">
        <v>0</v>
      </c>
      <c r="L160" s="45">
        <v>6</v>
      </c>
      <c r="M160" s="45">
        <v>861</v>
      </c>
      <c r="N160" s="54">
        <v>0.53520000000000001</v>
      </c>
      <c r="O160" t="s">
        <v>65</v>
      </c>
      <c r="P160" s="9">
        <v>46051</v>
      </c>
      <c r="Q160">
        <v>241.73</v>
      </c>
    </row>
    <row r="161" spans="1:17" x14ac:dyDescent="0.25">
      <c r="A161" s="5" t="s">
        <v>174</v>
      </c>
      <c r="B161" s="3" t="str">
        <f t="shared" si="10"/>
        <v>AMZN</v>
      </c>
      <c r="C161" s="3" t="str">
        <f t="shared" si="8"/>
        <v>260515</v>
      </c>
      <c r="D161" s="3" t="str">
        <f t="shared" si="9"/>
        <v>P00140000</v>
      </c>
      <c r="E161" s="39">
        <v>46051.59375</v>
      </c>
      <c r="F161" s="6">
        <v>140</v>
      </c>
      <c r="G161" s="45">
        <v>0.54</v>
      </c>
      <c r="H161" s="45">
        <v>0.47</v>
      </c>
      <c r="I161" s="45">
        <v>0.54</v>
      </c>
      <c r="J161" s="17">
        <v>0.06</v>
      </c>
      <c r="K161" s="20">
        <v>0.125</v>
      </c>
      <c r="L161" s="45">
        <v>40</v>
      </c>
      <c r="M161" s="45">
        <v>286</v>
      </c>
      <c r="N161" s="54">
        <v>0.52149999999999996</v>
      </c>
      <c r="O161" t="s">
        <v>65</v>
      </c>
      <c r="P161" s="9">
        <v>46051</v>
      </c>
      <c r="Q161">
        <v>241.73</v>
      </c>
    </row>
    <row r="162" spans="1:17" x14ac:dyDescent="0.25">
      <c r="A162" s="5" t="s">
        <v>175</v>
      </c>
      <c r="B162" s="3" t="str">
        <f t="shared" si="10"/>
        <v>AMZN</v>
      </c>
      <c r="C162" s="3" t="str">
        <f t="shared" si="8"/>
        <v>260515</v>
      </c>
      <c r="D162" s="3" t="str">
        <f t="shared" si="9"/>
        <v>P00145000</v>
      </c>
      <c r="E162" s="39">
        <v>46051.43472222222</v>
      </c>
      <c r="F162" s="6">
        <v>145</v>
      </c>
      <c r="G162" s="45">
        <v>0.62</v>
      </c>
      <c r="H162" s="45">
        <v>0.56999999999999995</v>
      </c>
      <c r="I162" s="45">
        <v>0.63</v>
      </c>
      <c r="J162" s="17">
        <v>-0.02</v>
      </c>
      <c r="K162" s="20">
        <v>-3.1199999999999999E-2</v>
      </c>
      <c r="L162" s="45">
        <v>8</v>
      </c>
      <c r="M162" s="45">
        <v>608</v>
      </c>
      <c r="N162" s="54">
        <v>0.50609999999999999</v>
      </c>
      <c r="O162" t="s">
        <v>65</v>
      </c>
      <c r="P162" s="9">
        <v>46051</v>
      </c>
      <c r="Q162">
        <v>241.73</v>
      </c>
    </row>
    <row r="163" spans="1:17" x14ac:dyDescent="0.25">
      <c r="A163" s="5" t="s">
        <v>176</v>
      </c>
      <c r="B163" s="3" t="str">
        <f t="shared" si="10"/>
        <v>AMZN</v>
      </c>
      <c r="C163" s="3" t="str">
        <f t="shared" si="8"/>
        <v>260515</v>
      </c>
      <c r="D163" s="3" t="str">
        <f t="shared" si="9"/>
        <v>P00150000</v>
      </c>
      <c r="E163" s="39">
        <v>46051.638194444444</v>
      </c>
      <c r="F163" s="6">
        <v>150</v>
      </c>
      <c r="G163" s="45">
        <v>0.77</v>
      </c>
      <c r="H163" s="45">
        <v>0.69</v>
      </c>
      <c r="I163" s="45">
        <v>0.94</v>
      </c>
      <c r="J163" s="17">
        <v>0.08</v>
      </c>
      <c r="K163" s="20">
        <v>0.1159</v>
      </c>
      <c r="L163" s="45">
        <v>12</v>
      </c>
      <c r="M163" s="45">
        <v>823</v>
      </c>
      <c r="N163" s="54">
        <v>0.50390000000000001</v>
      </c>
      <c r="O163" t="s">
        <v>65</v>
      </c>
      <c r="P163" s="9">
        <v>46051</v>
      </c>
      <c r="Q163">
        <v>241.73</v>
      </c>
    </row>
    <row r="164" spans="1:17" x14ac:dyDescent="0.25">
      <c r="A164" s="5" t="s">
        <v>177</v>
      </c>
      <c r="B164" s="3" t="str">
        <f t="shared" si="10"/>
        <v>AMZN</v>
      </c>
      <c r="C164" s="3" t="str">
        <f t="shared" si="8"/>
        <v>260515</v>
      </c>
      <c r="D164" s="3" t="str">
        <f t="shared" si="9"/>
        <v>P00155000</v>
      </c>
      <c r="E164" s="39">
        <v>46044.637499999997</v>
      </c>
      <c r="F164" s="6">
        <v>155</v>
      </c>
      <c r="G164" s="45">
        <v>0.99</v>
      </c>
      <c r="H164" s="45">
        <v>0.84</v>
      </c>
      <c r="I164" s="45">
        <v>1.0900000000000001</v>
      </c>
      <c r="J164" s="17">
        <v>0</v>
      </c>
      <c r="K164" s="20">
        <v>0</v>
      </c>
      <c r="L164" s="45">
        <v>5</v>
      </c>
      <c r="M164" s="53">
        <v>1188</v>
      </c>
      <c r="N164" s="54">
        <v>0.50180000000000002</v>
      </c>
      <c r="O164" t="s">
        <v>65</v>
      </c>
      <c r="P164" s="9">
        <v>46051</v>
      </c>
      <c r="Q164">
        <v>241.73</v>
      </c>
    </row>
    <row r="165" spans="1:17" x14ac:dyDescent="0.25">
      <c r="A165" s="5" t="s">
        <v>178</v>
      </c>
      <c r="B165" s="3" t="str">
        <f t="shared" si="10"/>
        <v>AMZN</v>
      </c>
      <c r="C165" s="3" t="str">
        <f t="shared" si="8"/>
        <v>260515</v>
      </c>
      <c r="D165" s="3" t="str">
        <f t="shared" si="9"/>
        <v>P00160000</v>
      </c>
      <c r="E165" s="39">
        <v>46051.636111111111</v>
      </c>
      <c r="F165" s="6">
        <v>160</v>
      </c>
      <c r="G165" s="45">
        <v>1.1000000000000001</v>
      </c>
      <c r="H165" s="45">
        <v>0.99</v>
      </c>
      <c r="I165" s="45">
        <v>1.06</v>
      </c>
      <c r="J165" s="17">
        <v>0.08</v>
      </c>
      <c r="K165" s="20">
        <v>7.8399999999999997E-2</v>
      </c>
      <c r="L165" s="45">
        <v>31</v>
      </c>
      <c r="M165" s="53">
        <v>2247</v>
      </c>
      <c r="N165" s="54">
        <v>0.46879999999999999</v>
      </c>
      <c r="O165" t="s">
        <v>65</v>
      </c>
      <c r="P165" s="9">
        <v>46051</v>
      </c>
      <c r="Q165">
        <v>241.73</v>
      </c>
    </row>
    <row r="166" spans="1:17" x14ac:dyDescent="0.25">
      <c r="A166" s="5" t="s">
        <v>179</v>
      </c>
      <c r="B166" s="3" t="str">
        <f t="shared" si="10"/>
        <v>AMZN</v>
      </c>
      <c r="C166" s="3" t="str">
        <f t="shared" si="8"/>
        <v>260515</v>
      </c>
      <c r="D166" s="3" t="str">
        <f t="shared" si="9"/>
        <v>P00165000</v>
      </c>
      <c r="E166" s="39">
        <v>46051.508333333331</v>
      </c>
      <c r="F166" s="6">
        <v>165</v>
      </c>
      <c r="G166" s="45">
        <v>1.34</v>
      </c>
      <c r="H166" s="45">
        <v>1.19</v>
      </c>
      <c r="I166" s="45">
        <v>1.27</v>
      </c>
      <c r="J166" s="17">
        <v>0.16</v>
      </c>
      <c r="K166" s="20">
        <v>0.1356</v>
      </c>
      <c r="L166" s="45">
        <v>12</v>
      </c>
      <c r="M166" s="45">
        <v>494</v>
      </c>
      <c r="N166" s="54">
        <v>0.45650000000000002</v>
      </c>
      <c r="O166" t="s">
        <v>65</v>
      </c>
      <c r="P166" s="9">
        <v>46051</v>
      </c>
      <c r="Q166">
        <v>241.73</v>
      </c>
    </row>
    <row r="167" spans="1:17" x14ac:dyDescent="0.25">
      <c r="A167" s="5" t="s">
        <v>180</v>
      </c>
      <c r="B167" s="3" t="str">
        <f t="shared" si="10"/>
        <v>AMZN</v>
      </c>
      <c r="C167" s="3" t="str">
        <f t="shared" si="8"/>
        <v>260515</v>
      </c>
      <c r="D167" s="3" t="str">
        <f t="shared" si="9"/>
        <v>P00170000</v>
      </c>
      <c r="E167" s="39">
        <v>46051.59375</v>
      </c>
      <c r="F167" s="6">
        <v>170</v>
      </c>
      <c r="G167" s="45">
        <v>1.63</v>
      </c>
      <c r="H167" s="45">
        <v>1.47</v>
      </c>
      <c r="I167" s="45">
        <v>1.51</v>
      </c>
      <c r="J167" s="17">
        <v>0.2</v>
      </c>
      <c r="K167" s="20">
        <v>0.1399</v>
      </c>
      <c r="L167" s="45">
        <v>397</v>
      </c>
      <c r="M167" s="53">
        <v>2816</v>
      </c>
      <c r="N167" s="54">
        <v>0.44409999999999999</v>
      </c>
      <c r="O167" t="s">
        <v>65</v>
      </c>
      <c r="P167" s="9">
        <v>46051</v>
      </c>
      <c r="Q167">
        <v>241.73</v>
      </c>
    </row>
    <row r="168" spans="1:17" x14ac:dyDescent="0.25">
      <c r="A168" s="5" t="s">
        <v>181</v>
      </c>
      <c r="B168" s="3" t="str">
        <f t="shared" si="10"/>
        <v>AMZN</v>
      </c>
      <c r="C168" s="3" t="str">
        <f t="shared" si="8"/>
        <v>260515</v>
      </c>
      <c r="D168" s="3" t="str">
        <f t="shared" si="9"/>
        <v>P00175000</v>
      </c>
      <c r="E168" s="39">
        <v>46051.622916666667</v>
      </c>
      <c r="F168" s="6">
        <v>175</v>
      </c>
      <c r="G168" s="45">
        <v>1.94</v>
      </c>
      <c r="H168" s="45">
        <v>1.73</v>
      </c>
      <c r="I168" s="45">
        <v>1.81</v>
      </c>
      <c r="J168" s="17">
        <v>0.39</v>
      </c>
      <c r="K168" s="20">
        <v>0.25159999999999999</v>
      </c>
      <c r="L168" s="45">
        <v>40</v>
      </c>
      <c r="M168" s="53">
        <v>1416</v>
      </c>
      <c r="N168" s="54">
        <v>0.43290000000000001</v>
      </c>
      <c r="O168" t="s">
        <v>65</v>
      </c>
      <c r="P168" s="9">
        <v>46051</v>
      </c>
      <c r="Q168">
        <v>241.73</v>
      </c>
    </row>
    <row r="169" spans="1:17" x14ac:dyDescent="0.25">
      <c r="A169" s="5" t="s">
        <v>182</v>
      </c>
      <c r="B169" s="3" t="str">
        <f t="shared" si="10"/>
        <v>AMZN</v>
      </c>
      <c r="C169" s="3" t="str">
        <f t="shared" si="8"/>
        <v>260515</v>
      </c>
      <c r="D169" s="3" t="str">
        <f t="shared" si="9"/>
        <v>P00180000</v>
      </c>
      <c r="E169" s="39">
        <v>46051.572916666664</v>
      </c>
      <c r="F169" s="6">
        <v>180</v>
      </c>
      <c r="G169" s="45">
        <v>2.36</v>
      </c>
      <c r="H169" s="45">
        <v>2.12</v>
      </c>
      <c r="I169" s="45">
        <v>2.17</v>
      </c>
      <c r="J169" s="17">
        <v>0.34</v>
      </c>
      <c r="K169" s="20">
        <v>0.16830000000000001</v>
      </c>
      <c r="L169" s="45">
        <v>50</v>
      </c>
      <c r="M169" s="53">
        <v>4116</v>
      </c>
      <c r="N169" s="54">
        <v>0.42220000000000002</v>
      </c>
      <c r="O169" t="s">
        <v>65</v>
      </c>
      <c r="P169" s="9">
        <v>46051</v>
      </c>
      <c r="Q169">
        <v>241.73</v>
      </c>
    </row>
    <row r="170" spans="1:17" x14ac:dyDescent="0.25">
      <c r="A170" s="5" t="s">
        <v>183</v>
      </c>
      <c r="B170" s="3" t="str">
        <f t="shared" si="10"/>
        <v>AMZN</v>
      </c>
      <c r="C170" s="3" t="str">
        <f t="shared" si="8"/>
        <v>260515</v>
      </c>
      <c r="D170" s="3" t="str">
        <f t="shared" si="9"/>
        <v>P00185000</v>
      </c>
      <c r="E170" s="39">
        <v>46051.445138888892</v>
      </c>
      <c r="F170" s="6">
        <v>185</v>
      </c>
      <c r="G170" s="45">
        <v>2.98</v>
      </c>
      <c r="H170" s="45">
        <v>2.56</v>
      </c>
      <c r="I170" s="45">
        <v>2.63</v>
      </c>
      <c r="J170" s="17">
        <v>0.56000000000000005</v>
      </c>
      <c r="K170" s="20">
        <v>0.23139999999999999</v>
      </c>
      <c r="L170" s="45">
        <v>13</v>
      </c>
      <c r="M170" s="53">
        <v>4515</v>
      </c>
      <c r="N170" s="54">
        <v>0.41349999999999998</v>
      </c>
      <c r="O170" t="s">
        <v>65</v>
      </c>
      <c r="P170" s="9">
        <v>46051</v>
      </c>
      <c r="Q170">
        <v>241.73</v>
      </c>
    </row>
    <row r="171" spans="1:17" x14ac:dyDescent="0.25">
      <c r="A171" s="5" t="s">
        <v>184</v>
      </c>
      <c r="B171" s="3" t="str">
        <f t="shared" si="10"/>
        <v>AMZN</v>
      </c>
      <c r="C171" s="3" t="str">
        <f t="shared" si="8"/>
        <v>260515</v>
      </c>
      <c r="D171" s="3" t="str">
        <f t="shared" si="9"/>
        <v>P00190000</v>
      </c>
      <c r="E171" s="39">
        <v>46051.601388888892</v>
      </c>
      <c r="F171" s="6">
        <v>190</v>
      </c>
      <c r="G171" s="45">
        <v>3.4</v>
      </c>
      <c r="H171" s="45">
        <v>3.05</v>
      </c>
      <c r="I171" s="45">
        <v>3.15</v>
      </c>
      <c r="J171" s="17">
        <v>0.47</v>
      </c>
      <c r="K171" s="20">
        <v>0.16039999999999999</v>
      </c>
      <c r="L171" s="45">
        <v>23</v>
      </c>
      <c r="M171" s="53">
        <v>2653</v>
      </c>
      <c r="N171" s="54">
        <v>0.40389999999999998</v>
      </c>
      <c r="O171" t="s">
        <v>65</v>
      </c>
      <c r="P171" s="9">
        <v>46051</v>
      </c>
      <c r="Q171">
        <v>241.73</v>
      </c>
    </row>
    <row r="172" spans="1:17" x14ac:dyDescent="0.25">
      <c r="A172" s="5" t="s">
        <v>185</v>
      </c>
      <c r="B172" s="3" t="str">
        <f t="shared" si="10"/>
        <v>AMZN</v>
      </c>
      <c r="C172" s="3" t="str">
        <f t="shared" si="8"/>
        <v>260515</v>
      </c>
      <c r="D172" s="3" t="str">
        <f t="shared" si="9"/>
        <v>P00195000</v>
      </c>
      <c r="E172" s="39">
        <v>46051.652083333334</v>
      </c>
      <c r="F172" s="6">
        <v>195</v>
      </c>
      <c r="G172" s="45">
        <v>3.84</v>
      </c>
      <c r="H172" s="45">
        <v>3.7</v>
      </c>
      <c r="I172" s="45">
        <v>3.85</v>
      </c>
      <c r="J172" s="17">
        <v>0.28999999999999998</v>
      </c>
      <c r="K172" s="20">
        <v>8.1699999999999995E-2</v>
      </c>
      <c r="L172" s="45">
        <v>18</v>
      </c>
      <c r="M172" s="53">
        <v>7274</v>
      </c>
      <c r="N172" s="54">
        <v>0.39789999999999998</v>
      </c>
      <c r="O172" t="s">
        <v>65</v>
      </c>
      <c r="P172" s="9">
        <v>46051</v>
      </c>
      <c r="Q172">
        <v>241.73</v>
      </c>
    </row>
    <row r="173" spans="1:17" x14ac:dyDescent="0.25">
      <c r="A173" s="5" t="s">
        <v>186</v>
      </c>
      <c r="B173" s="3" t="str">
        <f t="shared" si="10"/>
        <v>AMZN</v>
      </c>
      <c r="C173" s="3" t="str">
        <f t="shared" si="8"/>
        <v>260515</v>
      </c>
      <c r="D173" s="3" t="str">
        <f t="shared" si="9"/>
        <v>P00200000</v>
      </c>
      <c r="E173" s="39">
        <v>46051.65902777778</v>
      </c>
      <c r="F173" s="6">
        <v>200</v>
      </c>
      <c r="G173" s="45">
        <v>4.6500000000000004</v>
      </c>
      <c r="H173" s="45">
        <v>4.5</v>
      </c>
      <c r="I173" s="45">
        <v>4.5999999999999996</v>
      </c>
      <c r="J173" s="17">
        <v>0.42</v>
      </c>
      <c r="K173" s="20">
        <v>9.9299999999999999E-2</v>
      </c>
      <c r="L173" s="45">
        <v>74</v>
      </c>
      <c r="M173" s="53">
        <v>5980</v>
      </c>
      <c r="N173" s="54">
        <v>0.38969999999999999</v>
      </c>
      <c r="O173" t="s">
        <v>65</v>
      </c>
      <c r="P173" s="9">
        <v>46051</v>
      </c>
      <c r="Q173">
        <v>241.73</v>
      </c>
    </row>
    <row r="174" spans="1:17" x14ac:dyDescent="0.25">
      <c r="A174" s="5" t="s">
        <v>187</v>
      </c>
      <c r="B174" s="3" t="str">
        <f t="shared" si="10"/>
        <v>AMZN</v>
      </c>
      <c r="C174" s="3" t="str">
        <f t="shared" si="8"/>
        <v>260515</v>
      </c>
      <c r="D174" s="3" t="str">
        <f t="shared" si="9"/>
        <v>P00205000</v>
      </c>
      <c r="E174" s="39">
        <v>46051.618750000001</v>
      </c>
      <c r="F174" s="6">
        <v>205</v>
      </c>
      <c r="G174" s="45">
        <v>5.95</v>
      </c>
      <c r="H174" s="45">
        <v>5.4</v>
      </c>
      <c r="I174" s="45">
        <v>5.5</v>
      </c>
      <c r="J174" s="17">
        <v>0.85</v>
      </c>
      <c r="K174" s="20">
        <v>0.16669999999999999</v>
      </c>
      <c r="L174" s="45">
        <v>48</v>
      </c>
      <c r="M174" s="53">
        <v>2603</v>
      </c>
      <c r="N174" s="54">
        <v>0.38250000000000001</v>
      </c>
      <c r="O174" t="s">
        <v>65</v>
      </c>
      <c r="P174" s="9">
        <v>46051</v>
      </c>
      <c r="Q174">
        <v>241.73</v>
      </c>
    </row>
    <row r="175" spans="1:17" x14ac:dyDescent="0.25">
      <c r="A175" s="5" t="s">
        <v>188</v>
      </c>
      <c r="B175" s="3" t="str">
        <f t="shared" si="10"/>
        <v>AMZN</v>
      </c>
      <c r="C175" s="3" t="str">
        <f t="shared" si="8"/>
        <v>260515</v>
      </c>
      <c r="D175" s="3" t="str">
        <f t="shared" si="9"/>
        <v>P00210000</v>
      </c>
      <c r="E175" s="39">
        <v>46051.647916666669</v>
      </c>
      <c r="F175" s="6">
        <v>210</v>
      </c>
      <c r="G175" s="45">
        <v>6.52</v>
      </c>
      <c r="H175" s="45">
        <v>6.45</v>
      </c>
      <c r="I175" s="45">
        <v>6.55</v>
      </c>
      <c r="J175" s="17">
        <v>0.37</v>
      </c>
      <c r="K175" s="20">
        <v>6.0199999999999997E-2</v>
      </c>
      <c r="L175" s="45">
        <v>65</v>
      </c>
      <c r="M175" s="53">
        <v>4454</v>
      </c>
      <c r="N175" s="54">
        <v>0.37559999999999999</v>
      </c>
      <c r="O175" t="s">
        <v>65</v>
      </c>
      <c r="P175" s="9">
        <v>46051</v>
      </c>
      <c r="Q175">
        <v>241.73</v>
      </c>
    </row>
    <row r="176" spans="1:17" x14ac:dyDescent="0.25">
      <c r="A176" s="5" t="s">
        <v>189</v>
      </c>
      <c r="B176" s="3" t="str">
        <f t="shared" si="10"/>
        <v>AMZN</v>
      </c>
      <c r="C176" s="3" t="str">
        <f t="shared" si="8"/>
        <v>260515</v>
      </c>
      <c r="D176" s="3" t="str">
        <f t="shared" si="9"/>
        <v>P00215000</v>
      </c>
      <c r="E176" s="39">
        <v>46051.665972222225</v>
      </c>
      <c r="F176" s="6">
        <v>215</v>
      </c>
      <c r="G176" s="45">
        <v>7.69</v>
      </c>
      <c r="H176" s="45">
        <v>7.65</v>
      </c>
      <c r="I176" s="45">
        <v>7.8</v>
      </c>
      <c r="J176" s="17">
        <v>0.54</v>
      </c>
      <c r="K176" s="20">
        <v>7.5499999999999998E-2</v>
      </c>
      <c r="L176" s="45">
        <v>101</v>
      </c>
      <c r="M176" s="53">
        <v>2711</v>
      </c>
      <c r="N176" s="54">
        <v>0.37</v>
      </c>
      <c r="O176" t="s">
        <v>65</v>
      </c>
      <c r="P176" s="9">
        <v>46051</v>
      </c>
      <c r="Q176">
        <v>241.73</v>
      </c>
    </row>
    <row r="177" spans="1:17" x14ac:dyDescent="0.25">
      <c r="A177" s="5" t="s">
        <v>190</v>
      </c>
      <c r="B177" s="3" t="str">
        <f t="shared" si="10"/>
        <v>AMZN</v>
      </c>
      <c r="C177" s="3" t="str">
        <f t="shared" si="8"/>
        <v>260515</v>
      </c>
      <c r="D177" s="3" t="str">
        <f t="shared" si="9"/>
        <v>P00220000</v>
      </c>
      <c r="E177" s="39">
        <v>46051.606944444444</v>
      </c>
      <c r="F177" s="6">
        <v>220</v>
      </c>
      <c r="G177" s="45">
        <v>10</v>
      </c>
      <c r="H177" s="45">
        <v>9.1</v>
      </c>
      <c r="I177" s="45">
        <v>9.25</v>
      </c>
      <c r="J177" s="17">
        <v>1.36</v>
      </c>
      <c r="K177" s="20">
        <v>0.15740000000000001</v>
      </c>
      <c r="L177" s="45">
        <v>195</v>
      </c>
      <c r="M177" s="53">
        <v>5988</v>
      </c>
      <c r="N177" s="54">
        <v>0.36509999999999998</v>
      </c>
      <c r="O177" t="s">
        <v>65</v>
      </c>
      <c r="P177" s="9">
        <v>46051</v>
      </c>
      <c r="Q177">
        <v>241.73</v>
      </c>
    </row>
    <row r="178" spans="1:17" x14ac:dyDescent="0.25">
      <c r="A178" s="5" t="s">
        <v>191</v>
      </c>
      <c r="B178" s="3" t="str">
        <f t="shared" si="10"/>
        <v>AMZN</v>
      </c>
      <c r="C178" s="3" t="str">
        <f t="shared" si="8"/>
        <v>260515</v>
      </c>
      <c r="D178" s="3" t="str">
        <f t="shared" si="9"/>
        <v>P00225000</v>
      </c>
      <c r="E178" s="39">
        <v>46051.643750000003</v>
      </c>
      <c r="F178" s="6">
        <v>225</v>
      </c>
      <c r="G178" s="45">
        <v>11.4</v>
      </c>
      <c r="H178" s="45">
        <v>10.7</v>
      </c>
      <c r="I178" s="45">
        <v>10.85</v>
      </c>
      <c r="J178" s="17">
        <v>0.9</v>
      </c>
      <c r="K178" s="20">
        <v>8.5699999999999998E-2</v>
      </c>
      <c r="L178" s="45">
        <v>76</v>
      </c>
      <c r="M178" s="53">
        <v>4196</v>
      </c>
      <c r="N178" s="54">
        <v>0.3594</v>
      </c>
      <c r="O178" t="s">
        <v>65</v>
      </c>
      <c r="P178" s="9">
        <v>46051</v>
      </c>
      <c r="Q178">
        <v>241.73</v>
      </c>
    </row>
    <row r="179" spans="1:17" x14ac:dyDescent="0.25">
      <c r="A179" s="5" t="s">
        <v>192</v>
      </c>
      <c r="B179" s="3" t="str">
        <f t="shared" si="10"/>
        <v>AMZN</v>
      </c>
      <c r="C179" s="3" t="str">
        <f t="shared" si="8"/>
        <v>260515</v>
      </c>
      <c r="D179" s="3" t="str">
        <f t="shared" si="9"/>
        <v>P00230000</v>
      </c>
      <c r="E179" s="39">
        <v>46051.572916666664</v>
      </c>
      <c r="F179" s="6">
        <v>230</v>
      </c>
      <c r="G179" s="45">
        <v>13.6</v>
      </c>
      <c r="H179" s="45">
        <v>12.55</v>
      </c>
      <c r="I179" s="45">
        <v>12.7</v>
      </c>
      <c r="J179" s="17">
        <v>1.44</v>
      </c>
      <c r="K179" s="20">
        <v>0.11840000000000001</v>
      </c>
      <c r="L179" s="45">
        <v>66</v>
      </c>
      <c r="M179" s="53">
        <v>2718</v>
      </c>
      <c r="N179" s="54">
        <v>0.3548</v>
      </c>
      <c r="O179" t="s">
        <v>65</v>
      </c>
      <c r="P179" s="9">
        <v>46051</v>
      </c>
      <c r="Q179">
        <v>241.73</v>
      </c>
    </row>
    <row r="180" spans="1:17" x14ac:dyDescent="0.25">
      <c r="A180" s="5" t="s">
        <v>193</v>
      </c>
      <c r="B180" s="3" t="str">
        <f t="shared" si="10"/>
        <v>AMZN</v>
      </c>
      <c r="C180" s="3" t="str">
        <f t="shared" ref="C180:C243" si="11">+MID(A180,5,6)</f>
        <v>260515</v>
      </c>
      <c r="D180" s="3" t="str">
        <f t="shared" ref="D180:D243" si="12">+MID(A180,11,10)</f>
        <v>P00235000</v>
      </c>
      <c r="E180" s="39">
        <v>46051.647916666669</v>
      </c>
      <c r="F180" s="6">
        <v>235</v>
      </c>
      <c r="G180" s="45">
        <v>15.5</v>
      </c>
      <c r="H180" s="45">
        <v>14.55</v>
      </c>
      <c r="I180" s="45">
        <v>14.8</v>
      </c>
      <c r="J180" s="17">
        <v>1.6</v>
      </c>
      <c r="K180" s="20">
        <v>0.11509999999999999</v>
      </c>
      <c r="L180" s="45">
        <v>146</v>
      </c>
      <c r="M180" s="53">
        <v>3171</v>
      </c>
      <c r="N180" s="54">
        <v>0.35120000000000001</v>
      </c>
      <c r="O180" t="s">
        <v>65</v>
      </c>
      <c r="P180" s="9">
        <v>46051</v>
      </c>
      <c r="Q180">
        <v>241.73</v>
      </c>
    </row>
    <row r="181" spans="1:17" x14ac:dyDescent="0.25">
      <c r="A181" s="5" t="s">
        <v>194</v>
      </c>
      <c r="B181" s="3" t="str">
        <f t="shared" si="10"/>
        <v>AMZN</v>
      </c>
      <c r="C181" s="3" t="str">
        <f t="shared" si="11"/>
        <v>260515</v>
      </c>
      <c r="D181" s="3" t="str">
        <f t="shared" si="12"/>
        <v>P00240000</v>
      </c>
      <c r="E181" s="39">
        <v>46051.652777777781</v>
      </c>
      <c r="F181" s="6">
        <v>240</v>
      </c>
      <c r="G181" s="45">
        <v>17.27</v>
      </c>
      <c r="H181" s="45">
        <v>16.850000000000001</v>
      </c>
      <c r="I181" s="45">
        <v>17.05</v>
      </c>
      <c r="J181" s="17">
        <v>1.07</v>
      </c>
      <c r="K181" s="20">
        <v>6.6000000000000003E-2</v>
      </c>
      <c r="L181" s="45">
        <v>383</v>
      </c>
      <c r="M181" s="53">
        <v>1588</v>
      </c>
      <c r="N181" s="54">
        <v>0.3463</v>
      </c>
      <c r="O181" t="s">
        <v>65</v>
      </c>
      <c r="P181" s="9">
        <v>46051</v>
      </c>
      <c r="Q181">
        <v>241.73</v>
      </c>
    </row>
    <row r="182" spans="1:17" x14ac:dyDescent="0.25">
      <c r="A182" s="3" t="s">
        <v>195</v>
      </c>
      <c r="B182" s="3" t="str">
        <f t="shared" si="10"/>
        <v>AMZN</v>
      </c>
      <c r="C182" s="3" t="str">
        <f t="shared" si="11"/>
        <v>260515</v>
      </c>
      <c r="D182" s="3" t="str">
        <f t="shared" si="12"/>
        <v>P00245000</v>
      </c>
      <c r="E182" s="38">
        <v>46051.647916666669</v>
      </c>
      <c r="F182" s="4">
        <v>245</v>
      </c>
      <c r="G182" s="49">
        <v>20.399999999999999</v>
      </c>
      <c r="H182" s="49">
        <v>19.350000000000001</v>
      </c>
      <c r="I182" s="49">
        <v>20.05</v>
      </c>
      <c r="J182" s="18">
        <v>2</v>
      </c>
      <c r="K182" s="19">
        <v>0.1087</v>
      </c>
      <c r="L182" s="49">
        <v>51</v>
      </c>
      <c r="M182" s="49">
        <v>958</v>
      </c>
      <c r="N182" s="51">
        <v>0.35170000000000001</v>
      </c>
      <c r="O182" t="s">
        <v>65</v>
      </c>
      <c r="P182" s="9">
        <v>46051</v>
      </c>
      <c r="Q182">
        <v>241.73</v>
      </c>
    </row>
    <row r="183" spans="1:17" x14ac:dyDescent="0.25">
      <c r="A183" s="3" t="s">
        <v>196</v>
      </c>
      <c r="B183" s="3" t="str">
        <f t="shared" si="10"/>
        <v>AMZN</v>
      </c>
      <c r="C183" s="3" t="str">
        <f t="shared" si="11"/>
        <v>260515</v>
      </c>
      <c r="D183" s="3" t="str">
        <f t="shared" si="12"/>
        <v>P00250000</v>
      </c>
      <c r="E183" s="38">
        <v>46051.543749999997</v>
      </c>
      <c r="F183" s="4">
        <v>250</v>
      </c>
      <c r="G183" s="49">
        <v>23.75</v>
      </c>
      <c r="H183" s="49">
        <v>22.05</v>
      </c>
      <c r="I183" s="49">
        <v>22.3</v>
      </c>
      <c r="J183" s="18">
        <v>2.4</v>
      </c>
      <c r="K183" s="19">
        <v>0.1124</v>
      </c>
      <c r="L183" s="49">
        <v>22</v>
      </c>
      <c r="M183" s="52">
        <v>2896</v>
      </c>
      <c r="N183" s="51">
        <v>0.33850000000000002</v>
      </c>
      <c r="O183" t="s">
        <v>65</v>
      </c>
      <c r="P183" s="9">
        <v>46051</v>
      </c>
      <c r="Q183">
        <v>241.73</v>
      </c>
    </row>
    <row r="184" spans="1:17" x14ac:dyDescent="0.25">
      <c r="A184" s="3" t="s">
        <v>197</v>
      </c>
      <c r="B184" s="3" t="str">
        <f t="shared" si="10"/>
        <v>AMZN</v>
      </c>
      <c r="C184" s="3" t="str">
        <f t="shared" si="11"/>
        <v>260515</v>
      </c>
      <c r="D184" s="3" t="str">
        <f t="shared" si="12"/>
        <v>P00255000</v>
      </c>
      <c r="E184" s="38">
        <v>46051.647916666669</v>
      </c>
      <c r="F184" s="4">
        <v>255</v>
      </c>
      <c r="G184" s="49">
        <v>26.13</v>
      </c>
      <c r="H184" s="49">
        <v>25</v>
      </c>
      <c r="I184" s="49">
        <v>25.35</v>
      </c>
      <c r="J184" s="18">
        <v>2.0299999999999998</v>
      </c>
      <c r="K184" s="19">
        <v>8.4199999999999997E-2</v>
      </c>
      <c r="L184" s="49">
        <v>2</v>
      </c>
      <c r="M184" s="52">
        <v>1200</v>
      </c>
      <c r="N184" s="51">
        <v>0.33660000000000001</v>
      </c>
      <c r="O184" t="s">
        <v>65</v>
      </c>
      <c r="P184" s="9">
        <v>46051</v>
      </c>
      <c r="Q184">
        <v>241.73</v>
      </c>
    </row>
    <row r="185" spans="1:17" x14ac:dyDescent="0.25">
      <c r="A185" s="3" t="s">
        <v>198</v>
      </c>
      <c r="B185" s="3" t="str">
        <f t="shared" si="10"/>
        <v>AMZN</v>
      </c>
      <c r="C185" s="3" t="str">
        <f t="shared" si="11"/>
        <v>260515</v>
      </c>
      <c r="D185" s="3" t="str">
        <f t="shared" si="12"/>
        <v>P00260000</v>
      </c>
      <c r="E185" s="38">
        <v>46051.649305555555</v>
      </c>
      <c r="F185" s="4">
        <v>260</v>
      </c>
      <c r="G185" s="49">
        <v>29.32</v>
      </c>
      <c r="H185" s="49">
        <v>28.15</v>
      </c>
      <c r="I185" s="49">
        <v>29.15</v>
      </c>
      <c r="J185" s="18">
        <v>1.57</v>
      </c>
      <c r="K185" s="19">
        <v>5.6599999999999998E-2</v>
      </c>
      <c r="L185" s="49">
        <v>98</v>
      </c>
      <c r="M185" s="49">
        <v>385</v>
      </c>
      <c r="N185" s="51">
        <v>0.34570000000000001</v>
      </c>
      <c r="O185" t="s">
        <v>65</v>
      </c>
      <c r="P185" s="9">
        <v>46051</v>
      </c>
      <c r="Q185">
        <v>241.73</v>
      </c>
    </row>
    <row r="186" spans="1:17" x14ac:dyDescent="0.25">
      <c r="A186" s="3" t="s">
        <v>199</v>
      </c>
      <c r="B186" s="3" t="str">
        <f t="shared" si="10"/>
        <v>AMZN</v>
      </c>
      <c r="C186" s="3" t="str">
        <f t="shared" si="11"/>
        <v>260515</v>
      </c>
      <c r="D186" s="3" t="str">
        <f t="shared" si="12"/>
        <v>P00265000</v>
      </c>
      <c r="E186" s="38">
        <v>46050.425694444442</v>
      </c>
      <c r="F186" s="4">
        <v>265</v>
      </c>
      <c r="G186" s="49">
        <v>29</v>
      </c>
      <c r="H186" s="49">
        <v>31</v>
      </c>
      <c r="I186" s="49">
        <v>32.35</v>
      </c>
      <c r="J186" s="18">
        <v>0</v>
      </c>
      <c r="K186" s="19">
        <v>0</v>
      </c>
      <c r="L186" s="49">
        <v>2</v>
      </c>
      <c r="M186" s="49">
        <v>125</v>
      </c>
      <c r="N186" s="51">
        <v>0.33910000000000001</v>
      </c>
      <c r="O186" t="s">
        <v>65</v>
      </c>
      <c r="P186" s="9">
        <v>46051</v>
      </c>
      <c r="Q186">
        <v>241.73</v>
      </c>
    </row>
    <row r="187" spans="1:17" x14ac:dyDescent="0.25">
      <c r="A187" s="3" t="s">
        <v>200</v>
      </c>
      <c r="B187" s="3" t="str">
        <f t="shared" si="10"/>
        <v>AMZN</v>
      </c>
      <c r="C187" s="3" t="str">
        <f t="shared" si="11"/>
        <v>260515</v>
      </c>
      <c r="D187" s="3" t="str">
        <f t="shared" si="12"/>
        <v>P00270000</v>
      </c>
      <c r="E187" s="38">
        <v>46051.416666666664</v>
      </c>
      <c r="F187" s="4">
        <v>270</v>
      </c>
      <c r="G187" s="49">
        <v>37.25</v>
      </c>
      <c r="H187" s="49">
        <v>34.549999999999997</v>
      </c>
      <c r="I187" s="49">
        <v>35.9</v>
      </c>
      <c r="J187" s="18">
        <v>3.22</v>
      </c>
      <c r="K187" s="19">
        <v>9.4600000000000004E-2</v>
      </c>
      <c r="L187" s="49">
        <v>4</v>
      </c>
      <c r="M187" s="49">
        <v>158</v>
      </c>
      <c r="N187" s="51">
        <v>0.3357</v>
      </c>
      <c r="O187" t="s">
        <v>65</v>
      </c>
      <c r="P187" s="9">
        <v>46051</v>
      </c>
      <c r="Q187">
        <v>241.73</v>
      </c>
    </row>
    <row r="188" spans="1:17" x14ac:dyDescent="0.25">
      <c r="A188" s="3" t="s">
        <v>201</v>
      </c>
      <c r="B188" s="3" t="str">
        <f t="shared" si="10"/>
        <v>AMZN</v>
      </c>
      <c r="C188" s="3" t="str">
        <f t="shared" si="11"/>
        <v>260515</v>
      </c>
      <c r="D188" s="3" t="str">
        <f t="shared" si="12"/>
        <v>P00275000</v>
      </c>
      <c r="E188" s="38">
        <v>46051.634722222225</v>
      </c>
      <c r="F188" s="4">
        <v>275</v>
      </c>
      <c r="G188" s="49">
        <v>40.35</v>
      </c>
      <c r="H188" s="49">
        <v>38.299999999999997</v>
      </c>
      <c r="I188" s="49">
        <v>39.549999999999997</v>
      </c>
      <c r="J188" s="18">
        <v>1.75</v>
      </c>
      <c r="K188" s="19">
        <v>4.53E-2</v>
      </c>
      <c r="L188" s="49">
        <v>3</v>
      </c>
      <c r="M188" s="49">
        <v>194</v>
      </c>
      <c r="N188" s="51">
        <v>0.33050000000000002</v>
      </c>
      <c r="O188" t="s">
        <v>65</v>
      </c>
      <c r="P188" s="9">
        <v>46051</v>
      </c>
      <c r="Q188">
        <v>241.73</v>
      </c>
    </row>
    <row r="189" spans="1:17" x14ac:dyDescent="0.25">
      <c r="A189" s="3" t="s">
        <v>202</v>
      </c>
      <c r="B189" s="3" t="str">
        <f t="shared" si="10"/>
        <v>AMZN</v>
      </c>
      <c r="C189" s="3" t="str">
        <f t="shared" si="11"/>
        <v>260515</v>
      </c>
      <c r="D189" s="3" t="str">
        <f t="shared" si="12"/>
        <v>P00280000</v>
      </c>
      <c r="E189" s="38">
        <v>46044.397222222222</v>
      </c>
      <c r="F189" s="4">
        <v>280</v>
      </c>
      <c r="G189" s="49">
        <v>48.4</v>
      </c>
      <c r="H189" s="49">
        <v>42.15</v>
      </c>
      <c r="I189" s="49">
        <v>43.6</v>
      </c>
      <c r="J189" s="18">
        <v>0</v>
      </c>
      <c r="K189" s="19">
        <v>0</v>
      </c>
      <c r="L189" s="49">
        <v>4</v>
      </c>
      <c r="M189" s="49">
        <v>126</v>
      </c>
      <c r="N189" s="51">
        <v>0.33110000000000001</v>
      </c>
      <c r="O189" t="s">
        <v>65</v>
      </c>
      <c r="P189" s="9">
        <v>46051</v>
      </c>
      <c r="Q189">
        <v>241.73</v>
      </c>
    </row>
    <row r="190" spans="1:17" x14ac:dyDescent="0.25">
      <c r="A190" s="3" t="s">
        <v>203</v>
      </c>
      <c r="B190" s="3" t="str">
        <f t="shared" si="10"/>
        <v>AMZN</v>
      </c>
      <c r="C190" s="3" t="str">
        <f t="shared" si="11"/>
        <v>260515</v>
      </c>
      <c r="D190" s="3" t="str">
        <f t="shared" si="12"/>
        <v>P00285000</v>
      </c>
      <c r="E190" s="38">
        <v>46045.488888888889</v>
      </c>
      <c r="F190" s="4">
        <v>285</v>
      </c>
      <c r="G190" s="49">
        <v>47.9</v>
      </c>
      <c r="H190" s="49">
        <v>46.2</v>
      </c>
      <c r="I190" s="49">
        <v>47.7</v>
      </c>
      <c r="J190" s="18">
        <v>0</v>
      </c>
      <c r="K190" s="19">
        <v>0</v>
      </c>
      <c r="L190" s="49">
        <v>15</v>
      </c>
      <c r="M190" s="49">
        <v>152</v>
      </c>
      <c r="N190" s="51">
        <v>0.32940000000000003</v>
      </c>
      <c r="O190" t="s">
        <v>65</v>
      </c>
      <c r="P190" s="9">
        <v>46051</v>
      </c>
      <c r="Q190">
        <v>241.73</v>
      </c>
    </row>
    <row r="191" spans="1:17" x14ac:dyDescent="0.25">
      <c r="A191" s="3" t="s">
        <v>204</v>
      </c>
      <c r="B191" s="3" t="str">
        <f t="shared" si="10"/>
        <v>AMZN</v>
      </c>
      <c r="C191" s="3" t="str">
        <f t="shared" si="11"/>
        <v>260515</v>
      </c>
      <c r="D191" s="3" t="str">
        <f t="shared" si="12"/>
        <v>P00290000</v>
      </c>
      <c r="E191" s="38">
        <v>46051.400694444441</v>
      </c>
      <c r="F191" s="4">
        <v>290</v>
      </c>
      <c r="G191" s="49">
        <v>51</v>
      </c>
      <c r="H191" s="49">
        <v>50.4</v>
      </c>
      <c r="I191" s="49">
        <v>51.95</v>
      </c>
      <c r="J191" s="18">
        <v>-1.95</v>
      </c>
      <c r="K191" s="19">
        <v>-3.6799999999999999E-2</v>
      </c>
      <c r="L191" s="49">
        <v>5</v>
      </c>
      <c r="M191" s="49">
        <v>178</v>
      </c>
      <c r="N191" s="51">
        <v>0.32840000000000003</v>
      </c>
      <c r="O191" t="s">
        <v>65</v>
      </c>
      <c r="P191" s="9">
        <v>46051</v>
      </c>
      <c r="Q191">
        <v>241.73</v>
      </c>
    </row>
    <row r="192" spans="1:17" x14ac:dyDescent="0.25">
      <c r="A192" s="3" t="s">
        <v>205</v>
      </c>
      <c r="B192" s="3" t="str">
        <f t="shared" si="10"/>
        <v>AMZN</v>
      </c>
      <c r="C192" s="3" t="str">
        <f t="shared" si="11"/>
        <v>260515</v>
      </c>
      <c r="D192" s="3" t="str">
        <f t="shared" si="12"/>
        <v>P00295000</v>
      </c>
      <c r="E192" s="38">
        <v>46042.594444444447</v>
      </c>
      <c r="F192" s="4">
        <v>295</v>
      </c>
      <c r="G192" s="49">
        <v>65.150000000000006</v>
      </c>
      <c r="H192" s="49">
        <v>54.7</v>
      </c>
      <c r="I192" s="49">
        <v>56.3</v>
      </c>
      <c r="J192" s="18">
        <v>0</v>
      </c>
      <c r="K192" s="19">
        <v>0</v>
      </c>
      <c r="L192" s="49">
        <v>64</v>
      </c>
      <c r="M192" s="49">
        <v>44</v>
      </c>
      <c r="N192" s="51">
        <v>0.32719999999999999</v>
      </c>
      <c r="O192" t="s">
        <v>65</v>
      </c>
      <c r="P192" s="9">
        <v>46051</v>
      </c>
      <c r="Q192">
        <v>241.73</v>
      </c>
    </row>
    <row r="193" spans="1:17" x14ac:dyDescent="0.25">
      <c r="A193" s="3" t="s">
        <v>206</v>
      </c>
      <c r="B193" s="3" t="str">
        <f t="shared" si="10"/>
        <v>AMZN</v>
      </c>
      <c r="C193" s="3" t="str">
        <f t="shared" si="11"/>
        <v>260515</v>
      </c>
      <c r="D193" s="3" t="str">
        <f t="shared" si="12"/>
        <v>P00300000</v>
      </c>
      <c r="E193" s="38">
        <v>46048.42291666667</v>
      </c>
      <c r="F193" s="4">
        <v>300</v>
      </c>
      <c r="G193" s="49">
        <v>62.42</v>
      </c>
      <c r="H193" s="49">
        <v>59.15</v>
      </c>
      <c r="I193" s="49">
        <v>60.8</v>
      </c>
      <c r="J193" s="18">
        <v>0</v>
      </c>
      <c r="K193" s="19">
        <v>0</v>
      </c>
      <c r="L193" s="49">
        <v>1</v>
      </c>
      <c r="M193" s="49">
        <v>76</v>
      </c>
      <c r="N193" s="51">
        <v>0.32769999999999999</v>
      </c>
      <c r="O193" t="s">
        <v>65</v>
      </c>
      <c r="P193" s="9">
        <v>46051</v>
      </c>
      <c r="Q193">
        <v>241.73</v>
      </c>
    </row>
    <row r="194" spans="1:17" x14ac:dyDescent="0.25">
      <c r="A194" s="3" t="s">
        <v>207</v>
      </c>
      <c r="B194" s="3" t="str">
        <f t="shared" si="10"/>
        <v>AMZN</v>
      </c>
      <c r="C194" s="3" t="str">
        <f t="shared" si="11"/>
        <v>260515</v>
      </c>
      <c r="D194" s="3" t="str">
        <f t="shared" si="12"/>
        <v>P00305000</v>
      </c>
      <c r="E194" s="38">
        <v>46002.415277777778</v>
      </c>
      <c r="F194" s="4">
        <v>305</v>
      </c>
      <c r="G194" s="49">
        <v>75.2</v>
      </c>
      <c r="H194" s="49">
        <v>63.7</v>
      </c>
      <c r="I194" s="49">
        <v>65.400000000000006</v>
      </c>
      <c r="J194" s="18">
        <v>0</v>
      </c>
      <c r="K194" s="19">
        <v>0</v>
      </c>
      <c r="L194" s="49">
        <v>5</v>
      </c>
      <c r="M194" s="49">
        <v>0</v>
      </c>
      <c r="N194" s="51">
        <v>0.32919999999999999</v>
      </c>
      <c r="O194" t="s">
        <v>65</v>
      </c>
      <c r="P194" s="9">
        <v>46051</v>
      </c>
      <c r="Q194">
        <v>241.73</v>
      </c>
    </row>
    <row r="195" spans="1:17" x14ac:dyDescent="0.25">
      <c r="A195" s="3" t="s">
        <v>208</v>
      </c>
      <c r="B195" s="3" t="str">
        <f t="shared" ref="B195:B258" si="13">+MID(A195,1,4)</f>
        <v>AMZN</v>
      </c>
      <c r="C195" s="3" t="str">
        <f t="shared" si="11"/>
        <v>260515</v>
      </c>
      <c r="D195" s="3" t="str">
        <f t="shared" si="12"/>
        <v>P00310000</v>
      </c>
      <c r="E195" s="38">
        <v>46035.649305555555</v>
      </c>
      <c r="F195" s="4">
        <v>310</v>
      </c>
      <c r="G195" s="49">
        <v>68.8</v>
      </c>
      <c r="H195" s="49">
        <v>68.3</v>
      </c>
      <c r="I195" s="49">
        <v>70.05</v>
      </c>
      <c r="J195" s="18">
        <v>0</v>
      </c>
      <c r="K195" s="19">
        <v>0</v>
      </c>
      <c r="L195" s="49">
        <v>22</v>
      </c>
      <c r="M195" s="49">
        <v>12</v>
      </c>
      <c r="N195" s="51">
        <v>0.3301</v>
      </c>
      <c r="O195" t="s">
        <v>65</v>
      </c>
      <c r="P195" s="9">
        <v>46051</v>
      </c>
      <c r="Q195">
        <v>241.73</v>
      </c>
    </row>
    <row r="196" spans="1:17" x14ac:dyDescent="0.25">
      <c r="A196" s="3" t="s">
        <v>209</v>
      </c>
      <c r="B196" s="3" t="str">
        <f t="shared" si="13"/>
        <v>AMZN</v>
      </c>
      <c r="C196" s="3" t="str">
        <f t="shared" si="11"/>
        <v>260515</v>
      </c>
      <c r="D196" s="3" t="str">
        <f t="shared" si="12"/>
        <v>P00315000</v>
      </c>
      <c r="E196" s="38">
        <v>46028.548611111109</v>
      </c>
      <c r="F196" s="4">
        <v>315</v>
      </c>
      <c r="G196" s="49">
        <v>73.739999999999995</v>
      </c>
      <c r="H196" s="49">
        <v>73</v>
      </c>
      <c r="I196" s="49">
        <v>74.8</v>
      </c>
      <c r="J196" s="18">
        <v>0</v>
      </c>
      <c r="K196" s="19">
        <v>0</v>
      </c>
      <c r="L196" s="49">
        <v>1</v>
      </c>
      <c r="M196" s="49">
        <v>0</v>
      </c>
      <c r="N196" s="51">
        <v>0.33339999999999997</v>
      </c>
      <c r="O196" t="s">
        <v>65</v>
      </c>
      <c r="P196" s="9">
        <v>46051</v>
      </c>
      <c r="Q196">
        <v>241.73</v>
      </c>
    </row>
    <row r="197" spans="1:17" x14ac:dyDescent="0.25">
      <c r="A197" s="7" t="s">
        <v>210</v>
      </c>
      <c r="B197" s="3" t="str">
        <f t="shared" si="13"/>
        <v>AMZN</v>
      </c>
      <c r="C197" s="3" t="str">
        <f t="shared" si="11"/>
        <v>260515</v>
      </c>
      <c r="D197" s="3" t="str">
        <f t="shared" si="12"/>
        <v>P00320000</v>
      </c>
      <c r="E197" s="40">
        <v>46034.511111111111</v>
      </c>
      <c r="F197" s="8">
        <v>320</v>
      </c>
      <c r="G197" s="50">
        <v>72.3</v>
      </c>
      <c r="H197" s="50">
        <v>77.8</v>
      </c>
      <c r="I197" s="50">
        <v>79.599999999999994</v>
      </c>
      <c r="J197" s="21">
        <v>0</v>
      </c>
      <c r="K197" s="22">
        <v>0</v>
      </c>
      <c r="L197" s="50">
        <v>10</v>
      </c>
      <c r="M197" s="50">
        <v>0</v>
      </c>
      <c r="N197" s="56">
        <v>0.33739999999999998</v>
      </c>
      <c r="O197" t="s">
        <v>65</v>
      </c>
      <c r="P197" s="9">
        <v>46051</v>
      </c>
      <c r="Q197">
        <v>241.73</v>
      </c>
    </row>
    <row r="198" spans="1:17" x14ac:dyDescent="0.25">
      <c r="A198" s="3" t="s">
        <v>211</v>
      </c>
      <c r="B198" s="3" t="str">
        <f t="shared" si="13"/>
        <v>AMZN</v>
      </c>
      <c r="C198" s="3" t="str">
        <f t="shared" si="11"/>
        <v>260515</v>
      </c>
      <c r="D198" s="3" t="str">
        <f t="shared" si="12"/>
        <v>P00325000</v>
      </c>
      <c r="E198" s="38">
        <v>45972.587500000001</v>
      </c>
      <c r="F198" s="4">
        <v>325</v>
      </c>
      <c r="G198" s="49">
        <v>76.680000000000007</v>
      </c>
      <c r="H198" s="49">
        <v>86.8</v>
      </c>
      <c r="I198" s="49">
        <v>89.35</v>
      </c>
      <c r="J198" s="18">
        <v>0</v>
      </c>
      <c r="K198" s="19">
        <v>0</v>
      </c>
      <c r="L198" s="49">
        <v>12</v>
      </c>
      <c r="M198" s="49">
        <v>0</v>
      </c>
      <c r="N198" s="51">
        <v>0.52729999999999999</v>
      </c>
      <c r="O198" t="s">
        <v>65</v>
      </c>
      <c r="P198" s="9">
        <v>46051</v>
      </c>
      <c r="Q198">
        <v>241.73</v>
      </c>
    </row>
    <row r="199" spans="1:17" x14ac:dyDescent="0.25">
      <c r="A199" s="3" t="s">
        <v>212</v>
      </c>
      <c r="B199" s="3" t="str">
        <f t="shared" si="13"/>
        <v>AMZN</v>
      </c>
      <c r="C199" s="3" t="str">
        <f t="shared" si="11"/>
        <v>260515</v>
      </c>
      <c r="D199" s="3" t="str">
        <f t="shared" si="12"/>
        <v>P00330000</v>
      </c>
      <c r="E199" s="38">
        <v>46021.431944444441</v>
      </c>
      <c r="F199" s="4">
        <v>330</v>
      </c>
      <c r="G199" s="49">
        <v>98.66</v>
      </c>
      <c r="H199" s="49">
        <v>86.75</v>
      </c>
      <c r="I199" s="49">
        <v>90.05</v>
      </c>
      <c r="J199" s="18">
        <v>0</v>
      </c>
      <c r="K199" s="19">
        <v>0</v>
      </c>
      <c r="L199" s="49">
        <v>1</v>
      </c>
      <c r="M199" s="49">
        <v>1</v>
      </c>
      <c r="N199" s="51">
        <v>0.38900000000000001</v>
      </c>
      <c r="O199" t="s">
        <v>65</v>
      </c>
      <c r="P199" s="9">
        <v>46051</v>
      </c>
      <c r="Q199">
        <v>241.73</v>
      </c>
    </row>
    <row r="200" spans="1:17" x14ac:dyDescent="0.25">
      <c r="A200" s="3" t="s">
        <v>112</v>
      </c>
      <c r="B200" s="3" t="str">
        <f t="shared" si="13"/>
        <v>AMZN</v>
      </c>
      <c r="C200" s="3" t="str">
        <f t="shared" si="11"/>
        <v>260515</v>
      </c>
      <c r="D200" s="3" t="str">
        <f t="shared" si="12"/>
        <v>P00340000</v>
      </c>
      <c r="E200" s="38">
        <v>45964.46875</v>
      </c>
      <c r="F200" s="4">
        <v>340</v>
      </c>
      <c r="G200" s="49">
        <v>85.25</v>
      </c>
      <c r="H200" s="49">
        <v>102.15</v>
      </c>
      <c r="I200" s="49">
        <v>104.05</v>
      </c>
      <c r="J200" s="18">
        <v>0</v>
      </c>
      <c r="K200" s="19">
        <v>0</v>
      </c>
      <c r="L200" s="49" t="s">
        <v>113</v>
      </c>
      <c r="M200" s="49">
        <v>0</v>
      </c>
      <c r="N200" s="51">
        <v>0.53739999999999999</v>
      </c>
      <c r="O200" t="s">
        <v>65</v>
      </c>
      <c r="P200" s="9">
        <v>46051</v>
      </c>
      <c r="Q200">
        <v>241.73</v>
      </c>
    </row>
    <row r="201" spans="1:17" x14ac:dyDescent="0.25">
      <c r="A201" s="3" t="s">
        <v>114</v>
      </c>
      <c r="B201" s="3" t="str">
        <f t="shared" si="13"/>
        <v>AMZN</v>
      </c>
      <c r="C201" s="3" t="str">
        <f t="shared" si="11"/>
        <v>260515</v>
      </c>
      <c r="D201" s="3" t="str">
        <f t="shared" si="12"/>
        <v>P00350000</v>
      </c>
      <c r="E201" s="38">
        <v>45961.510416666664</v>
      </c>
      <c r="F201" s="4">
        <v>350</v>
      </c>
      <c r="G201" s="49">
        <v>104.5</v>
      </c>
      <c r="H201" s="49">
        <v>113.65</v>
      </c>
      <c r="I201" s="49">
        <v>117</v>
      </c>
      <c r="J201" s="18">
        <v>0</v>
      </c>
      <c r="K201" s="19">
        <v>0</v>
      </c>
      <c r="L201" s="49">
        <v>2</v>
      </c>
      <c r="M201" s="49">
        <v>0</v>
      </c>
      <c r="N201" s="51">
        <v>0.63639999999999997</v>
      </c>
      <c r="O201" t="s">
        <v>65</v>
      </c>
      <c r="P201" s="9">
        <v>46051</v>
      </c>
      <c r="Q201">
        <v>241.73</v>
      </c>
    </row>
    <row r="202" spans="1:17" x14ac:dyDescent="0.25">
      <c r="A202" s="3" t="s">
        <v>115</v>
      </c>
      <c r="B202" s="3" t="str">
        <f t="shared" si="13"/>
        <v>AMZN</v>
      </c>
      <c r="C202" s="3" t="str">
        <f t="shared" si="11"/>
        <v>260515</v>
      </c>
      <c r="D202" s="3" t="str">
        <f t="shared" si="12"/>
        <v>P00360000</v>
      </c>
      <c r="E202" s="38">
        <v>46051.662499999999</v>
      </c>
      <c r="F202" s="4">
        <v>360</v>
      </c>
      <c r="G202" s="49">
        <v>116.58</v>
      </c>
      <c r="H202" s="49">
        <v>116.55</v>
      </c>
      <c r="I202" s="49">
        <v>120</v>
      </c>
      <c r="J202" s="18">
        <v>-11.04</v>
      </c>
      <c r="K202" s="19">
        <v>-8.6499999999999994E-2</v>
      </c>
      <c r="L202" s="49">
        <v>1</v>
      </c>
      <c r="M202" s="49">
        <v>1</v>
      </c>
      <c r="N202" s="51">
        <v>0.46439999999999998</v>
      </c>
      <c r="O202" t="s">
        <v>65</v>
      </c>
      <c r="P202" s="9">
        <v>46051</v>
      </c>
      <c r="Q202">
        <v>241.73</v>
      </c>
    </row>
    <row r="203" spans="1:17" x14ac:dyDescent="0.25">
      <c r="A203" s="3" t="s">
        <v>116</v>
      </c>
      <c r="B203" s="3" t="str">
        <f t="shared" si="13"/>
        <v>AMZN</v>
      </c>
      <c r="C203" s="3" t="str">
        <f t="shared" si="11"/>
        <v>260515</v>
      </c>
      <c r="D203" s="3" t="str">
        <f t="shared" si="12"/>
        <v>P00370000</v>
      </c>
      <c r="E203" s="38">
        <v>46051.662499999999</v>
      </c>
      <c r="F203" s="4">
        <v>370</v>
      </c>
      <c r="G203" s="49">
        <v>126.6</v>
      </c>
      <c r="H203" s="49">
        <v>126.6</v>
      </c>
      <c r="I203" s="49">
        <v>130</v>
      </c>
      <c r="J203" s="18">
        <v>-4.07</v>
      </c>
      <c r="K203" s="19">
        <v>-3.1099999999999999E-2</v>
      </c>
      <c r="L203" s="49">
        <v>1</v>
      </c>
      <c r="M203" s="49">
        <v>0</v>
      </c>
      <c r="N203" s="51">
        <v>0.48820000000000002</v>
      </c>
      <c r="O203" t="s">
        <v>65</v>
      </c>
      <c r="P203" s="9">
        <v>46051</v>
      </c>
      <c r="Q203">
        <v>241.73</v>
      </c>
    </row>
    <row r="204" spans="1:17" x14ac:dyDescent="0.25">
      <c r="A204" s="10" t="s">
        <v>117</v>
      </c>
      <c r="B204" s="3" t="str">
        <f t="shared" si="13"/>
        <v>AMZN</v>
      </c>
      <c r="C204" s="3" t="str">
        <f t="shared" si="11"/>
        <v>260515</v>
      </c>
      <c r="D204" s="3" t="str">
        <f t="shared" si="12"/>
        <v>C00105000</v>
      </c>
      <c r="E204" s="41" t="s">
        <v>213</v>
      </c>
      <c r="F204" s="11">
        <v>105</v>
      </c>
      <c r="G204" s="41">
        <v>142.07</v>
      </c>
      <c r="H204" s="41">
        <v>117.4</v>
      </c>
      <c r="I204" s="41">
        <v>121.2</v>
      </c>
      <c r="J204" s="15">
        <v>0</v>
      </c>
      <c r="K204" s="23">
        <v>0</v>
      </c>
      <c r="L204" s="41">
        <v>2</v>
      </c>
      <c r="M204" s="41">
        <v>21</v>
      </c>
      <c r="N204" s="57">
        <v>0.89890000000000003</v>
      </c>
      <c r="O204" t="s">
        <v>62</v>
      </c>
      <c r="P204" s="9">
        <v>46058</v>
      </c>
      <c r="Q204">
        <v>222.69</v>
      </c>
    </row>
    <row r="205" spans="1:17" x14ac:dyDescent="0.25">
      <c r="A205" s="10" t="s">
        <v>118</v>
      </c>
      <c r="B205" s="3" t="str">
        <f t="shared" si="13"/>
        <v>AMZN</v>
      </c>
      <c r="C205" s="3" t="str">
        <f t="shared" si="11"/>
        <v>260515</v>
      </c>
      <c r="D205" s="3" t="str">
        <f t="shared" si="12"/>
        <v>C00110000</v>
      </c>
      <c r="E205" s="41" t="s">
        <v>214</v>
      </c>
      <c r="F205" s="11">
        <v>110</v>
      </c>
      <c r="G205" s="41">
        <v>120</v>
      </c>
      <c r="H205" s="41">
        <v>112.45</v>
      </c>
      <c r="I205" s="41">
        <v>116.2</v>
      </c>
      <c r="J205" s="15">
        <v>0</v>
      </c>
      <c r="K205" s="23">
        <v>0</v>
      </c>
      <c r="L205" s="41">
        <v>2</v>
      </c>
      <c r="M205" s="41">
        <v>32</v>
      </c>
      <c r="N205" s="57">
        <v>0.8528</v>
      </c>
      <c r="O205" t="s">
        <v>62</v>
      </c>
      <c r="P205" s="9">
        <v>46058</v>
      </c>
      <c r="Q205">
        <v>222.69</v>
      </c>
    </row>
    <row r="206" spans="1:17" x14ac:dyDescent="0.25">
      <c r="A206" s="10" t="s">
        <v>119</v>
      </c>
      <c r="B206" s="3" t="str">
        <f t="shared" si="13"/>
        <v>AMZN</v>
      </c>
      <c r="C206" s="3" t="str">
        <f t="shared" si="11"/>
        <v>260515</v>
      </c>
      <c r="D206" s="3" t="str">
        <f t="shared" si="12"/>
        <v>C00115000</v>
      </c>
      <c r="E206" s="42">
        <v>46083.511805555558</v>
      </c>
      <c r="F206" s="11">
        <v>115</v>
      </c>
      <c r="G206" s="41">
        <v>123.69</v>
      </c>
      <c r="H206" s="41">
        <v>108.15</v>
      </c>
      <c r="I206" s="41">
        <v>111.15</v>
      </c>
      <c r="J206" s="15">
        <v>0</v>
      </c>
      <c r="K206" s="23">
        <v>0</v>
      </c>
      <c r="L206" s="41">
        <v>1</v>
      </c>
      <c r="M206" s="41">
        <v>40</v>
      </c>
      <c r="N206" s="57">
        <v>0.83889999999999998</v>
      </c>
      <c r="O206" t="s">
        <v>62</v>
      </c>
      <c r="P206" s="9">
        <v>46058</v>
      </c>
      <c r="Q206">
        <v>222.69</v>
      </c>
    </row>
    <row r="207" spans="1:17" x14ac:dyDescent="0.25">
      <c r="A207" s="10" t="s">
        <v>120</v>
      </c>
      <c r="B207" s="3" t="str">
        <f t="shared" si="13"/>
        <v>AMZN</v>
      </c>
      <c r="C207" s="3" t="str">
        <f t="shared" si="11"/>
        <v>260515</v>
      </c>
      <c r="D207" s="3" t="str">
        <f t="shared" si="12"/>
        <v>C00120000</v>
      </c>
      <c r="E207" s="42">
        <v>46144.448611111111</v>
      </c>
      <c r="F207" s="11">
        <v>120</v>
      </c>
      <c r="G207" s="41">
        <v>104.15</v>
      </c>
      <c r="H207" s="41">
        <v>103.4</v>
      </c>
      <c r="I207" s="41">
        <v>106.3</v>
      </c>
      <c r="J207" s="15">
        <v>-15.44</v>
      </c>
      <c r="K207" s="23">
        <v>-0.12909999999999999</v>
      </c>
      <c r="L207" s="41">
        <v>1</v>
      </c>
      <c r="M207" s="58">
        <v>2246</v>
      </c>
      <c r="N207" s="57">
        <v>0.8105</v>
      </c>
      <c r="O207" t="s">
        <v>62</v>
      </c>
      <c r="P207" s="9">
        <v>46058</v>
      </c>
      <c r="Q207">
        <v>222.69</v>
      </c>
    </row>
    <row r="208" spans="1:17" x14ac:dyDescent="0.25">
      <c r="A208" s="10" t="s">
        <v>121</v>
      </c>
      <c r="B208" s="3" t="str">
        <f t="shared" si="13"/>
        <v>AMZN</v>
      </c>
      <c r="C208" s="3" t="str">
        <f t="shared" si="11"/>
        <v>260515</v>
      </c>
      <c r="D208" s="3" t="str">
        <f t="shared" si="12"/>
        <v>C00125000</v>
      </c>
      <c r="E208" s="42">
        <v>46144.579861111109</v>
      </c>
      <c r="F208" s="11">
        <v>125</v>
      </c>
      <c r="G208" s="41">
        <v>100</v>
      </c>
      <c r="H208" s="41">
        <v>97.95</v>
      </c>
      <c r="I208" s="41">
        <v>101.35</v>
      </c>
      <c r="J208" s="15">
        <v>-13.85</v>
      </c>
      <c r="K208" s="23">
        <v>-0.1217</v>
      </c>
      <c r="L208" s="41">
        <v>2</v>
      </c>
      <c r="M208" s="41">
        <v>42</v>
      </c>
      <c r="N208" s="57">
        <v>0.748</v>
      </c>
      <c r="O208" t="s">
        <v>62</v>
      </c>
      <c r="P208" s="9">
        <v>46058</v>
      </c>
      <c r="Q208">
        <v>222.69</v>
      </c>
    </row>
    <row r="209" spans="1:17" x14ac:dyDescent="0.25">
      <c r="A209" s="10" t="s">
        <v>122</v>
      </c>
      <c r="B209" s="3" t="str">
        <f t="shared" si="13"/>
        <v>AMZN</v>
      </c>
      <c r="C209" s="3" t="str">
        <f t="shared" si="11"/>
        <v>260515</v>
      </c>
      <c r="D209" s="3" t="str">
        <f t="shared" si="12"/>
        <v>C00130000</v>
      </c>
      <c r="E209" s="42">
        <v>46083.523611111108</v>
      </c>
      <c r="F209" s="11">
        <v>130</v>
      </c>
      <c r="G209" s="41">
        <v>95.82</v>
      </c>
      <c r="H209" s="41">
        <v>93.65</v>
      </c>
      <c r="I209" s="41">
        <v>96.65</v>
      </c>
      <c r="J209" s="15">
        <v>-13.57</v>
      </c>
      <c r="K209" s="23">
        <v>-0.1241</v>
      </c>
      <c r="L209" s="41">
        <v>2</v>
      </c>
      <c r="M209" s="41">
        <v>64</v>
      </c>
      <c r="N209" s="57">
        <v>0.745</v>
      </c>
      <c r="O209" t="s">
        <v>62</v>
      </c>
      <c r="P209" s="9">
        <v>46058</v>
      </c>
      <c r="Q209">
        <v>222.69</v>
      </c>
    </row>
    <row r="210" spans="1:17" x14ac:dyDescent="0.25">
      <c r="A210" s="10" t="s">
        <v>123</v>
      </c>
      <c r="B210" s="3" t="str">
        <f t="shared" si="13"/>
        <v>AMZN</v>
      </c>
      <c r="C210" s="3" t="str">
        <f t="shared" si="11"/>
        <v>260515</v>
      </c>
      <c r="D210" s="3" t="str">
        <f t="shared" si="12"/>
        <v>C00135000</v>
      </c>
      <c r="E210" s="41" t="s">
        <v>215</v>
      </c>
      <c r="F210" s="11">
        <v>135</v>
      </c>
      <c r="G210" s="41">
        <v>95.6</v>
      </c>
      <c r="H210" s="41">
        <v>88.85</v>
      </c>
      <c r="I210" s="41">
        <v>91.85</v>
      </c>
      <c r="J210" s="15">
        <v>0</v>
      </c>
      <c r="K210" s="23">
        <v>0</v>
      </c>
      <c r="L210" s="41">
        <v>1</v>
      </c>
      <c r="M210" s="41">
        <v>28</v>
      </c>
      <c r="N210" s="57">
        <v>0.71609999999999996</v>
      </c>
      <c r="O210" t="s">
        <v>62</v>
      </c>
      <c r="P210" s="9">
        <v>46058</v>
      </c>
      <c r="Q210">
        <v>222.69</v>
      </c>
    </row>
    <row r="211" spans="1:17" x14ac:dyDescent="0.25">
      <c r="A211" s="10" t="s">
        <v>124</v>
      </c>
      <c r="B211" s="3" t="str">
        <f t="shared" si="13"/>
        <v>AMZN</v>
      </c>
      <c r="C211" s="3" t="str">
        <f t="shared" si="11"/>
        <v>260515</v>
      </c>
      <c r="D211" s="3" t="str">
        <f t="shared" si="12"/>
        <v>C00140000</v>
      </c>
      <c r="E211" s="42">
        <v>46083.523611111108</v>
      </c>
      <c r="F211" s="11">
        <v>140</v>
      </c>
      <c r="G211" s="41">
        <v>99.66</v>
      </c>
      <c r="H211" s="41">
        <v>84.1</v>
      </c>
      <c r="I211" s="41">
        <v>87.1</v>
      </c>
      <c r="J211" s="15">
        <v>0</v>
      </c>
      <c r="K211" s="23">
        <v>0</v>
      </c>
      <c r="L211" s="41">
        <v>1</v>
      </c>
      <c r="M211" s="41">
        <v>25</v>
      </c>
      <c r="N211" s="57">
        <v>0.68989999999999996</v>
      </c>
      <c r="O211" t="s">
        <v>62</v>
      </c>
      <c r="P211" s="9">
        <v>46058</v>
      </c>
      <c r="Q211">
        <v>222.69</v>
      </c>
    </row>
    <row r="212" spans="1:17" x14ac:dyDescent="0.25">
      <c r="A212" s="10" t="s">
        <v>125</v>
      </c>
      <c r="B212" s="3" t="str">
        <f t="shared" si="13"/>
        <v>AMZN</v>
      </c>
      <c r="C212" s="3" t="str">
        <f t="shared" si="11"/>
        <v>260515</v>
      </c>
      <c r="D212" s="3" t="str">
        <f t="shared" si="12"/>
        <v>C00145000</v>
      </c>
      <c r="E212" s="42">
        <v>46114.4375</v>
      </c>
      <c r="F212" s="11">
        <v>145</v>
      </c>
      <c r="G212" s="41">
        <v>94.99</v>
      </c>
      <c r="H212" s="41">
        <v>79.349999999999994</v>
      </c>
      <c r="I212" s="41">
        <v>82.4</v>
      </c>
      <c r="J212" s="15">
        <v>0</v>
      </c>
      <c r="K212" s="23">
        <v>0</v>
      </c>
      <c r="L212" s="41">
        <v>5</v>
      </c>
      <c r="M212" s="41">
        <v>6</v>
      </c>
      <c r="N212" s="57">
        <v>0.66459999999999997</v>
      </c>
      <c r="O212" t="s">
        <v>62</v>
      </c>
      <c r="P212" s="9">
        <v>46058</v>
      </c>
      <c r="Q212">
        <v>222.69</v>
      </c>
    </row>
    <row r="213" spans="1:17" x14ac:dyDescent="0.25">
      <c r="A213" s="10" t="s">
        <v>126</v>
      </c>
      <c r="B213" s="3" t="str">
        <f t="shared" si="13"/>
        <v>AMZN</v>
      </c>
      <c r="C213" s="3" t="str">
        <f t="shared" si="11"/>
        <v>260515</v>
      </c>
      <c r="D213" s="3" t="str">
        <f t="shared" si="12"/>
        <v>C00150000</v>
      </c>
      <c r="E213" s="42">
        <v>46144.463194444441</v>
      </c>
      <c r="F213" s="11">
        <v>150</v>
      </c>
      <c r="G213" s="41">
        <v>75.75</v>
      </c>
      <c r="H213" s="41">
        <v>74.7</v>
      </c>
      <c r="I213" s="41">
        <v>77.55</v>
      </c>
      <c r="J213" s="15">
        <v>-14.25</v>
      </c>
      <c r="K213" s="23">
        <v>-0.1583</v>
      </c>
      <c r="L213" s="41">
        <v>1</v>
      </c>
      <c r="M213" s="41">
        <v>80</v>
      </c>
      <c r="N213" s="57">
        <v>0.63700000000000001</v>
      </c>
      <c r="O213" t="s">
        <v>62</v>
      </c>
      <c r="P213" s="9">
        <v>46058</v>
      </c>
      <c r="Q213">
        <v>222.69</v>
      </c>
    </row>
    <row r="214" spans="1:17" x14ac:dyDescent="0.25">
      <c r="A214" s="10" t="s">
        <v>127</v>
      </c>
      <c r="B214" s="3" t="str">
        <f t="shared" si="13"/>
        <v>AMZN</v>
      </c>
      <c r="C214" s="3" t="str">
        <f t="shared" si="11"/>
        <v>260515</v>
      </c>
      <c r="D214" s="3" t="str">
        <f t="shared" si="12"/>
        <v>C00155000</v>
      </c>
      <c r="E214" s="42">
        <v>46144.492361111108</v>
      </c>
      <c r="F214" s="11">
        <v>155</v>
      </c>
      <c r="G214" s="41">
        <v>72.88</v>
      </c>
      <c r="H214" s="41">
        <v>69.599999999999994</v>
      </c>
      <c r="I214" s="41">
        <v>73.099999999999994</v>
      </c>
      <c r="J214" s="15">
        <v>-9.77</v>
      </c>
      <c r="K214" s="23">
        <v>-0.1182</v>
      </c>
      <c r="L214" s="41">
        <v>1</v>
      </c>
      <c r="M214" s="41">
        <v>87</v>
      </c>
      <c r="N214" s="57">
        <v>0.60750000000000004</v>
      </c>
      <c r="O214" t="s">
        <v>62</v>
      </c>
      <c r="P214" s="9">
        <v>46058</v>
      </c>
      <c r="Q214">
        <v>222.69</v>
      </c>
    </row>
    <row r="215" spans="1:17" x14ac:dyDescent="0.25">
      <c r="A215" s="10" t="s">
        <v>128</v>
      </c>
      <c r="B215" s="3" t="str">
        <f t="shared" si="13"/>
        <v>AMZN</v>
      </c>
      <c r="C215" s="3" t="str">
        <f t="shared" si="11"/>
        <v>260515</v>
      </c>
      <c r="D215" s="3" t="str">
        <f t="shared" si="12"/>
        <v>C00160000</v>
      </c>
      <c r="E215" s="42">
        <v>46144.625</v>
      </c>
      <c r="F215" s="11">
        <v>160</v>
      </c>
      <c r="G215" s="41">
        <v>67</v>
      </c>
      <c r="H215" s="41">
        <v>65.349999999999994</v>
      </c>
      <c r="I215" s="41">
        <v>68.25</v>
      </c>
      <c r="J215" s="15">
        <v>-15.09</v>
      </c>
      <c r="K215" s="23">
        <v>-0.18379999999999999</v>
      </c>
      <c r="L215" s="41">
        <v>64</v>
      </c>
      <c r="M215" s="41">
        <v>140</v>
      </c>
      <c r="N215" s="57">
        <v>0.58840000000000003</v>
      </c>
      <c r="O215" t="s">
        <v>62</v>
      </c>
      <c r="P215" s="9">
        <v>46058</v>
      </c>
      <c r="Q215">
        <v>222.69</v>
      </c>
    </row>
    <row r="216" spans="1:17" x14ac:dyDescent="0.25">
      <c r="A216" s="10" t="s">
        <v>129</v>
      </c>
      <c r="B216" s="3" t="str">
        <f t="shared" si="13"/>
        <v>AMZN</v>
      </c>
      <c r="C216" s="3" t="str">
        <f t="shared" si="11"/>
        <v>260515</v>
      </c>
      <c r="D216" s="3" t="str">
        <f t="shared" si="12"/>
        <v>C00165000</v>
      </c>
      <c r="E216" s="42">
        <v>46144.594444444447</v>
      </c>
      <c r="F216" s="11">
        <v>165</v>
      </c>
      <c r="G216" s="41">
        <v>64.400000000000006</v>
      </c>
      <c r="H216" s="41">
        <v>60.8</v>
      </c>
      <c r="I216" s="41">
        <v>63.45</v>
      </c>
      <c r="J216" s="15">
        <v>-17.100000000000001</v>
      </c>
      <c r="K216" s="23">
        <v>-0.20979999999999999</v>
      </c>
      <c r="L216" s="41">
        <v>6</v>
      </c>
      <c r="M216" s="41">
        <v>118</v>
      </c>
      <c r="N216" s="57">
        <v>0.56200000000000006</v>
      </c>
      <c r="O216" t="s">
        <v>62</v>
      </c>
      <c r="P216" s="9">
        <v>46058</v>
      </c>
      <c r="Q216">
        <v>222.69</v>
      </c>
    </row>
    <row r="217" spans="1:17" x14ac:dyDescent="0.25">
      <c r="A217" s="10" t="s">
        <v>130</v>
      </c>
      <c r="B217" s="3" t="str">
        <f t="shared" si="13"/>
        <v>AMZN</v>
      </c>
      <c r="C217" s="3" t="str">
        <f t="shared" si="11"/>
        <v>260515</v>
      </c>
      <c r="D217" s="3" t="str">
        <f t="shared" si="12"/>
        <v>C00170000</v>
      </c>
      <c r="E217" s="42">
        <v>46144.665972222225</v>
      </c>
      <c r="F217" s="11">
        <v>170</v>
      </c>
      <c r="G217" s="41">
        <v>57.77</v>
      </c>
      <c r="H217" s="41">
        <v>56.7</v>
      </c>
      <c r="I217" s="41">
        <v>59.05</v>
      </c>
      <c r="J217" s="15">
        <v>-12.51</v>
      </c>
      <c r="K217" s="23">
        <v>-0.17799999999999999</v>
      </c>
      <c r="L217" s="41">
        <v>41</v>
      </c>
      <c r="M217" s="41">
        <v>96</v>
      </c>
      <c r="N217" s="57">
        <v>0.55159999999999998</v>
      </c>
      <c r="O217" t="s">
        <v>62</v>
      </c>
      <c r="P217" s="9">
        <v>46058</v>
      </c>
      <c r="Q217">
        <v>222.69</v>
      </c>
    </row>
    <row r="218" spans="1:17" x14ac:dyDescent="0.25">
      <c r="A218" s="10" t="s">
        <v>131</v>
      </c>
      <c r="B218" s="3" t="str">
        <f t="shared" si="13"/>
        <v>AMZN</v>
      </c>
      <c r="C218" s="3" t="str">
        <f t="shared" si="11"/>
        <v>260515</v>
      </c>
      <c r="D218" s="3" t="str">
        <f t="shared" si="12"/>
        <v>C00175000</v>
      </c>
      <c r="E218" s="42">
        <v>46083.499305555553</v>
      </c>
      <c r="F218" s="11">
        <v>175</v>
      </c>
      <c r="G218" s="41">
        <v>53.85</v>
      </c>
      <c r="H218" s="41">
        <v>52.35</v>
      </c>
      <c r="I218" s="41">
        <v>54.85</v>
      </c>
      <c r="J218" s="15">
        <v>-12.65</v>
      </c>
      <c r="K218" s="23">
        <v>-0.19020000000000001</v>
      </c>
      <c r="L218" s="41">
        <v>8</v>
      </c>
      <c r="M218" s="41">
        <v>298</v>
      </c>
      <c r="N218" s="57">
        <v>0.53690000000000004</v>
      </c>
      <c r="O218" t="s">
        <v>62</v>
      </c>
      <c r="P218" s="9">
        <v>46058</v>
      </c>
      <c r="Q218">
        <v>222.69</v>
      </c>
    </row>
    <row r="219" spans="1:17" x14ac:dyDescent="0.25">
      <c r="A219" s="10" t="s">
        <v>132</v>
      </c>
      <c r="B219" s="3" t="str">
        <f t="shared" si="13"/>
        <v>AMZN</v>
      </c>
      <c r="C219" s="3" t="str">
        <f t="shared" si="11"/>
        <v>260515</v>
      </c>
      <c r="D219" s="3" t="str">
        <f t="shared" si="12"/>
        <v>C00180000</v>
      </c>
      <c r="E219" s="42">
        <v>46144.662499999999</v>
      </c>
      <c r="F219" s="11">
        <v>180</v>
      </c>
      <c r="G219" s="41">
        <v>49</v>
      </c>
      <c r="H219" s="41">
        <v>48.2</v>
      </c>
      <c r="I219" s="41">
        <v>50.55</v>
      </c>
      <c r="J219" s="15">
        <v>-13.19</v>
      </c>
      <c r="K219" s="23">
        <v>-0.21210000000000001</v>
      </c>
      <c r="L219" s="41">
        <v>7</v>
      </c>
      <c r="M219" s="41">
        <v>280</v>
      </c>
      <c r="N219" s="57">
        <v>0.5212</v>
      </c>
      <c r="O219" t="s">
        <v>62</v>
      </c>
      <c r="P219" s="9">
        <v>46058</v>
      </c>
      <c r="Q219">
        <v>222.69</v>
      </c>
    </row>
    <row r="220" spans="1:17" x14ac:dyDescent="0.25">
      <c r="A220" s="10" t="s">
        <v>133</v>
      </c>
      <c r="B220" s="3" t="str">
        <f t="shared" si="13"/>
        <v>AMZN</v>
      </c>
      <c r="C220" s="3" t="str">
        <f t="shared" si="11"/>
        <v>260515</v>
      </c>
      <c r="D220" s="3" t="str">
        <f t="shared" si="12"/>
        <v>C00185000</v>
      </c>
      <c r="E220" s="42">
        <v>46144.635416666664</v>
      </c>
      <c r="F220" s="11">
        <v>185</v>
      </c>
      <c r="G220" s="41">
        <v>45.35</v>
      </c>
      <c r="H220" s="41">
        <v>44.15</v>
      </c>
      <c r="I220" s="41">
        <v>46.5</v>
      </c>
      <c r="J220" s="15">
        <v>-12</v>
      </c>
      <c r="K220" s="23">
        <v>-0.2092</v>
      </c>
      <c r="L220" s="41">
        <v>110</v>
      </c>
      <c r="M220" s="41">
        <v>225</v>
      </c>
      <c r="N220" s="57">
        <v>0.50819999999999999</v>
      </c>
      <c r="O220" t="s">
        <v>62</v>
      </c>
      <c r="P220" s="9">
        <v>46058</v>
      </c>
      <c r="Q220">
        <v>222.69</v>
      </c>
    </row>
    <row r="221" spans="1:17" x14ac:dyDescent="0.25">
      <c r="A221" s="10" t="s">
        <v>134</v>
      </c>
      <c r="B221" s="3" t="str">
        <f t="shared" si="13"/>
        <v>AMZN</v>
      </c>
      <c r="C221" s="3" t="str">
        <f t="shared" si="11"/>
        <v>260515</v>
      </c>
      <c r="D221" s="3" t="str">
        <f t="shared" si="12"/>
        <v>C00190000</v>
      </c>
      <c r="E221" s="42">
        <v>46144.613194444442</v>
      </c>
      <c r="F221" s="11">
        <v>190</v>
      </c>
      <c r="G221" s="41">
        <v>42</v>
      </c>
      <c r="H221" s="41">
        <v>40.25</v>
      </c>
      <c r="I221" s="41">
        <v>42.6</v>
      </c>
      <c r="J221" s="15">
        <v>-8.4499999999999993</v>
      </c>
      <c r="K221" s="23">
        <v>-0.16750000000000001</v>
      </c>
      <c r="L221" s="41">
        <v>33</v>
      </c>
      <c r="M221" s="41">
        <v>233</v>
      </c>
      <c r="N221" s="57">
        <v>0.52969999999999995</v>
      </c>
      <c r="O221" t="s">
        <v>62</v>
      </c>
      <c r="P221" s="9">
        <v>46058</v>
      </c>
      <c r="Q221">
        <v>222.69</v>
      </c>
    </row>
    <row r="222" spans="1:17" x14ac:dyDescent="0.25">
      <c r="A222" s="10" t="s">
        <v>135</v>
      </c>
      <c r="B222" s="3" t="str">
        <f t="shared" si="13"/>
        <v>AMZN</v>
      </c>
      <c r="C222" s="3" t="str">
        <f t="shared" si="11"/>
        <v>260515</v>
      </c>
      <c r="D222" s="3" t="str">
        <f t="shared" si="12"/>
        <v>C00195000</v>
      </c>
      <c r="E222" s="42">
        <v>46144.631944444445</v>
      </c>
      <c r="F222" s="11">
        <v>195</v>
      </c>
      <c r="G222" s="41">
        <v>38.21</v>
      </c>
      <c r="H222" s="41">
        <v>36.6</v>
      </c>
      <c r="I222" s="41">
        <v>38.950000000000003</v>
      </c>
      <c r="J222" s="15">
        <v>-15.69</v>
      </c>
      <c r="K222" s="23">
        <v>-0.29110000000000003</v>
      </c>
      <c r="L222" s="41">
        <v>17</v>
      </c>
      <c r="M222" s="41">
        <v>163</v>
      </c>
      <c r="N222" s="57">
        <v>0.51939999999999997</v>
      </c>
      <c r="O222" t="s">
        <v>62</v>
      </c>
      <c r="P222" s="9">
        <v>46058</v>
      </c>
      <c r="Q222">
        <v>222.69</v>
      </c>
    </row>
    <row r="223" spans="1:17" x14ac:dyDescent="0.25">
      <c r="A223" s="10" t="s">
        <v>136</v>
      </c>
      <c r="B223" s="3" t="str">
        <f t="shared" si="13"/>
        <v>AMZN</v>
      </c>
      <c r="C223" s="3" t="str">
        <f t="shared" si="11"/>
        <v>260515</v>
      </c>
      <c r="D223" s="3" t="str">
        <f t="shared" si="12"/>
        <v>C00200000</v>
      </c>
      <c r="E223" s="42">
        <v>46144.649305555555</v>
      </c>
      <c r="F223" s="11">
        <v>200</v>
      </c>
      <c r="G223" s="41">
        <v>34</v>
      </c>
      <c r="H223" s="41">
        <v>34</v>
      </c>
      <c r="I223" s="41">
        <v>35.35</v>
      </c>
      <c r="J223" s="15">
        <v>-7.85</v>
      </c>
      <c r="K223" s="23">
        <v>-0.18759999999999999</v>
      </c>
      <c r="L223" s="41">
        <v>45</v>
      </c>
      <c r="M223" s="41">
        <v>957</v>
      </c>
      <c r="N223" s="57">
        <v>0.5071</v>
      </c>
      <c r="O223" t="s">
        <v>62</v>
      </c>
      <c r="P223" s="9">
        <v>46058</v>
      </c>
      <c r="Q223">
        <v>222.69</v>
      </c>
    </row>
    <row r="224" spans="1:17" x14ac:dyDescent="0.25">
      <c r="A224" s="10" t="s">
        <v>137</v>
      </c>
      <c r="B224" s="3" t="str">
        <f t="shared" si="13"/>
        <v>AMZN</v>
      </c>
      <c r="C224" s="3" t="str">
        <f t="shared" si="11"/>
        <v>260515</v>
      </c>
      <c r="D224" s="3" t="str">
        <f t="shared" si="12"/>
        <v>C00205000</v>
      </c>
      <c r="E224" s="42">
        <v>46144.65</v>
      </c>
      <c r="F224" s="11">
        <v>205</v>
      </c>
      <c r="G224" s="41">
        <v>31.35</v>
      </c>
      <c r="H224" s="41">
        <v>29.75</v>
      </c>
      <c r="I224" s="41">
        <v>32</v>
      </c>
      <c r="J224" s="15">
        <v>-6.35</v>
      </c>
      <c r="K224" s="23">
        <v>-0.16839999999999999</v>
      </c>
      <c r="L224" s="41">
        <v>32</v>
      </c>
      <c r="M224" s="41">
        <v>474</v>
      </c>
      <c r="N224" s="57">
        <v>0.4975</v>
      </c>
      <c r="O224" t="s">
        <v>62</v>
      </c>
      <c r="P224" s="9">
        <v>46058</v>
      </c>
      <c r="Q224">
        <v>222.69</v>
      </c>
    </row>
    <row r="225" spans="1:17" x14ac:dyDescent="0.25">
      <c r="A225" s="10" t="s">
        <v>138</v>
      </c>
      <c r="B225" s="3" t="str">
        <f t="shared" si="13"/>
        <v>AMZN</v>
      </c>
      <c r="C225" s="3" t="str">
        <f t="shared" si="11"/>
        <v>260515</v>
      </c>
      <c r="D225" s="3" t="str">
        <f t="shared" si="12"/>
        <v>C00210000</v>
      </c>
      <c r="E225" s="42">
        <v>46144.665972222225</v>
      </c>
      <c r="F225" s="11">
        <v>210</v>
      </c>
      <c r="G225" s="41">
        <v>28.1</v>
      </c>
      <c r="H225" s="41">
        <v>26.65</v>
      </c>
      <c r="I225" s="41">
        <v>28.95</v>
      </c>
      <c r="J225" s="15">
        <v>-6.59</v>
      </c>
      <c r="K225" s="23">
        <v>-0.19</v>
      </c>
      <c r="L225" s="41">
        <v>109</v>
      </c>
      <c r="M225" s="58">
        <v>3730</v>
      </c>
      <c r="N225" s="57">
        <v>0.4914</v>
      </c>
      <c r="O225" t="s">
        <v>62</v>
      </c>
      <c r="P225" s="9">
        <v>46058</v>
      </c>
      <c r="Q225">
        <v>222.69</v>
      </c>
    </row>
    <row r="226" spans="1:17" x14ac:dyDescent="0.25">
      <c r="A226" s="10" t="s">
        <v>139</v>
      </c>
      <c r="B226" s="3" t="str">
        <f t="shared" si="13"/>
        <v>AMZN</v>
      </c>
      <c r="C226" s="3" t="str">
        <f t="shared" si="11"/>
        <v>260515</v>
      </c>
      <c r="D226" s="3" t="str">
        <f t="shared" si="12"/>
        <v>C00215000</v>
      </c>
      <c r="E226" s="42">
        <v>46144.63958333333</v>
      </c>
      <c r="F226" s="11">
        <v>215</v>
      </c>
      <c r="G226" s="41">
        <v>24.9</v>
      </c>
      <c r="H226" s="41">
        <v>24</v>
      </c>
      <c r="I226" s="41">
        <v>25.6</v>
      </c>
      <c r="J226" s="15">
        <v>-6.32</v>
      </c>
      <c r="K226" s="23">
        <v>-0.2024</v>
      </c>
      <c r="L226" s="41">
        <v>87</v>
      </c>
      <c r="M226" s="41">
        <v>732</v>
      </c>
      <c r="N226" s="57">
        <v>0.47489999999999999</v>
      </c>
      <c r="O226" t="s">
        <v>62</v>
      </c>
      <c r="P226" s="9">
        <v>46058</v>
      </c>
      <c r="Q226">
        <v>222.69</v>
      </c>
    </row>
    <row r="227" spans="1:17" x14ac:dyDescent="0.25">
      <c r="A227" s="10" t="s">
        <v>140</v>
      </c>
      <c r="B227" s="3" t="str">
        <f t="shared" si="13"/>
        <v>AMZN</v>
      </c>
      <c r="C227" s="3" t="str">
        <f t="shared" si="11"/>
        <v>260515</v>
      </c>
      <c r="D227" s="3" t="str">
        <f t="shared" si="12"/>
        <v>C00220000</v>
      </c>
      <c r="E227" s="42">
        <v>46144.665972222225</v>
      </c>
      <c r="F227" s="11">
        <v>220</v>
      </c>
      <c r="G227" s="41">
        <v>22</v>
      </c>
      <c r="H227" s="41">
        <v>21.9</v>
      </c>
      <c r="I227" s="41">
        <v>22.45</v>
      </c>
      <c r="J227" s="15">
        <v>-6.85</v>
      </c>
      <c r="K227" s="23">
        <v>-0.2374</v>
      </c>
      <c r="L227" s="41">
        <v>767</v>
      </c>
      <c r="M227" s="58">
        <v>3282</v>
      </c>
      <c r="N227" s="57">
        <v>0.45939999999999998</v>
      </c>
      <c r="O227" t="s">
        <v>62</v>
      </c>
      <c r="P227" s="9">
        <v>46058</v>
      </c>
      <c r="Q227">
        <v>222.69</v>
      </c>
    </row>
    <row r="228" spans="1:17" x14ac:dyDescent="0.25">
      <c r="A228" s="10" t="s">
        <v>141</v>
      </c>
      <c r="B228" s="3" t="str">
        <f t="shared" si="13"/>
        <v>AMZN</v>
      </c>
      <c r="C228" s="3" t="str">
        <f t="shared" si="11"/>
        <v>260515</v>
      </c>
      <c r="D228" s="3" t="str">
        <f t="shared" si="12"/>
        <v>C00225000</v>
      </c>
      <c r="E228" s="42">
        <v>46144.665277777778</v>
      </c>
      <c r="F228" s="11">
        <v>225</v>
      </c>
      <c r="G228" s="41">
        <v>19.45</v>
      </c>
      <c r="H228" s="41">
        <v>19.100000000000001</v>
      </c>
      <c r="I228" s="41">
        <v>20.350000000000001</v>
      </c>
      <c r="J228" s="15">
        <v>-5.55</v>
      </c>
      <c r="K228" s="23">
        <v>-0.222</v>
      </c>
      <c r="L228" s="41">
        <v>811</v>
      </c>
      <c r="M228" s="58">
        <v>2030</v>
      </c>
      <c r="N228" s="57">
        <v>0.46300000000000002</v>
      </c>
      <c r="O228" t="s">
        <v>62</v>
      </c>
      <c r="P228" s="9">
        <v>46058</v>
      </c>
      <c r="Q228">
        <v>222.69</v>
      </c>
    </row>
    <row r="229" spans="1:17" x14ac:dyDescent="0.25">
      <c r="A229" s="10" t="s">
        <v>142</v>
      </c>
      <c r="B229" s="3" t="str">
        <f t="shared" si="13"/>
        <v>AMZN</v>
      </c>
      <c r="C229" s="3" t="str">
        <f t="shared" si="11"/>
        <v>260515</v>
      </c>
      <c r="D229" s="3" t="str">
        <f t="shared" si="12"/>
        <v>C00230000</v>
      </c>
      <c r="E229" s="42">
        <v>46144.661805555559</v>
      </c>
      <c r="F229" s="11">
        <v>230</v>
      </c>
      <c r="G229" s="41">
        <v>17.22</v>
      </c>
      <c r="H229" s="41">
        <v>16.5</v>
      </c>
      <c r="I229" s="41">
        <v>18</v>
      </c>
      <c r="J229" s="15">
        <v>-5.18</v>
      </c>
      <c r="K229" s="23">
        <v>-0.23130000000000001</v>
      </c>
      <c r="L229" s="41">
        <v>599</v>
      </c>
      <c r="M229" s="58">
        <v>2965</v>
      </c>
      <c r="N229" s="57">
        <v>0.45729999999999998</v>
      </c>
      <c r="O229" t="s">
        <v>62</v>
      </c>
      <c r="P229" s="9">
        <v>46058</v>
      </c>
      <c r="Q229">
        <v>222.69</v>
      </c>
    </row>
    <row r="230" spans="1:17" x14ac:dyDescent="0.25">
      <c r="A230" s="10" t="s">
        <v>143</v>
      </c>
      <c r="B230" s="3" t="str">
        <f t="shared" si="13"/>
        <v>AMZN</v>
      </c>
      <c r="C230" s="3" t="str">
        <f t="shared" si="11"/>
        <v>260515</v>
      </c>
      <c r="D230" s="3" t="str">
        <f t="shared" si="12"/>
        <v>C00235000</v>
      </c>
      <c r="E230" s="42">
        <v>46144.661805555559</v>
      </c>
      <c r="F230" s="11">
        <v>235</v>
      </c>
      <c r="G230" s="41">
        <v>15</v>
      </c>
      <c r="H230" s="41">
        <v>14.25</v>
      </c>
      <c r="I230" s="41">
        <v>15.8</v>
      </c>
      <c r="J230" s="15">
        <v>-4.8499999999999996</v>
      </c>
      <c r="K230" s="23">
        <v>-0.24429999999999999</v>
      </c>
      <c r="L230" s="41">
        <v>956</v>
      </c>
      <c r="M230" s="58">
        <v>3537</v>
      </c>
      <c r="N230" s="57">
        <v>0.4511</v>
      </c>
      <c r="O230" t="s">
        <v>62</v>
      </c>
      <c r="P230" s="9">
        <v>46058</v>
      </c>
      <c r="Q230">
        <v>222.69</v>
      </c>
    </row>
    <row r="231" spans="1:17" x14ac:dyDescent="0.25">
      <c r="A231" s="10" t="s">
        <v>144</v>
      </c>
      <c r="B231" s="3" t="str">
        <f t="shared" si="13"/>
        <v>AMZN</v>
      </c>
      <c r="C231" s="3" t="str">
        <f t="shared" si="11"/>
        <v>260515</v>
      </c>
      <c r="D231" s="3" t="str">
        <f t="shared" si="12"/>
        <v>C00240000</v>
      </c>
      <c r="E231" s="42">
        <v>46144.665972222225</v>
      </c>
      <c r="F231" s="11">
        <v>240</v>
      </c>
      <c r="G231" s="41">
        <v>13</v>
      </c>
      <c r="H231" s="41">
        <v>12.5</v>
      </c>
      <c r="I231" s="41">
        <v>15.4</v>
      </c>
      <c r="J231" s="15">
        <v>-4.55</v>
      </c>
      <c r="K231" s="23">
        <v>-0.25929999999999997</v>
      </c>
      <c r="L231" s="58">
        <v>1527</v>
      </c>
      <c r="M231" s="58">
        <v>4153</v>
      </c>
      <c r="N231" s="57">
        <v>0.48049999999999998</v>
      </c>
      <c r="O231" t="s">
        <v>62</v>
      </c>
      <c r="P231" s="9">
        <v>46058</v>
      </c>
      <c r="Q231">
        <v>222.69</v>
      </c>
    </row>
    <row r="232" spans="1:17" x14ac:dyDescent="0.25">
      <c r="A232" s="10" t="s">
        <v>145</v>
      </c>
      <c r="B232" s="3" t="str">
        <f t="shared" si="13"/>
        <v>AMZN</v>
      </c>
      <c r="C232" s="3" t="str">
        <f t="shared" si="11"/>
        <v>260515</v>
      </c>
      <c r="D232" s="3" t="str">
        <f t="shared" si="12"/>
        <v>C00245000</v>
      </c>
      <c r="E232" s="42">
        <v>46144.665972222225</v>
      </c>
      <c r="F232" s="11">
        <v>245</v>
      </c>
      <c r="G232" s="41">
        <v>11.23</v>
      </c>
      <c r="H232" s="41">
        <v>10.6</v>
      </c>
      <c r="I232" s="41">
        <v>13.3</v>
      </c>
      <c r="J232" s="15">
        <v>-4.1399999999999997</v>
      </c>
      <c r="K232" s="23">
        <v>-0.26939999999999997</v>
      </c>
      <c r="L232" s="41">
        <v>557</v>
      </c>
      <c r="M232" s="58">
        <v>3131</v>
      </c>
      <c r="N232" s="57">
        <v>0.46939999999999998</v>
      </c>
      <c r="O232" t="s">
        <v>62</v>
      </c>
      <c r="P232" s="9">
        <v>46058</v>
      </c>
      <c r="Q232">
        <v>222.69</v>
      </c>
    </row>
    <row r="233" spans="1:17" x14ac:dyDescent="0.25">
      <c r="A233" s="10" t="s">
        <v>146</v>
      </c>
      <c r="B233" s="3" t="str">
        <f t="shared" si="13"/>
        <v>AMZN</v>
      </c>
      <c r="C233" s="3" t="str">
        <f t="shared" si="11"/>
        <v>260515</v>
      </c>
      <c r="D233" s="3" t="str">
        <f t="shared" si="12"/>
        <v>C00250000</v>
      </c>
      <c r="E233" s="42">
        <v>46144.665972222225</v>
      </c>
      <c r="F233" s="11">
        <v>250</v>
      </c>
      <c r="G233" s="41">
        <v>9.7799999999999994</v>
      </c>
      <c r="H233" s="41">
        <v>9.3000000000000007</v>
      </c>
      <c r="I233" s="41">
        <v>10.3</v>
      </c>
      <c r="J233" s="15">
        <v>-3.67</v>
      </c>
      <c r="K233" s="23">
        <v>-0.27289999999999998</v>
      </c>
      <c r="L233" s="58">
        <v>2176</v>
      </c>
      <c r="M233" s="58">
        <v>19618</v>
      </c>
      <c r="N233" s="57">
        <v>0.43340000000000001</v>
      </c>
      <c r="O233" t="s">
        <v>62</v>
      </c>
      <c r="P233" s="9">
        <v>46058</v>
      </c>
      <c r="Q233">
        <v>222.69</v>
      </c>
    </row>
    <row r="234" spans="1:17" x14ac:dyDescent="0.25">
      <c r="A234" s="10" t="s">
        <v>147</v>
      </c>
      <c r="B234" s="3" t="str">
        <f t="shared" si="13"/>
        <v>AMZN</v>
      </c>
      <c r="C234" s="3" t="str">
        <f t="shared" si="11"/>
        <v>260515</v>
      </c>
      <c r="D234" s="3" t="str">
        <f t="shared" si="12"/>
        <v>C00255000</v>
      </c>
      <c r="E234" s="42">
        <v>46144.658333333333</v>
      </c>
      <c r="F234" s="11">
        <v>255</v>
      </c>
      <c r="G234" s="41">
        <v>8.2200000000000006</v>
      </c>
      <c r="H234" s="41">
        <v>8.15</v>
      </c>
      <c r="I234" s="41">
        <v>8.5</v>
      </c>
      <c r="J234" s="15">
        <v>-4.04</v>
      </c>
      <c r="K234" s="23">
        <v>-0.32950000000000002</v>
      </c>
      <c r="L234" s="58">
        <v>2438</v>
      </c>
      <c r="M234" s="58">
        <v>1908</v>
      </c>
      <c r="N234" s="57">
        <v>0.42020000000000002</v>
      </c>
      <c r="O234" t="s">
        <v>62</v>
      </c>
      <c r="P234" s="9">
        <v>46058</v>
      </c>
      <c r="Q234">
        <v>222.69</v>
      </c>
    </row>
    <row r="235" spans="1:17" x14ac:dyDescent="0.25">
      <c r="A235" s="10" t="s">
        <v>148</v>
      </c>
      <c r="B235" s="3" t="str">
        <f t="shared" si="13"/>
        <v>AMZN</v>
      </c>
      <c r="C235" s="3" t="str">
        <f t="shared" si="11"/>
        <v>260515</v>
      </c>
      <c r="D235" s="3" t="str">
        <f t="shared" si="12"/>
        <v>C00260000</v>
      </c>
      <c r="E235" s="42">
        <v>46144.664583333331</v>
      </c>
      <c r="F235" s="11">
        <v>260</v>
      </c>
      <c r="G235" s="41">
        <v>7.12</v>
      </c>
      <c r="H235" s="41">
        <v>6.85</v>
      </c>
      <c r="I235" s="41">
        <v>8</v>
      </c>
      <c r="J235" s="15">
        <v>-2.96</v>
      </c>
      <c r="K235" s="23">
        <v>-0.29370000000000002</v>
      </c>
      <c r="L235" s="58">
        <v>1246</v>
      </c>
      <c r="M235" s="58">
        <v>29704</v>
      </c>
      <c r="N235" s="57">
        <v>0.43559999999999999</v>
      </c>
      <c r="O235" t="s">
        <v>62</v>
      </c>
      <c r="P235" s="9">
        <v>46058</v>
      </c>
      <c r="Q235">
        <v>222.69</v>
      </c>
    </row>
    <row r="236" spans="1:17" x14ac:dyDescent="0.25">
      <c r="A236" s="10" t="s">
        <v>149</v>
      </c>
      <c r="B236" s="3" t="str">
        <f t="shared" si="13"/>
        <v>AMZN</v>
      </c>
      <c r="C236" s="3" t="str">
        <f t="shared" si="11"/>
        <v>260515</v>
      </c>
      <c r="D236" s="3" t="str">
        <f t="shared" si="12"/>
        <v>C00265000</v>
      </c>
      <c r="E236" s="42">
        <v>46144.654861111114</v>
      </c>
      <c r="F236" s="11">
        <v>265</v>
      </c>
      <c r="G236" s="41">
        <v>6.08</v>
      </c>
      <c r="H236" s="41">
        <v>5.5</v>
      </c>
      <c r="I236" s="41">
        <v>6.15</v>
      </c>
      <c r="J236" s="15">
        <v>-2.92</v>
      </c>
      <c r="K236" s="23">
        <v>-0.32440000000000002</v>
      </c>
      <c r="L236" s="58">
        <v>1245</v>
      </c>
      <c r="M236" s="58">
        <v>1928</v>
      </c>
      <c r="N236" s="57">
        <v>0.41260000000000002</v>
      </c>
      <c r="O236" t="s">
        <v>62</v>
      </c>
      <c r="P236" s="9">
        <v>46058</v>
      </c>
      <c r="Q236">
        <v>222.69</v>
      </c>
    </row>
    <row r="237" spans="1:17" x14ac:dyDescent="0.25">
      <c r="A237" s="10" t="s">
        <v>150</v>
      </c>
      <c r="B237" s="3" t="str">
        <f t="shared" si="13"/>
        <v>AMZN</v>
      </c>
      <c r="C237" s="3" t="str">
        <f t="shared" si="11"/>
        <v>260515</v>
      </c>
      <c r="D237" s="3" t="str">
        <f t="shared" si="12"/>
        <v>C00270000</v>
      </c>
      <c r="E237" s="42">
        <v>46144.665972222225</v>
      </c>
      <c r="F237" s="11">
        <v>270</v>
      </c>
      <c r="G237" s="41">
        <v>5.14</v>
      </c>
      <c r="H237" s="41">
        <v>5</v>
      </c>
      <c r="I237" s="41">
        <v>5.25</v>
      </c>
      <c r="J237" s="15">
        <v>-2.36</v>
      </c>
      <c r="K237" s="23">
        <v>-0.31469999999999998</v>
      </c>
      <c r="L237" s="58">
        <v>1452</v>
      </c>
      <c r="M237" s="58">
        <v>6738</v>
      </c>
      <c r="N237" s="57">
        <v>0.41089999999999999</v>
      </c>
      <c r="O237" t="s">
        <v>62</v>
      </c>
      <c r="P237" s="9">
        <v>46058</v>
      </c>
      <c r="Q237">
        <v>222.69</v>
      </c>
    </row>
    <row r="238" spans="1:17" x14ac:dyDescent="0.25">
      <c r="A238" s="10" t="s">
        <v>151</v>
      </c>
      <c r="B238" s="3" t="str">
        <f t="shared" si="13"/>
        <v>AMZN</v>
      </c>
      <c r="C238" s="3" t="str">
        <f t="shared" si="11"/>
        <v>260515</v>
      </c>
      <c r="D238" s="3" t="str">
        <f t="shared" si="12"/>
        <v>C00275000</v>
      </c>
      <c r="E238" s="42">
        <v>46144.665972222225</v>
      </c>
      <c r="F238" s="11">
        <v>275</v>
      </c>
      <c r="G238" s="41">
        <v>4.3600000000000003</v>
      </c>
      <c r="H238" s="41">
        <v>4.0999999999999996</v>
      </c>
      <c r="I238" s="41">
        <v>4.45</v>
      </c>
      <c r="J238" s="15">
        <v>-2.2599999999999998</v>
      </c>
      <c r="K238" s="23">
        <v>-0.34139999999999998</v>
      </c>
      <c r="L238" s="41">
        <v>916</v>
      </c>
      <c r="M238" s="58">
        <v>13610</v>
      </c>
      <c r="N238" s="57">
        <v>0.4088</v>
      </c>
      <c r="O238" t="s">
        <v>62</v>
      </c>
      <c r="P238" s="9">
        <v>46058</v>
      </c>
      <c r="Q238">
        <v>222.69</v>
      </c>
    </row>
    <row r="239" spans="1:17" x14ac:dyDescent="0.25">
      <c r="A239" s="10" t="s">
        <v>152</v>
      </c>
      <c r="B239" s="3" t="str">
        <f t="shared" si="13"/>
        <v>AMZN</v>
      </c>
      <c r="C239" s="3" t="str">
        <f t="shared" si="11"/>
        <v>260515</v>
      </c>
      <c r="D239" s="3" t="str">
        <f t="shared" si="12"/>
        <v>C00280000</v>
      </c>
      <c r="E239" s="42">
        <v>46144.665277777778</v>
      </c>
      <c r="F239" s="11">
        <v>280</v>
      </c>
      <c r="G239" s="41">
        <v>3.65</v>
      </c>
      <c r="H239" s="41">
        <v>3.55</v>
      </c>
      <c r="I239" s="41">
        <v>3.75</v>
      </c>
      <c r="J239" s="15">
        <v>-1.85</v>
      </c>
      <c r="K239" s="23">
        <v>-0.33639999999999998</v>
      </c>
      <c r="L239" s="41">
        <v>374</v>
      </c>
      <c r="M239" s="58">
        <v>8909</v>
      </c>
      <c r="N239" s="57">
        <v>0.40660000000000002</v>
      </c>
      <c r="O239" t="s">
        <v>62</v>
      </c>
      <c r="P239" s="9">
        <v>46058</v>
      </c>
      <c r="Q239">
        <v>222.69</v>
      </c>
    </row>
    <row r="240" spans="1:17" x14ac:dyDescent="0.25">
      <c r="A240" s="10" t="s">
        <v>153</v>
      </c>
      <c r="B240" s="3" t="str">
        <f t="shared" si="13"/>
        <v>AMZN</v>
      </c>
      <c r="C240" s="3" t="str">
        <f t="shared" si="11"/>
        <v>260515</v>
      </c>
      <c r="D240" s="3" t="str">
        <f t="shared" si="12"/>
        <v>C00285000</v>
      </c>
      <c r="E240" s="42">
        <v>46144.665972222225</v>
      </c>
      <c r="F240" s="11">
        <v>285</v>
      </c>
      <c r="G240" s="41">
        <v>3.05</v>
      </c>
      <c r="H240" s="41">
        <v>2.8</v>
      </c>
      <c r="I240" s="41">
        <v>3.6</v>
      </c>
      <c r="J240" s="15">
        <v>-1.65</v>
      </c>
      <c r="K240" s="23">
        <v>-0.35110000000000002</v>
      </c>
      <c r="L240" s="41">
        <v>355</v>
      </c>
      <c r="M240" s="58">
        <v>16482</v>
      </c>
      <c r="N240" s="57">
        <v>0.42130000000000001</v>
      </c>
      <c r="O240" t="s">
        <v>62</v>
      </c>
      <c r="P240" s="9">
        <v>46058</v>
      </c>
      <c r="Q240">
        <v>222.69</v>
      </c>
    </row>
    <row r="241" spans="1:17" x14ac:dyDescent="0.25">
      <c r="A241" s="10" t="s">
        <v>154</v>
      </c>
      <c r="B241" s="3" t="str">
        <f t="shared" si="13"/>
        <v>AMZN</v>
      </c>
      <c r="C241" s="3" t="str">
        <f t="shared" si="11"/>
        <v>260515</v>
      </c>
      <c r="D241" s="3" t="str">
        <f t="shared" si="12"/>
        <v>C00290000</v>
      </c>
      <c r="E241" s="42">
        <v>46144.664583333331</v>
      </c>
      <c r="F241" s="11">
        <v>290</v>
      </c>
      <c r="G241" s="41">
        <v>2.62</v>
      </c>
      <c r="H241" s="41">
        <v>2.34</v>
      </c>
      <c r="I241" s="41">
        <v>2.67</v>
      </c>
      <c r="J241" s="15">
        <v>-1.38</v>
      </c>
      <c r="K241" s="23">
        <v>-0.34499999999999997</v>
      </c>
      <c r="L241" s="41">
        <v>190</v>
      </c>
      <c r="M241" s="58">
        <v>3351</v>
      </c>
      <c r="N241" s="57">
        <v>0.4042</v>
      </c>
      <c r="O241" t="s">
        <v>62</v>
      </c>
      <c r="P241" s="9">
        <v>46058</v>
      </c>
      <c r="Q241">
        <v>222.69</v>
      </c>
    </row>
    <row r="242" spans="1:17" x14ac:dyDescent="0.25">
      <c r="A242" s="10" t="s">
        <v>155</v>
      </c>
      <c r="B242" s="3" t="str">
        <f t="shared" si="13"/>
        <v>AMZN</v>
      </c>
      <c r="C242" s="3" t="str">
        <f t="shared" si="11"/>
        <v>260515</v>
      </c>
      <c r="D242" s="3" t="str">
        <f t="shared" si="12"/>
        <v>C00295000</v>
      </c>
      <c r="E242" s="42">
        <v>46144.665972222225</v>
      </c>
      <c r="F242" s="11">
        <v>295</v>
      </c>
      <c r="G242" s="41">
        <v>2.14</v>
      </c>
      <c r="H242" s="41">
        <v>2.08</v>
      </c>
      <c r="I242" s="41">
        <v>4.25</v>
      </c>
      <c r="J242" s="15">
        <v>-1.41</v>
      </c>
      <c r="K242" s="23">
        <v>-0.3972</v>
      </c>
      <c r="L242" s="41">
        <v>23</v>
      </c>
      <c r="M242" s="41">
        <v>566</v>
      </c>
      <c r="N242" s="57">
        <v>0.48299999999999998</v>
      </c>
      <c r="O242" t="s">
        <v>62</v>
      </c>
      <c r="P242" s="9">
        <v>46058</v>
      </c>
      <c r="Q242">
        <v>222.69</v>
      </c>
    </row>
    <row r="243" spans="1:17" x14ac:dyDescent="0.25">
      <c r="A243" s="10" t="s">
        <v>156</v>
      </c>
      <c r="B243" s="3" t="str">
        <f t="shared" si="13"/>
        <v>AMZN</v>
      </c>
      <c r="C243" s="3" t="str">
        <f t="shared" si="11"/>
        <v>260515</v>
      </c>
      <c r="D243" s="3" t="str">
        <f t="shared" si="12"/>
        <v>C00300000</v>
      </c>
      <c r="E243" s="42">
        <v>46144.665972222225</v>
      </c>
      <c r="F243" s="11">
        <v>300</v>
      </c>
      <c r="G243" s="41">
        <v>1.82</v>
      </c>
      <c r="H243" s="41">
        <v>1.78</v>
      </c>
      <c r="I243" s="41">
        <v>1.91</v>
      </c>
      <c r="J243" s="15">
        <v>-1.07</v>
      </c>
      <c r="K243" s="23">
        <v>-0.37019999999999997</v>
      </c>
      <c r="L243" s="41">
        <v>432</v>
      </c>
      <c r="M243" s="58">
        <v>3755</v>
      </c>
      <c r="N243" s="57">
        <v>0.4037</v>
      </c>
      <c r="O243" t="s">
        <v>62</v>
      </c>
      <c r="P243" s="9">
        <v>46058</v>
      </c>
      <c r="Q243">
        <v>222.69</v>
      </c>
    </row>
    <row r="244" spans="1:17" x14ac:dyDescent="0.25">
      <c r="A244" s="10" t="s">
        <v>157</v>
      </c>
      <c r="B244" s="3" t="str">
        <f t="shared" si="13"/>
        <v>AMZN</v>
      </c>
      <c r="C244" s="3" t="str">
        <f t="shared" ref="C244:C307" si="14">+MID(A244,5,6)</f>
        <v>260515</v>
      </c>
      <c r="D244" s="3" t="str">
        <f t="shared" ref="D244:D307" si="15">+MID(A244,11,10)</f>
        <v>C00305000</v>
      </c>
      <c r="E244" s="42">
        <v>46144.661111111112</v>
      </c>
      <c r="F244" s="11">
        <v>305</v>
      </c>
      <c r="G244" s="41">
        <v>1.5</v>
      </c>
      <c r="H244" s="41">
        <v>1.49</v>
      </c>
      <c r="I244" s="41">
        <v>1.62</v>
      </c>
      <c r="J244" s="15">
        <v>-1.07</v>
      </c>
      <c r="K244" s="23">
        <v>-0.4163</v>
      </c>
      <c r="L244" s="58">
        <v>1058</v>
      </c>
      <c r="M244" s="58">
        <v>1770</v>
      </c>
      <c r="N244" s="57">
        <v>0.40410000000000001</v>
      </c>
      <c r="O244" t="s">
        <v>62</v>
      </c>
      <c r="P244" s="9">
        <v>46058</v>
      </c>
      <c r="Q244">
        <v>222.69</v>
      </c>
    </row>
    <row r="245" spans="1:17" x14ac:dyDescent="0.25">
      <c r="A245" s="10" t="s">
        <v>158</v>
      </c>
      <c r="B245" s="3" t="str">
        <f t="shared" si="13"/>
        <v>AMZN</v>
      </c>
      <c r="C245" s="3" t="str">
        <f t="shared" si="14"/>
        <v>260515</v>
      </c>
      <c r="D245" s="3" t="str">
        <f t="shared" si="15"/>
        <v>C00310000</v>
      </c>
      <c r="E245" s="42">
        <v>46144.494444444441</v>
      </c>
      <c r="F245" s="11">
        <v>310</v>
      </c>
      <c r="G245" s="41">
        <v>1.55</v>
      </c>
      <c r="H245" s="41">
        <v>1.25</v>
      </c>
      <c r="I245" s="41">
        <v>1.37</v>
      </c>
      <c r="J245" s="15">
        <v>-0.64</v>
      </c>
      <c r="K245" s="23">
        <v>-0.29220000000000002</v>
      </c>
      <c r="L245" s="41">
        <v>16</v>
      </c>
      <c r="M245" s="41">
        <v>747</v>
      </c>
      <c r="N245" s="57">
        <v>0.4042</v>
      </c>
      <c r="O245" t="s">
        <v>62</v>
      </c>
      <c r="P245" s="9">
        <v>46058</v>
      </c>
      <c r="Q245">
        <v>222.69</v>
      </c>
    </row>
    <row r="246" spans="1:17" x14ac:dyDescent="0.25">
      <c r="A246" s="10" t="s">
        <v>159</v>
      </c>
      <c r="B246" s="3" t="str">
        <f t="shared" si="13"/>
        <v>AMZN</v>
      </c>
      <c r="C246" s="3" t="str">
        <f t="shared" si="14"/>
        <v>260515</v>
      </c>
      <c r="D246" s="3" t="str">
        <f t="shared" si="15"/>
        <v>C00315000</v>
      </c>
      <c r="E246" s="42">
        <v>46144.438194444447</v>
      </c>
      <c r="F246" s="11">
        <v>315</v>
      </c>
      <c r="G246" s="41">
        <v>1.08</v>
      </c>
      <c r="H246" s="41">
        <v>1.05</v>
      </c>
      <c r="I246" s="41">
        <v>1.1599999999999999</v>
      </c>
      <c r="J246" s="15">
        <v>-0.77</v>
      </c>
      <c r="K246" s="23">
        <v>-0.41620000000000001</v>
      </c>
      <c r="L246" s="41">
        <v>15</v>
      </c>
      <c r="M246" s="41">
        <v>713</v>
      </c>
      <c r="N246" s="57">
        <v>0.4047</v>
      </c>
      <c r="O246" t="s">
        <v>62</v>
      </c>
      <c r="P246" s="9">
        <v>46058</v>
      </c>
      <c r="Q246">
        <v>222.69</v>
      </c>
    </row>
    <row r="247" spans="1:17" x14ac:dyDescent="0.25">
      <c r="A247" s="10" t="s">
        <v>160</v>
      </c>
      <c r="B247" s="3" t="str">
        <f t="shared" si="13"/>
        <v>AMZN</v>
      </c>
      <c r="C247" s="3" t="str">
        <f t="shared" si="14"/>
        <v>260515</v>
      </c>
      <c r="D247" s="3" t="str">
        <f t="shared" si="15"/>
        <v>C00320000</v>
      </c>
      <c r="E247" s="42">
        <v>46144.665972222225</v>
      </c>
      <c r="F247" s="11">
        <v>320</v>
      </c>
      <c r="G247" s="41">
        <v>0.95</v>
      </c>
      <c r="H247" s="41">
        <v>0</v>
      </c>
      <c r="I247" s="41">
        <v>0.99</v>
      </c>
      <c r="J247" s="15">
        <v>-0.63</v>
      </c>
      <c r="K247" s="23">
        <v>-0.3987</v>
      </c>
      <c r="L247" s="41">
        <v>70</v>
      </c>
      <c r="M247" s="58">
        <v>1441</v>
      </c>
      <c r="N247" s="57">
        <v>0.40579999999999999</v>
      </c>
      <c r="O247" t="s">
        <v>62</v>
      </c>
      <c r="P247" s="9">
        <v>46058</v>
      </c>
      <c r="Q247">
        <v>222.69</v>
      </c>
    </row>
    <row r="248" spans="1:17" x14ac:dyDescent="0.25">
      <c r="A248" s="10" t="s">
        <v>161</v>
      </c>
      <c r="B248" s="3" t="str">
        <f t="shared" si="13"/>
        <v>AMZN</v>
      </c>
      <c r="C248" s="3" t="str">
        <f t="shared" si="14"/>
        <v>260515</v>
      </c>
      <c r="D248" s="3" t="str">
        <f t="shared" si="15"/>
        <v>C00325000</v>
      </c>
      <c r="E248" s="42">
        <v>46144.661805555559</v>
      </c>
      <c r="F248" s="11">
        <v>325</v>
      </c>
      <c r="G248" s="41">
        <v>0.78</v>
      </c>
      <c r="H248" s="41">
        <v>0.74</v>
      </c>
      <c r="I248" s="41">
        <v>0.85</v>
      </c>
      <c r="J248" s="15">
        <v>-0.56999999999999995</v>
      </c>
      <c r="K248" s="23">
        <v>-0.42220000000000002</v>
      </c>
      <c r="L248" s="58">
        <v>1020</v>
      </c>
      <c r="M248" s="58">
        <v>1934</v>
      </c>
      <c r="N248" s="57">
        <v>0.40749999999999997</v>
      </c>
      <c r="O248" t="s">
        <v>62</v>
      </c>
      <c r="P248" s="9">
        <v>46058</v>
      </c>
      <c r="Q248">
        <v>222.69</v>
      </c>
    </row>
    <row r="249" spans="1:17" x14ac:dyDescent="0.25">
      <c r="A249" s="10" t="s">
        <v>162</v>
      </c>
      <c r="B249" s="3" t="str">
        <f t="shared" si="13"/>
        <v>AMZN</v>
      </c>
      <c r="C249" s="3" t="str">
        <f t="shared" si="14"/>
        <v>260515</v>
      </c>
      <c r="D249" s="3" t="str">
        <f t="shared" si="15"/>
        <v>C00330000</v>
      </c>
      <c r="E249" s="42">
        <v>46144.634027777778</v>
      </c>
      <c r="F249" s="11">
        <v>330</v>
      </c>
      <c r="G249" s="41">
        <v>0.8</v>
      </c>
      <c r="H249" s="41">
        <v>0.63</v>
      </c>
      <c r="I249" s="41">
        <v>0.73</v>
      </c>
      <c r="J249" s="15">
        <v>-0.33</v>
      </c>
      <c r="K249" s="23">
        <v>-0.29199999999999998</v>
      </c>
      <c r="L249" s="41">
        <v>15</v>
      </c>
      <c r="M249" s="41">
        <v>591</v>
      </c>
      <c r="N249" s="57">
        <v>0.40889999999999999</v>
      </c>
      <c r="O249" t="s">
        <v>62</v>
      </c>
      <c r="P249" s="9">
        <v>46058</v>
      </c>
      <c r="Q249">
        <v>222.69</v>
      </c>
    </row>
    <row r="250" spans="1:17" x14ac:dyDescent="0.25">
      <c r="A250" s="10" t="s">
        <v>163</v>
      </c>
      <c r="B250" s="3" t="str">
        <f t="shared" si="13"/>
        <v>AMZN</v>
      </c>
      <c r="C250" s="3" t="str">
        <f t="shared" si="14"/>
        <v>260515</v>
      </c>
      <c r="D250" s="3" t="str">
        <f t="shared" si="15"/>
        <v>C00340000</v>
      </c>
      <c r="E250" s="42">
        <v>46144.648611111108</v>
      </c>
      <c r="F250" s="11">
        <v>340</v>
      </c>
      <c r="G250" s="41">
        <v>0.55000000000000004</v>
      </c>
      <c r="H250" s="41">
        <v>0.46</v>
      </c>
      <c r="I250" s="41">
        <v>0.55000000000000004</v>
      </c>
      <c r="J250" s="15">
        <v>-0.27</v>
      </c>
      <c r="K250" s="23">
        <v>-0.32929999999999998</v>
      </c>
      <c r="L250" s="41">
        <v>8</v>
      </c>
      <c r="M250" s="41">
        <v>477</v>
      </c>
      <c r="N250" s="57">
        <v>0.41360000000000002</v>
      </c>
      <c r="O250" t="s">
        <v>62</v>
      </c>
      <c r="P250" s="9">
        <v>46058</v>
      </c>
      <c r="Q250">
        <v>222.69</v>
      </c>
    </row>
    <row r="251" spans="1:17" x14ac:dyDescent="0.25">
      <c r="A251" s="10" t="s">
        <v>164</v>
      </c>
      <c r="B251" s="3" t="str">
        <f t="shared" si="13"/>
        <v>AMZN</v>
      </c>
      <c r="C251" s="3" t="str">
        <f t="shared" si="14"/>
        <v>260515</v>
      </c>
      <c r="D251" s="3" t="str">
        <f t="shared" si="15"/>
        <v>C00350000</v>
      </c>
      <c r="E251" s="42">
        <v>46144.649305555555</v>
      </c>
      <c r="F251" s="11">
        <v>350</v>
      </c>
      <c r="G251" s="41">
        <v>0.4</v>
      </c>
      <c r="H251" s="41">
        <v>0.34</v>
      </c>
      <c r="I251" s="41">
        <v>0.42</v>
      </c>
      <c r="J251" s="15">
        <v>-0.11</v>
      </c>
      <c r="K251" s="23">
        <v>-0.2157</v>
      </c>
      <c r="L251" s="41">
        <v>33</v>
      </c>
      <c r="M251" s="58">
        <v>1440</v>
      </c>
      <c r="N251" s="57">
        <v>0.41849999999999998</v>
      </c>
      <c r="O251" t="s">
        <v>62</v>
      </c>
      <c r="P251" s="9">
        <v>46058</v>
      </c>
      <c r="Q251">
        <v>222.69</v>
      </c>
    </row>
    <row r="252" spans="1:17" x14ac:dyDescent="0.25">
      <c r="A252" s="10" t="s">
        <v>165</v>
      </c>
      <c r="B252" s="3" t="str">
        <f t="shared" si="13"/>
        <v>AMZN</v>
      </c>
      <c r="C252" s="3" t="str">
        <f t="shared" si="14"/>
        <v>260515</v>
      </c>
      <c r="D252" s="3" t="str">
        <f t="shared" si="15"/>
        <v>C00360000</v>
      </c>
      <c r="E252" s="42">
        <v>46144.613888888889</v>
      </c>
      <c r="F252" s="11">
        <v>360</v>
      </c>
      <c r="G252" s="41">
        <v>0.32</v>
      </c>
      <c r="H252" s="41">
        <v>0.25</v>
      </c>
      <c r="I252" s="41">
        <v>0.33</v>
      </c>
      <c r="J252" s="15">
        <v>-0.12</v>
      </c>
      <c r="K252" s="23">
        <v>-0.2727</v>
      </c>
      <c r="L252" s="41">
        <v>12</v>
      </c>
      <c r="M252" s="41">
        <v>205</v>
      </c>
      <c r="N252" s="57">
        <v>0.42480000000000001</v>
      </c>
      <c r="O252" t="s">
        <v>62</v>
      </c>
      <c r="P252" s="9">
        <v>46058</v>
      </c>
      <c r="Q252">
        <v>222.69</v>
      </c>
    </row>
    <row r="253" spans="1:17" x14ac:dyDescent="0.25">
      <c r="A253" s="10" t="s">
        <v>166</v>
      </c>
      <c r="B253" s="3" t="str">
        <f t="shared" si="13"/>
        <v>AMZN</v>
      </c>
      <c r="C253" s="3" t="str">
        <f t="shared" si="14"/>
        <v>260515</v>
      </c>
      <c r="D253" s="3" t="str">
        <f t="shared" si="15"/>
        <v>C00370000</v>
      </c>
      <c r="E253" s="42">
        <v>46144.594444444447</v>
      </c>
      <c r="F253" s="11">
        <v>370</v>
      </c>
      <c r="G253" s="41">
        <v>0.24</v>
      </c>
      <c r="H253" s="41">
        <v>0.19</v>
      </c>
      <c r="I253" s="41">
        <v>0.26</v>
      </c>
      <c r="J253" s="15">
        <v>-0.08</v>
      </c>
      <c r="K253" s="23">
        <v>-0.25</v>
      </c>
      <c r="L253" s="41">
        <v>37</v>
      </c>
      <c r="M253" s="58">
        <v>1647</v>
      </c>
      <c r="N253" s="57">
        <v>0.43070000000000003</v>
      </c>
      <c r="O253" t="s">
        <v>62</v>
      </c>
      <c r="P253" s="9">
        <v>46058</v>
      </c>
      <c r="Q253">
        <v>222.69</v>
      </c>
    </row>
    <row r="254" spans="1:17" x14ac:dyDescent="0.25">
      <c r="A254" s="10" t="s">
        <v>167</v>
      </c>
      <c r="B254" s="3" t="str">
        <f t="shared" si="13"/>
        <v>AMZN</v>
      </c>
      <c r="C254" s="3" t="str">
        <f t="shared" si="14"/>
        <v>260515</v>
      </c>
      <c r="D254" s="3" t="str">
        <f t="shared" si="15"/>
        <v>P00105000</v>
      </c>
      <c r="E254" s="42">
        <v>46144.584722222222</v>
      </c>
      <c r="F254" s="11">
        <v>105</v>
      </c>
      <c r="G254" s="41">
        <v>0.2</v>
      </c>
      <c r="H254" s="41">
        <v>0.17</v>
      </c>
      <c r="I254" s="41">
        <v>0.25</v>
      </c>
      <c r="J254" s="15">
        <v>0.06</v>
      </c>
      <c r="K254" s="23">
        <v>0.42859999999999998</v>
      </c>
      <c r="L254" s="41">
        <v>21</v>
      </c>
      <c r="M254" s="58">
        <v>1109</v>
      </c>
      <c r="N254" s="57">
        <v>0.63970000000000005</v>
      </c>
      <c r="O254" t="s">
        <v>65</v>
      </c>
      <c r="P254" s="9">
        <v>46058</v>
      </c>
      <c r="Q254">
        <v>222.69</v>
      </c>
    </row>
    <row r="255" spans="1:17" x14ac:dyDescent="0.25">
      <c r="A255" s="10" t="s">
        <v>168</v>
      </c>
      <c r="B255" s="3" t="str">
        <f t="shared" si="13"/>
        <v>AMZN</v>
      </c>
      <c r="C255" s="3" t="str">
        <f t="shared" si="14"/>
        <v>260515</v>
      </c>
      <c r="D255" s="3" t="str">
        <f t="shared" si="15"/>
        <v>P00110000</v>
      </c>
      <c r="E255" s="41" t="s">
        <v>216</v>
      </c>
      <c r="F255" s="11">
        <v>110</v>
      </c>
      <c r="G255" s="41">
        <v>0.16</v>
      </c>
      <c r="H255" s="41">
        <v>0.24</v>
      </c>
      <c r="I255" s="41">
        <v>0.31</v>
      </c>
      <c r="J255" s="15">
        <v>0</v>
      </c>
      <c r="K255" s="23">
        <v>0</v>
      </c>
      <c r="L255" s="41">
        <v>10</v>
      </c>
      <c r="M255" s="41">
        <v>104</v>
      </c>
      <c r="N255" s="57">
        <v>0.62649999999999995</v>
      </c>
      <c r="O255" t="s">
        <v>65</v>
      </c>
      <c r="P255" s="9">
        <v>46058</v>
      </c>
      <c r="Q255">
        <v>222.69</v>
      </c>
    </row>
    <row r="256" spans="1:17" x14ac:dyDescent="0.25">
      <c r="A256" s="10" t="s">
        <v>169</v>
      </c>
      <c r="B256" s="3" t="str">
        <f t="shared" si="13"/>
        <v>AMZN</v>
      </c>
      <c r="C256" s="3" t="str">
        <f t="shared" si="14"/>
        <v>260515</v>
      </c>
      <c r="D256" s="3" t="str">
        <f t="shared" si="15"/>
        <v>P00115000</v>
      </c>
      <c r="E256" s="42">
        <v>46144.574999999997</v>
      </c>
      <c r="F256" s="11">
        <v>115</v>
      </c>
      <c r="G256" s="41">
        <v>0.32</v>
      </c>
      <c r="H256" s="41">
        <v>0.31</v>
      </c>
      <c r="I256" s="41">
        <v>0.39</v>
      </c>
      <c r="J256" s="15">
        <v>0.15</v>
      </c>
      <c r="K256" s="23">
        <v>0.88239999999999996</v>
      </c>
      <c r="L256" s="41">
        <v>1</v>
      </c>
      <c r="M256" s="41">
        <v>106</v>
      </c>
      <c r="N256" s="57">
        <v>0.61180000000000001</v>
      </c>
      <c r="O256" t="s">
        <v>65</v>
      </c>
      <c r="P256" s="9">
        <v>46058</v>
      </c>
      <c r="Q256">
        <v>222.69</v>
      </c>
    </row>
    <row r="257" spans="1:17" x14ac:dyDescent="0.25">
      <c r="A257" s="10" t="s">
        <v>170</v>
      </c>
      <c r="B257" s="3" t="str">
        <f t="shared" si="13"/>
        <v>AMZN</v>
      </c>
      <c r="C257" s="3" t="str">
        <f t="shared" si="14"/>
        <v>260515</v>
      </c>
      <c r="D257" s="3" t="str">
        <f t="shared" si="15"/>
        <v>P00120000</v>
      </c>
      <c r="E257" s="42">
        <v>46083.511805555558</v>
      </c>
      <c r="F257" s="11">
        <v>120</v>
      </c>
      <c r="G257" s="41">
        <v>0.44</v>
      </c>
      <c r="H257" s="41">
        <v>0.41</v>
      </c>
      <c r="I257" s="41">
        <v>0.49</v>
      </c>
      <c r="J257" s="15">
        <v>0.22</v>
      </c>
      <c r="K257" s="23">
        <v>1</v>
      </c>
      <c r="L257" s="41">
        <v>2</v>
      </c>
      <c r="M257" s="41">
        <v>104</v>
      </c>
      <c r="N257" s="57">
        <v>0.59909999999999997</v>
      </c>
      <c r="O257" t="s">
        <v>65</v>
      </c>
      <c r="P257" s="9">
        <v>46058</v>
      </c>
      <c r="Q257">
        <v>222.69</v>
      </c>
    </row>
    <row r="258" spans="1:17" x14ac:dyDescent="0.25">
      <c r="A258" s="10" t="s">
        <v>171</v>
      </c>
      <c r="B258" s="3" t="str">
        <f t="shared" si="13"/>
        <v>AMZN</v>
      </c>
      <c r="C258" s="3" t="str">
        <f t="shared" si="14"/>
        <v>260515</v>
      </c>
      <c r="D258" s="3" t="str">
        <f t="shared" si="15"/>
        <v>P00125000</v>
      </c>
      <c r="E258" s="42">
        <v>46144.588194444441</v>
      </c>
      <c r="F258" s="11">
        <v>125</v>
      </c>
      <c r="G258" s="41">
        <v>0.53</v>
      </c>
      <c r="H258" s="41">
        <v>0.52</v>
      </c>
      <c r="I258" s="41">
        <v>0.6</v>
      </c>
      <c r="J258" s="15">
        <v>0.22</v>
      </c>
      <c r="K258" s="23">
        <v>0.7097</v>
      </c>
      <c r="L258" s="41">
        <v>9</v>
      </c>
      <c r="M258" s="41">
        <v>108</v>
      </c>
      <c r="N258" s="57">
        <v>0.58450000000000002</v>
      </c>
      <c r="O258" t="s">
        <v>65</v>
      </c>
      <c r="P258" s="9">
        <v>46058</v>
      </c>
      <c r="Q258">
        <v>222.69</v>
      </c>
    </row>
    <row r="259" spans="1:17" x14ac:dyDescent="0.25">
      <c r="A259" s="10" t="s">
        <v>172</v>
      </c>
      <c r="B259" s="3" t="str">
        <f t="shared" ref="B259:B322" si="16">+MID(A259,1,4)</f>
        <v>AMZN</v>
      </c>
      <c r="C259" s="3" t="str">
        <f t="shared" si="14"/>
        <v>260515</v>
      </c>
      <c r="D259" s="3" t="str">
        <f t="shared" si="15"/>
        <v>P00130000</v>
      </c>
      <c r="E259" s="42">
        <v>46144.654166666667</v>
      </c>
      <c r="F259" s="11">
        <v>130</v>
      </c>
      <c r="G259" s="41">
        <v>0.69</v>
      </c>
      <c r="H259" s="41">
        <v>0</v>
      </c>
      <c r="I259" s="41">
        <v>0.74</v>
      </c>
      <c r="J259" s="15">
        <v>0.39</v>
      </c>
      <c r="K259" s="23">
        <v>1.3</v>
      </c>
      <c r="L259" s="41">
        <v>54</v>
      </c>
      <c r="M259" s="41">
        <v>331</v>
      </c>
      <c r="N259" s="57">
        <v>0.51319999999999999</v>
      </c>
      <c r="O259" t="s">
        <v>65</v>
      </c>
      <c r="P259" s="9">
        <v>46058</v>
      </c>
      <c r="Q259">
        <v>222.69</v>
      </c>
    </row>
    <row r="260" spans="1:17" x14ac:dyDescent="0.25">
      <c r="A260" s="10" t="s">
        <v>173</v>
      </c>
      <c r="B260" s="3" t="str">
        <f t="shared" si="16"/>
        <v>AMZN</v>
      </c>
      <c r="C260" s="3" t="str">
        <f t="shared" si="14"/>
        <v>260515</v>
      </c>
      <c r="D260" s="3" t="str">
        <f t="shared" si="15"/>
        <v>P00135000</v>
      </c>
      <c r="E260" s="42">
        <v>46144.571527777778</v>
      </c>
      <c r="F260" s="11">
        <v>135</v>
      </c>
      <c r="G260" s="41">
        <v>0.77</v>
      </c>
      <c r="H260" s="41">
        <v>0.8</v>
      </c>
      <c r="I260" s="41">
        <v>0.89</v>
      </c>
      <c r="J260" s="15">
        <v>0.33</v>
      </c>
      <c r="K260" s="23">
        <v>0.75</v>
      </c>
      <c r="L260" s="41">
        <v>202</v>
      </c>
      <c r="M260" s="41">
        <v>863</v>
      </c>
      <c r="N260" s="57">
        <v>0.5554</v>
      </c>
      <c r="O260" t="s">
        <v>65</v>
      </c>
      <c r="P260" s="9">
        <v>46058</v>
      </c>
      <c r="Q260">
        <v>222.69</v>
      </c>
    </row>
    <row r="261" spans="1:17" x14ac:dyDescent="0.25">
      <c r="A261" s="10" t="s">
        <v>174</v>
      </c>
      <c r="B261" s="3" t="str">
        <f t="shared" si="16"/>
        <v>AMZN</v>
      </c>
      <c r="C261" s="3" t="str">
        <f t="shared" si="14"/>
        <v>260515</v>
      </c>
      <c r="D261" s="3" t="str">
        <f t="shared" si="15"/>
        <v>P00140000</v>
      </c>
      <c r="E261" s="42">
        <v>46144.395833333336</v>
      </c>
      <c r="F261" s="11">
        <v>140</v>
      </c>
      <c r="G261" s="41">
        <v>1.0900000000000001</v>
      </c>
      <c r="H261" s="41">
        <v>0.98</v>
      </c>
      <c r="I261" s="41">
        <v>1.04</v>
      </c>
      <c r="J261" s="15">
        <v>0.45</v>
      </c>
      <c r="K261" s="23">
        <v>0.70309999999999995</v>
      </c>
      <c r="L261" s="41">
        <v>7</v>
      </c>
      <c r="M261" s="41">
        <v>330</v>
      </c>
      <c r="N261" s="57">
        <v>0.5393</v>
      </c>
      <c r="O261" t="s">
        <v>65</v>
      </c>
      <c r="P261" s="9">
        <v>46058</v>
      </c>
      <c r="Q261">
        <v>222.69</v>
      </c>
    </row>
    <row r="262" spans="1:17" x14ac:dyDescent="0.25">
      <c r="A262" s="10" t="s">
        <v>175</v>
      </c>
      <c r="B262" s="3" t="str">
        <f t="shared" si="16"/>
        <v>AMZN</v>
      </c>
      <c r="C262" s="3" t="str">
        <f t="shared" si="14"/>
        <v>260515</v>
      </c>
      <c r="D262" s="3" t="str">
        <f t="shared" si="15"/>
        <v>P00145000</v>
      </c>
      <c r="E262" s="42">
        <v>46144.655555555553</v>
      </c>
      <c r="F262" s="11">
        <v>145</v>
      </c>
      <c r="G262" s="41">
        <v>1.31</v>
      </c>
      <c r="H262" s="41">
        <v>1.2</v>
      </c>
      <c r="I262" s="41">
        <v>1.31</v>
      </c>
      <c r="J262" s="15">
        <v>0.47</v>
      </c>
      <c r="K262" s="23">
        <v>0.5595</v>
      </c>
      <c r="L262" s="41">
        <v>66</v>
      </c>
      <c r="M262" s="41">
        <v>611</v>
      </c>
      <c r="N262" s="57">
        <v>0.52829999999999999</v>
      </c>
      <c r="O262" t="s">
        <v>65</v>
      </c>
      <c r="P262" s="9">
        <v>46058</v>
      </c>
      <c r="Q262">
        <v>222.69</v>
      </c>
    </row>
    <row r="263" spans="1:17" x14ac:dyDescent="0.25">
      <c r="A263" s="10" t="s">
        <v>176</v>
      </c>
      <c r="B263" s="3" t="str">
        <f t="shared" si="16"/>
        <v>AMZN</v>
      </c>
      <c r="C263" s="3" t="str">
        <f t="shared" si="14"/>
        <v>260515</v>
      </c>
      <c r="D263" s="3" t="str">
        <f t="shared" si="15"/>
        <v>P00150000</v>
      </c>
      <c r="E263" s="42">
        <v>46144.606944444444</v>
      </c>
      <c r="F263" s="11">
        <v>150</v>
      </c>
      <c r="G263" s="41">
        <v>1.5</v>
      </c>
      <c r="H263" s="41">
        <v>1.47</v>
      </c>
      <c r="I263" s="41">
        <v>1.85</v>
      </c>
      <c r="J263" s="15">
        <v>0.45</v>
      </c>
      <c r="K263" s="23">
        <v>0.42859999999999998</v>
      </c>
      <c r="L263" s="41">
        <v>18</v>
      </c>
      <c r="M263" s="41">
        <v>842</v>
      </c>
      <c r="N263" s="57">
        <v>0.52600000000000002</v>
      </c>
      <c r="O263" t="s">
        <v>65</v>
      </c>
      <c r="P263" s="9">
        <v>46058</v>
      </c>
      <c r="Q263">
        <v>222.69</v>
      </c>
    </row>
    <row r="264" spans="1:17" x14ac:dyDescent="0.25">
      <c r="A264" s="10" t="s">
        <v>177</v>
      </c>
      <c r="B264" s="3" t="str">
        <f t="shared" si="16"/>
        <v>AMZN</v>
      </c>
      <c r="C264" s="3" t="str">
        <f t="shared" si="14"/>
        <v>260515</v>
      </c>
      <c r="D264" s="3" t="str">
        <f t="shared" si="15"/>
        <v>P00155000</v>
      </c>
      <c r="E264" s="42">
        <v>46144.60833333333</v>
      </c>
      <c r="F264" s="11">
        <v>155</v>
      </c>
      <c r="G264" s="41">
        <v>1.97</v>
      </c>
      <c r="H264" s="41">
        <v>1.8</v>
      </c>
      <c r="I264" s="41">
        <v>1.92</v>
      </c>
      <c r="J264" s="15">
        <v>0.7</v>
      </c>
      <c r="K264" s="23">
        <v>0.55120000000000002</v>
      </c>
      <c r="L264" s="41">
        <v>73</v>
      </c>
      <c r="M264" s="58">
        <v>1177</v>
      </c>
      <c r="N264" s="57">
        <v>0.50439999999999996</v>
      </c>
      <c r="O264" t="s">
        <v>65</v>
      </c>
      <c r="P264" s="9">
        <v>46058</v>
      </c>
      <c r="Q264">
        <v>222.69</v>
      </c>
    </row>
    <row r="265" spans="1:17" x14ac:dyDescent="0.25">
      <c r="A265" s="10" t="s">
        <v>178</v>
      </c>
      <c r="B265" s="3" t="str">
        <f t="shared" si="16"/>
        <v>AMZN</v>
      </c>
      <c r="C265" s="3" t="str">
        <f t="shared" si="14"/>
        <v>260515</v>
      </c>
      <c r="D265" s="3" t="str">
        <f t="shared" si="15"/>
        <v>P00160000</v>
      </c>
      <c r="E265" s="42">
        <v>46144.659722222219</v>
      </c>
      <c r="F265" s="11">
        <v>160</v>
      </c>
      <c r="G265" s="41">
        <v>2.2999999999999998</v>
      </c>
      <c r="H265" s="41">
        <v>2.08</v>
      </c>
      <c r="I265" s="41">
        <v>2.4500000000000002</v>
      </c>
      <c r="J265" s="15">
        <v>0.76</v>
      </c>
      <c r="K265" s="23">
        <v>0.49349999999999999</v>
      </c>
      <c r="L265" s="41">
        <v>181</v>
      </c>
      <c r="M265" s="58">
        <v>2274</v>
      </c>
      <c r="N265" s="57">
        <v>0.50449999999999995</v>
      </c>
      <c r="O265" t="s">
        <v>65</v>
      </c>
      <c r="P265" s="9">
        <v>46058</v>
      </c>
      <c r="Q265">
        <v>222.69</v>
      </c>
    </row>
    <row r="266" spans="1:17" x14ac:dyDescent="0.25">
      <c r="A266" s="10" t="s">
        <v>179</v>
      </c>
      <c r="B266" s="3" t="str">
        <f t="shared" si="16"/>
        <v>AMZN</v>
      </c>
      <c r="C266" s="3" t="str">
        <f t="shared" si="14"/>
        <v>260515</v>
      </c>
      <c r="D266" s="3" t="str">
        <f t="shared" si="15"/>
        <v>P00165000</v>
      </c>
      <c r="E266" s="42">
        <v>46144.656944444447</v>
      </c>
      <c r="F266" s="11">
        <v>165</v>
      </c>
      <c r="G266" s="41">
        <v>2.75</v>
      </c>
      <c r="H266" s="41">
        <v>1</v>
      </c>
      <c r="I266" s="41">
        <v>4.8</v>
      </c>
      <c r="J266" s="15">
        <v>0.85</v>
      </c>
      <c r="K266" s="23">
        <v>0.44740000000000002</v>
      </c>
      <c r="L266" s="41">
        <v>41</v>
      </c>
      <c r="M266" s="41">
        <v>559</v>
      </c>
      <c r="N266" s="57">
        <v>0.5776</v>
      </c>
      <c r="O266" t="s">
        <v>65</v>
      </c>
      <c r="P266" s="9">
        <v>46058</v>
      </c>
      <c r="Q266">
        <v>222.69</v>
      </c>
    </row>
    <row r="267" spans="1:17" x14ac:dyDescent="0.25">
      <c r="A267" s="10" t="s">
        <v>180</v>
      </c>
      <c r="B267" s="3" t="str">
        <f t="shared" si="16"/>
        <v>AMZN</v>
      </c>
      <c r="C267" s="3" t="str">
        <f t="shared" si="14"/>
        <v>260515</v>
      </c>
      <c r="D267" s="3" t="str">
        <f t="shared" si="15"/>
        <v>P00170000</v>
      </c>
      <c r="E267" s="42">
        <v>46144.654861111114</v>
      </c>
      <c r="F267" s="11">
        <v>170</v>
      </c>
      <c r="G267" s="41">
        <v>3.29</v>
      </c>
      <c r="H267" s="41">
        <v>3.2</v>
      </c>
      <c r="I267" s="41">
        <v>3.4</v>
      </c>
      <c r="J267" s="15">
        <v>0.99</v>
      </c>
      <c r="K267" s="23">
        <v>0.4304</v>
      </c>
      <c r="L267" s="58">
        <v>1462</v>
      </c>
      <c r="M267" s="58">
        <v>2883</v>
      </c>
      <c r="N267" s="57">
        <v>0.47760000000000002</v>
      </c>
      <c r="O267" t="s">
        <v>65</v>
      </c>
      <c r="P267" s="9">
        <v>46058</v>
      </c>
      <c r="Q267">
        <v>222.69</v>
      </c>
    </row>
    <row r="268" spans="1:17" x14ac:dyDescent="0.25">
      <c r="A268" s="10" t="s">
        <v>181</v>
      </c>
      <c r="B268" s="3" t="str">
        <f t="shared" si="16"/>
        <v>AMZN</v>
      </c>
      <c r="C268" s="3" t="str">
        <f t="shared" si="14"/>
        <v>260515</v>
      </c>
      <c r="D268" s="3" t="str">
        <f t="shared" si="15"/>
        <v>P00175000</v>
      </c>
      <c r="E268" s="42">
        <v>46144.636805555558</v>
      </c>
      <c r="F268" s="11">
        <v>175</v>
      </c>
      <c r="G268" s="41">
        <v>3.87</v>
      </c>
      <c r="H268" s="41">
        <v>3.6</v>
      </c>
      <c r="I268" s="41">
        <v>5.0999999999999996</v>
      </c>
      <c r="J268" s="15">
        <v>1.35</v>
      </c>
      <c r="K268" s="23">
        <v>0.53569999999999995</v>
      </c>
      <c r="L268" s="41">
        <v>63</v>
      </c>
      <c r="M268" s="58">
        <v>1605</v>
      </c>
      <c r="N268" s="57">
        <v>0.50749999999999995</v>
      </c>
      <c r="O268" t="s">
        <v>65</v>
      </c>
      <c r="P268" s="9">
        <v>46058</v>
      </c>
      <c r="Q268">
        <v>222.69</v>
      </c>
    </row>
    <row r="269" spans="1:17" x14ac:dyDescent="0.25">
      <c r="A269" s="10" t="s">
        <v>182</v>
      </c>
      <c r="B269" s="3" t="str">
        <f t="shared" si="16"/>
        <v>AMZN</v>
      </c>
      <c r="C269" s="3" t="str">
        <f t="shared" si="14"/>
        <v>260515</v>
      </c>
      <c r="D269" s="3" t="str">
        <f t="shared" si="15"/>
        <v>P00180000</v>
      </c>
      <c r="E269" s="42">
        <v>46144.635416666664</v>
      </c>
      <c r="F269" s="11">
        <v>180</v>
      </c>
      <c r="G269" s="41">
        <v>4.7699999999999996</v>
      </c>
      <c r="H269" s="41">
        <v>2.6</v>
      </c>
      <c r="I269" s="41">
        <v>6</v>
      </c>
      <c r="J269" s="15">
        <v>1.52</v>
      </c>
      <c r="K269" s="23">
        <v>0.4677</v>
      </c>
      <c r="L269" s="41">
        <v>585</v>
      </c>
      <c r="M269" s="58">
        <v>4337</v>
      </c>
      <c r="N269" s="57">
        <v>0.49840000000000001</v>
      </c>
      <c r="O269" t="s">
        <v>65</v>
      </c>
      <c r="P269" s="9">
        <v>46058</v>
      </c>
      <c r="Q269">
        <v>222.69</v>
      </c>
    </row>
    <row r="270" spans="1:17" x14ac:dyDescent="0.25">
      <c r="A270" s="10" t="s">
        <v>183</v>
      </c>
      <c r="B270" s="3" t="str">
        <f t="shared" si="16"/>
        <v>AMZN</v>
      </c>
      <c r="C270" s="3" t="str">
        <f t="shared" si="14"/>
        <v>260515</v>
      </c>
      <c r="D270" s="3" t="str">
        <f t="shared" si="15"/>
        <v>P00185000</v>
      </c>
      <c r="E270" s="42">
        <v>46144.645833333336</v>
      </c>
      <c r="F270" s="11">
        <v>185</v>
      </c>
      <c r="G270" s="41">
        <v>5.72</v>
      </c>
      <c r="H270" s="41">
        <v>3.5</v>
      </c>
      <c r="I270" s="41">
        <v>6.75</v>
      </c>
      <c r="J270" s="15">
        <v>1.77</v>
      </c>
      <c r="K270" s="23">
        <v>0.4481</v>
      </c>
      <c r="L270" s="58">
        <v>2362</v>
      </c>
      <c r="M270" s="58">
        <v>4579</v>
      </c>
      <c r="N270" s="57">
        <v>0.48099999999999998</v>
      </c>
      <c r="O270" t="s">
        <v>65</v>
      </c>
      <c r="P270" s="9">
        <v>46058</v>
      </c>
      <c r="Q270">
        <v>222.69</v>
      </c>
    </row>
    <row r="271" spans="1:17" x14ac:dyDescent="0.25">
      <c r="A271" s="10" t="s">
        <v>184</v>
      </c>
      <c r="B271" s="3" t="str">
        <f t="shared" si="16"/>
        <v>AMZN</v>
      </c>
      <c r="C271" s="3" t="str">
        <f t="shared" si="14"/>
        <v>260515</v>
      </c>
      <c r="D271" s="3" t="str">
        <f t="shared" si="15"/>
        <v>P00190000</v>
      </c>
      <c r="E271" s="42">
        <v>46144.660416666666</v>
      </c>
      <c r="F271" s="11">
        <v>190</v>
      </c>
      <c r="G271" s="41">
        <v>7</v>
      </c>
      <c r="H271" s="41">
        <v>6.6</v>
      </c>
      <c r="I271" s="41">
        <v>6.85</v>
      </c>
      <c r="J271" s="15">
        <v>2.35</v>
      </c>
      <c r="K271" s="23">
        <v>0.50539999999999996</v>
      </c>
      <c r="L271" s="58">
        <v>1343</v>
      </c>
      <c r="M271" s="58">
        <v>2647</v>
      </c>
      <c r="N271" s="57">
        <v>0.44180000000000003</v>
      </c>
      <c r="O271" t="s">
        <v>65</v>
      </c>
      <c r="P271" s="9">
        <v>46058</v>
      </c>
      <c r="Q271">
        <v>222.69</v>
      </c>
    </row>
    <row r="272" spans="1:17" x14ac:dyDescent="0.25">
      <c r="A272" s="10" t="s">
        <v>185</v>
      </c>
      <c r="B272" s="3" t="str">
        <f t="shared" si="16"/>
        <v>AMZN</v>
      </c>
      <c r="C272" s="3" t="str">
        <f t="shared" si="14"/>
        <v>260515</v>
      </c>
      <c r="D272" s="3" t="str">
        <f t="shared" si="15"/>
        <v>P00195000</v>
      </c>
      <c r="E272" s="42">
        <v>46144.661111111112</v>
      </c>
      <c r="F272" s="11">
        <v>195</v>
      </c>
      <c r="G272" s="41">
        <v>8.1999999999999993</v>
      </c>
      <c r="H272" s="41">
        <v>7.85</v>
      </c>
      <c r="I272" s="41">
        <v>8.4</v>
      </c>
      <c r="J272" s="15">
        <v>2.7</v>
      </c>
      <c r="K272" s="23">
        <v>0.4909</v>
      </c>
      <c r="L272" s="58">
        <v>1686</v>
      </c>
      <c r="M272" s="58">
        <v>7400</v>
      </c>
      <c r="N272" s="57">
        <v>0.44290000000000002</v>
      </c>
      <c r="O272" t="s">
        <v>65</v>
      </c>
      <c r="P272" s="9">
        <v>46058</v>
      </c>
      <c r="Q272">
        <v>222.69</v>
      </c>
    </row>
    <row r="273" spans="1:17" x14ac:dyDescent="0.25">
      <c r="A273" s="10" t="s">
        <v>186</v>
      </c>
      <c r="B273" s="3" t="str">
        <f t="shared" si="16"/>
        <v>AMZN</v>
      </c>
      <c r="C273" s="3" t="str">
        <f t="shared" si="14"/>
        <v>260515</v>
      </c>
      <c r="D273" s="3" t="str">
        <f t="shared" si="15"/>
        <v>P00200000</v>
      </c>
      <c r="E273" s="42">
        <v>46144.664583333331</v>
      </c>
      <c r="F273" s="11">
        <v>200</v>
      </c>
      <c r="G273" s="41">
        <v>9.1999999999999993</v>
      </c>
      <c r="H273" s="41">
        <v>9.1999999999999993</v>
      </c>
      <c r="I273" s="41">
        <v>10</v>
      </c>
      <c r="J273" s="15">
        <v>2.65</v>
      </c>
      <c r="K273" s="23">
        <v>0.40460000000000002</v>
      </c>
      <c r="L273" s="58">
        <v>1188</v>
      </c>
      <c r="M273" s="58">
        <v>5999</v>
      </c>
      <c r="N273" s="57">
        <v>0.43990000000000001</v>
      </c>
      <c r="O273" t="s">
        <v>65</v>
      </c>
      <c r="P273" s="9">
        <v>46058</v>
      </c>
      <c r="Q273">
        <v>222.69</v>
      </c>
    </row>
    <row r="274" spans="1:17" x14ac:dyDescent="0.25">
      <c r="A274" s="10" t="s">
        <v>187</v>
      </c>
      <c r="B274" s="3" t="str">
        <f t="shared" si="16"/>
        <v>AMZN</v>
      </c>
      <c r="C274" s="3" t="str">
        <f t="shared" si="14"/>
        <v>260515</v>
      </c>
      <c r="D274" s="3" t="str">
        <f t="shared" si="15"/>
        <v>P00205000</v>
      </c>
      <c r="E274" s="42">
        <v>46144.661111111112</v>
      </c>
      <c r="F274" s="11">
        <v>205</v>
      </c>
      <c r="G274" s="41">
        <v>10.84</v>
      </c>
      <c r="H274" s="41">
        <v>10.85</v>
      </c>
      <c r="I274" s="41">
        <v>11.05</v>
      </c>
      <c r="J274" s="15">
        <v>3.27</v>
      </c>
      <c r="K274" s="23">
        <v>0.432</v>
      </c>
      <c r="L274" s="58">
        <v>1786</v>
      </c>
      <c r="M274" s="58">
        <v>2746</v>
      </c>
      <c r="N274" s="57">
        <v>0.41909999999999997</v>
      </c>
      <c r="O274" t="s">
        <v>65</v>
      </c>
      <c r="P274" s="9">
        <v>46058</v>
      </c>
      <c r="Q274">
        <v>222.69</v>
      </c>
    </row>
    <row r="275" spans="1:17" x14ac:dyDescent="0.25">
      <c r="A275" s="10" t="s">
        <v>188</v>
      </c>
      <c r="B275" s="3" t="str">
        <f t="shared" si="16"/>
        <v>AMZN</v>
      </c>
      <c r="C275" s="3" t="str">
        <f t="shared" si="14"/>
        <v>260515</v>
      </c>
      <c r="D275" s="3" t="str">
        <f t="shared" si="15"/>
        <v>P00210000</v>
      </c>
      <c r="E275" s="42">
        <v>46144.656944444447</v>
      </c>
      <c r="F275" s="11">
        <v>210</v>
      </c>
      <c r="G275" s="41">
        <v>12.86</v>
      </c>
      <c r="H275" s="41">
        <v>12.2</v>
      </c>
      <c r="I275" s="41">
        <v>15</v>
      </c>
      <c r="J275" s="15">
        <v>3.97</v>
      </c>
      <c r="K275" s="23">
        <v>0.4466</v>
      </c>
      <c r="L275" s="41">
        <v>493</v>
      </c>
      <c r="M275" s="58">
        <v>4507</v>
      </c>
      <c r="N275" s="57">
        <v>0.46250000000000002</v>
      </c>
      <c r="O275" t="s">
        <v>65</v>
      </c>
      <c r="P275" s="9">
        <v>46058</v>
      </c>
      <c r="Q275">
        <v>222.69</v>
      </c>
    </row>
    <row r="276" spans="1:17" x14ac:dyDescent="0.25">
      <c r="A276" s="10" t="s">
        <v>189</v>
      </c>
      <c r="B276" s="3" t="str">
        <f t="shared" si="16"/>
        <v>AMZN</v>
      </c>
      <c r="C276" s="3" t="str">
        <f t="shared" si="14"/>
        <v>260515</v>
      </c>
      <c r="D276" s="3" t="str">
        <f t="shared" si="15"/>
        <v>P00215000</v>
      </c>
      <c r="E276" s="42">
        <v>46144.661805555559</v>
      </c>
      <c r="F276" s="11">
        <v>215</v>
      </c>
      <c r="G276" s="41">
        <v>14.6</v>
      </c>
      <c r="H276" s="41">
        <v>14.1</v>
      </c>
      <c r="I276" s="41">
        <v>16.95</v>
      </c>
      <c r="J276" s="15">
        <v>3.9</v>
      </c>
      <c r="K276" s="23">
        <v>0.36449999999999999</v>
      </c>
      <c r="L276" s="41">
        <v>231</v>
      </c>
      <c r="M276" s="58">
        <v>2820</v>
      </c>
      <c r="N276" s="57">
        <v>0.45350000000000001</v>
      </c>
      <c r="O276" t="s">
        <v>65</v>
      </c>
      <c r="P276" s="9">
        <v>46058</v>
      </c>
      <c r="Q276">
        <v>222.69</v>
      </c>
    </row>
    <row r="277" spans="1:17" x14ac:dyDescent="0.25">
      <c r="A277" s="10" t="s">
        <v>190</v>
      </c>
      <c r="B277" s="3" t="str">
        <f t="shared" si="16"/>
        <v>AMZN</v>
      </c>
      <c r="C277" s="3" t="str">
        <f t="shared" si="14"/>
        <v>260515</v>
      </c>
      <c r="D277" s="3" t="str">
        <f t="shared" si="15"/>
        <v>P00220000</v>
      </c>
      <c r="E277" s="42">
        <v>46144.665972222225</v>
      </c>
      <c r="F277" s="11">
        <v>220</v>
      </c>
      <c r="G277" s="41">
        <v>16.920000000000002</v>
      </c>
      <c r="H277" s="41">
        <v>16.2</v>
      </c>
      <c r="I277" s="41">
        <v>17.55</v>
      </c>
      <c r="J277" s="15">
        <v>4.18</v>
      </c>
      <c r="K277" s="23">
        <v>0.3281</v>
      </c>
      <c r="L277" s="58">
        <v>1659</v>
      </c>
      <c r="M277" s="58">
        <v>6414</v>
      </c>
      <c r="N277" s="57">
        <v>0.41099999999999998</v>
      </c>
      <c r="O277" t="s">
        <v>65</v>
      </c>
      <c r="P277" s="9">
        <v>46058</v>
      </c>
      <c r="Q277">
        <v>222.69</v>
      </c>
    </row>
    <row r="278" spans="1:17" x14ac:dyDescent="0.25">
      <c r="A278" s="10" t="s">
        <v>191</v>
      </c>
      <c r="B278" s="3" t="str">
        <f t="shared" si="16"/>
        <v>AMZN</v>
      </c>
      <c r="C278" s="3" t="str">
        <f t="shared" si="14"/>
        <v>260515</v>
      </c>
      <c r="D278" s="3" t="str">
        <f t="shared" si="15"/>
        <v>P00225000</v>
      </c>
      <c r="E278" s="42">
        <v>46144.665972222225</v>
      </c>
      <c r="F278" s="11">
        <v>225</v>
      </c>
      <c r="G278" s="41">
        <v>19.41</v>
      </c>
      <c r="H278" s="41">
        <v>18.7</v>
      </c>
      <c r="I278" s="41">
        <v>21.4</v>
      </c>
      <c r="J278" s="15">
        <v>4.72</v>
      </c>
      <c r="K278" s="23">
        <v>0.32129999999999997</v>
      </c>
      <c r="L278" s="41">
        <v>308</v>
      </c>
      <c r="M278" s="58">
        <v>4210</v>
      </c>
      <c r="N278" s="57">
        <v>0.43590000000000001</v>
      </c>
      <c r="O278" t="s">
        <v>65</v>
      </c>
      <c r="P278" s="9">
        <v>46058</v>
      </c>
      <c r="Q278">
        <v>222.69</v>
      </c>
    </row>
    <row r="279" spans="1:17" x14ac:dyDescent="0.25">
      <c r="A279" s="10" t="s">
        <v>192</v>
      </c>
      <c r="B279" s="3" t="str">
        <f t="shared" si="16"/>
        <v>AMZN</v>
      </c>
      <c r="C279" s="3" t="str">
        <f t="shared" si="14"/>
        <v>260515</v>
      </c>
      <c r="D279" s="3" t="str">
        <f t="shared" si="15"/>
        <v>P00230000</v>
      </c>
      <c r="E279" s="42">
        <v>46144.635416666664</v>
      </c>
      <c r="F279" s="11">
        <v>230</v>
      </c>
      <c r="G279" s="41">
        <v>22</v>
      </c>
      <c r="H279" s="41">
        <v>21.8</v>
      </c>
      <c r="I279" s="41">
        <v>22.85</v>
      </c>
      <c r="J279" s="15">
        <v>5.5</v>
      </c>
      <c r="K279" s="23">
        <v>0.33329999999999999</v>
      </c>
      <c r="L279" s="41">
        <v>622</v>
      </c>
      <c r="M279" s="58">
        <v>2979</v>
      </c>
      <c r="N279" s="57">
        <v>0.40429999999999999</v>
      </c>
      <c r="O279" t="s">
        <v>65</v>
      </c>
      <c r="P279" s="9">
        <v>46058</v>
      </c>
      <c r="Q279">
        <v>222.69</v>
      </c>
    </row>
    <row r="280" spans="1:17" x14ac:dyDescent="0.25">
      <c r="A280" s="10" t="s">
        <v>193</v>
      </c>
      <c r="B280" s="3" t="str">
        <f t="shared" si="16"/>
        <v>AMZN</v>
      </c>
      <c r="C280" s="3" t="str">
        <f t="shared" si="14"/>
        <v>260515</v>
      </c>
      <c r="D280" s="3" t="str">
        <f t="shared" si="15"/>
        <v>P00235000</v>
      </c>
      <c r="E280" s="42">
        <v>46144.637499999997</v>
      </c>
      <c r="F280" s="11">
        <v>235</v>
      </c>
      <c r="G280" s="41">
        <v>24.75</v>
      </c>
      <c r="H280" s="41">
        <v>24.1</v>
      </c>
      <c r="I280" s="41">
        <v>25.85</v>
      </c>
      <c r="J280" s="15">
        <v>5.25</v>
      </c>
      <c r="K280" s="23">
        <v>0.26919999999999999</v>
      </c>
      <c r="L280" s="41">
        <v>179</v>
      </c>
      <c r="M280" s="58">
        <v>4739</v>
      </c>
      <c r="N280" s="57">
        <v>0.40189999999999998</v>
      </c>
      <c r="O280" t="s">
        <v>65</v>
      </c>
      <c r="P280" s="9">
        <v>46058</v>
      </c>
      <c r="Q280">
        <v>222.69</v>
      </c>
    </row>
    <row r="281" spans="1:17" x14ac:dyDescent="0.25">
      <c r="A281" s="10" t="s">
        <v>194</v>
      </c>
      <c r="B281" s="3" t="str">
        <f t="shared" si="16"/>
        <v>AMZN</v>
      </c>
      <c r="C281" s="3" t="str">
        <f t="shared" si="14"/>
        <v>260515</v>
      </c>
      <c r="D281" s="3" t="str">
        <f t="shared" si="15"/>
        <v>P00240000</v>
      </c>
      <c r="E281" s="42">
        <v>46144.638888888891</v>
      </c>
      <c r="F281" s="11">
        <v>240</v>
      </c>
      <c r="G281" s="41">
        <v>28.01</v>
      </c>
      <c r="H281" s="41">
        <v>27</v>
      </c>
      <c r="I281" s="41">
        <v>28.9</v>
      </c>
      <c r="J281" s="15">
        <v>6.76</v>
      </c>
      <c r="K281" s="23">
        <v>0.31809999999999999</v>
      </c>
      <c r="L281" s="41">
        <v>102</v>
      </c>
      <c r="M281" s="58">
        <v>1996</v>
      </c>
      <c r="N281" s="57">
        <v>0.39639999999999997</v>
      </c>
      <c r="O281" t="s">
        <v>65</v>
      </c>
      <c r="P281" s="9">
        <v>46058</v>
      </c>
      <c r="Q281">
        <v>222.69</v>
      </c>
    </row>
    <row r="282" spans="1:17" x14ac:dyDescent="0.25">
      <c r="A282" s="10" t="s">
        <v>195</v>
      </c>
      <c r="B282" s="3" t="str">
        <f t="shared" si="16"/>
        <v>AMZN</v>
      </c>
      <c r="C282" s="3" t="str">
        <f t="shared" si="14"/>
        <v>260515</v>
      </c>
      <c r="D282" s="3" t="str">
        <f t="shared" si="15"/>
        <v>P00245000</v>
      </c>
      <c r="E282" s="42">
        <v>46144.606944444444</v>
      </c>
      <c r="F282" s="11">
        <v>245</v>
      </c>
      <c r="G282" s="41">
        <v>31.85</v>
      </c>
      <c r="H282" s="41">
        <v>30.65</v>
      </c>
      <c r="I282" s="41">
        <v>32.25</v>
      </c>
      <c r="J282" s="15">
        <v>7.6</v>
      </c>
      <c r="K282" s="23">
        <v>0.31340000000000001</v>
      </c>
      <c r="L282" s="41">
        <v>10</v>
      </c>
      <c r="M282" s="41">
        <v>956</v>
      </c>
      <c r="N282" s="57">
        <v>0.39329999999999998</v>
      </c>
      <c r="O282" t="s">
        <v>65</v>
      </c>
      <c r="P282" s="9">
        <v>46058</v>
      </c>
      <c r="Q282">
        <v>222.69</v>
      </c>
    </row>
    <row r="283" spans="1:17" x14ac:dyDescent="0.25">
      <c r="A283" s="10" t="s">
        <v>196</v>
      </c>
      <c r="B283" s="3" t="str">
        <f t="shared" si="16"/>
        <v>AMZN</v>
      </c>
      <c r="C283" s="3" t="str">
        <f t="shared" si="14"/>
        <v>260515</v>
      </c>
      <c r="D283" s="3" t="str">
        <f t="shared" si="15"/>
        <v>P00250000</v>
      </c>
      <c r="E283" s="42">
        <v>46144.572222222225</v>
      </c>
      <c r="F283" s="11">
        <v>250</v>
      </c>
      <c r="G283" s="41">
        <v>34.04</v>
      </c>
      <c r="H283" s="41">
        <v>33.9</v>
      </c>
      <c r="I283" s="41">
        <v>36.049999999999997</v>
      </c>
      <c r="J283" s="15">
        <v>6.89</v>
      </c>
      <c r="K283" s="23">
        <v>0.25380000000000003</v>
      </c>
      <c r="L283" s="41">
        <v>455</v>
      </c>
      <c r="M283" s="58">
        <v>3037</v>
      </c>
      <c r="N283" s="57">
        <v>0.3967</v>
      </c>
      <c r="O283" t="s">
        <v>65</v>
      </c>
      <c r="P283" s="9">
        <v>46058</v>
      </c>
      <c r="Q283">
        <v>222.69</v>
      </c>
    </row>
    <row r="284" spans="1:17" x14ac:dyDescent="0.25">
      <c r="A284" s="10" t="s">
        <v>197</v>
      </c>
      <c r="B284" s="3" t="str">
        <f t="shared" si="16"/>
        <v>AMZN</v>
      </c>
      <c r="C284" s="3" t="str">
        <f t="shared" si="14"/>
        <v>260515</v>
      </c>
      <c r="D284" s="3" t="str">
        <f t="shared" si="15"/>
        <v>P00255000</v>
      </c>
      <c r="E284" s="42">
        <v>46144.663888888892</v>
      </c>
      <c r="F284" s="11">
        <v>255</v>
      </c>
      <c r="G284" s="41">
        <v>38.630000000000003</v>
      </c>
      <c r="H284" s="41">
        <v>37.700000000000003</v>
      </c>
      <c r="I284" s="41">
        <v>39.65</v>
      </c>
      <c r="J284" s="15">
        <v>10.15</v>
      </c>
      <c r="K284" s="23">
        <v>0.35639999999999999</v>
      </c>
      <c r="L284" s="41">
        <v>5</v>
      </c>
      <c r="M284" s="58">
        <v>1198</v>
      </c>
      <c r="N284" s="57">
        <v>0.39140000000000003</v>
      </c>
      <c r="O284" t="s">
        <v>65</v>
      </c>
      <c r="P284" s="9">
        <v>46058</v>
      </c>
      <c r="Q284">
        <v>222.69</v>
      </c>
    </row>
    <row r="285" spans="1:17" x14ac:dyDescent="0.25">
      <c r="A285" s="10" t="s">
        <v>198</v>
      </c>
      <c r="B285" s="3" t="str">
        <f t="shared" si="16"/>
        <v>AMZN</v>
      </c>
      <c r="C285" s="3" t="str">
        <f t="shared" si="14"/>
        <v>260515</v>
      </c>
      <c r="D285" s="3" t="str">
        <f t="shared" si="15"/>
        <v>P00260000</v>
      </c>
      <c r="E285" s="42">
        <v>46144.662499999999</v>
      </c>
      <c r="F285" s="11">
        <v>260</v>
      </c>
      <c r="G285" s="41">
        <v>43.4</v>
      </c>
      <c r="H285" s="41">
        <v>40.9</v>
      </c>
      <c r="I285" s="41">
        <v>43.6</v>
      </c>
      <c r="J285" s="15">
        <v>8.81</v>
      </c>
      <c r="K285" s="23">
        <v>0.25469999999999998</v>
      </c>
      <c r="L285" s="41">
        <v>164</v>
      </c>
      <c r="M285" s="41">
        <v>433</v>
      </c>
      <c r="N285" s="57">
        <v>0.3911</v>
      </c>
      <c r="O285" t="s">
        <v>65</v>
      </c>
      <c r="P285" s="9">
        <v>46058</v>
      </c>
      <c r="Q285">
        <v>222.69</v>
      </c>
    </row>
    <row r="286" spans="1:17" x14ac:dyDescent="0.25">
      <c r="A286" s="10" t="s">
        <v>199</v>
      </c>
      <c r="B286" s="3" t="str">
        <f t="shared" si="16"/>
        <v>AMZN</v>
      </c>
      <c r="C286" s="3" t="str">
        <f t="shared" si="14"/>
        <v>260515</v>
      </c>
      <c r="D286" s="3" t="str">
        <f t="shared" si="15"/>
        <v>P00265000</v>
      </c>
      <c r="E286" s="42">
        <v>46055.45</v>
      </c>
      <c r="F286" s="11">
        <v>265</v>
      </c>
      <c r="G286" s="41">
        <v>29.61</v>
      </c>
      <c r="H286" s="41">
        <v>44.85</v>
      </c>
      <c r="I286" s="41">
        <v>47.65</v>
      </c>
      <c r="J286" s="15">
        <v>0</v>
      </c>
      <c r="K286" s="23">
        <v>0</v>
      </c>
      <c r="L286" s="41">
        <v>1</v>
      </c>
      <c r="M286" s="41">
        <v>126</v>
      </c>
      <c r="N286" s="57">
        <v>0.39</v>
      </c>
      <c r="O286" t="s">
        <v>65</v>
      </c>
      <c r="P286" s="9">
        <v>46058</v>
      </c>
      <c r="Q286">
        <v>222.69</v>
      </c>
    </row>
    <row r="287" spans="1:17" x14ac:dyDescent="0.25">
      <c r="A287" s="10" t="s">
        <v>200</v>
      </c>
      <c r="B287" s="3" t="str">
        <f t="shared" si="16"/>
        <v>AMZN</v>
      </c>
      <c r="C287" s="3" t="str">
        <f t="shared" si="14"/>
        <v>260515</v>
      </c>
      <c r="D287" s="3" t="str">
        <f t="shared" si="15"/>
        <v>P00270000</v>
      </c>
      <c r="E287" s="42">
        <v>46144.446527777778</v>
      </c>
      <c r="F287" s="11">
        <v>270</v>
      </c>
      <c r="G287" s="41">
        <v>50.85</v>
      </c>
      <c r="H287" s="41">
        <v>49.3</v>
      </c>
      <c r="I287" s="41">
        <v>51.8</v>
      </c>
      <c r="J287" s="15">
        <v>12.9</v>
      </c>
      <c r="K287" s="23">
        <v>0.33989999999999998</v>
      </c>
      <c r="L287" s="41">
        <v>15</v>
      </c>
      <c r="M287" s="41">
        <v>158</v>
      </c>
      <c r="N287" s="57">
        <v>0.3881</v>
      </c>
      <c r="O287" t="s">
        <v>65</v>
      </c>
      <c r="P287" s="9">
        <v>46058</v>
      </c>
      <c r="Q287">
        <v>222.69</v>
      </c>
    </row>
    <row r="288" spans="1:17" x14ac:dyDescent="0.25">
      <c r="A288" s="10" t="s">
        <v>201</v>
      </c>
      <c r="B288" s="3" t="str">
        <f t="shared" si="16"/>
        <v>AMZN</v>
      </c>
      <c r="C288" s="3" t="str">
        <f t="shared" si="14"/>
        <v>260515</v>
      </c>
      <c r="D288" s="3" t="str">
        <f t="shared" si="15"/>
        <v>P00275000</v>
      </c>
      <c r="E288" s="42">
        <v>46083.404861111114</v>
      </c>
      <c r="F288" s="11">
        <v>275</v>
      </c>
      <c r="G288" s="41">
        <v>37.75</v>
      </c>
      <c r="H288" s="41">
        <v>52.95</v>
      </c>
      <c r="I288" s="41">
        <v>56.05</v>
      </c>
      <c r="J288" s="15">
        <v>0</v>
      </c>
      <c r="K288" s="23">
        <v>0</v>
      </c>
      <c r="L288" s="41">
        <v>3</v>
      </c>
      <c r="M288" s="41">
        <v>192</v>
      </c>
      <c r="N288" s="57">
        <v>0.38569999999999999</v>
      </c>
      <c r="O288" t="s">
        <v>65</v>
      </c>
      <c r="P288" s="9">
        <v>46058</v>
      </c>
      <c r="Q288">
        <v>222.69</v>
      </c>
    </row>
    <row r="289" spans="1:17" x14ac:dyDescent="0.25">
      <c r="A289" s="10" t="s">
        <v>202</v>
      </c>
      <c r="B289" s="3" t="str">
        <f t="shared" si="16"/>
        <v>AMZN</v>
      </c>
      <c r="C289" s="3" t="str">
        <f t="shared" si="14"/>
        <v>260515</v>
      </c>
      <c r="D289" s="3" t="str">
        <f t="shared" si="15"/>
        <v>P00280000</v>
      </c>
      <c r="E289" s="42">
        <v>46144.496527777781</v>
      </c>
      <c r="F289" s="11">
        <v>280</v>
      </c>
      <c r="G289" s="41">
        <v>57.5</v>
      </c>
      <c r="H289" s="41">
        <v>57.55</v>
      </c>
      <c r="I289" s="41">
        <v>60.5</v>
      </c>
      <c r="J289" s="15">
        <v>6.92</v>
      </c>
      <c r="K289" s="23">
        <v>0.1368</v>
      </c>
      <c r="L289" s="41">
        <v>8</v>
      </c>
      <c r="M289" s="41">
        <v>360</v>
      </c>
      <c r="N289" s="57">
        <v>0.38679999999999998</v>
      </c>
      <c r="O289" t="s">
        <v>65</v>
      </c>
      <c r="P289" s="9">
        <v>46058</v>
      </c>
      <c r="Q289">
        <v>222.69</v>
      </c>
    </row>
    <row r="290" spans="1:17" x14ac:dyDescent="0.25">
      <c r="A290" s="10" t="s">
        <v>203</v>
      </c>
      <c r="B290" s="3" t="str">
        <f t="shared" si="16"/>
        <v>AMZN</v>
      </c>
      <c r="C290" s="3" t="str">
        <f t="shared" si="14"/>
        <v>260515</v>
      </c>
      <c r="D290" s="3" t="str">
        <f t="shared" si="15"/>
        <v>P00285000</v>
      </c>
      <c r="E290" s="42">
        <v>46114.581250000003</v>
      </c>
      <c r="F290" s="11">
        <v>285</v>
      </c>
      <c r="G290" s="41">
        <v>54.58</v>
      </c>
      <c r="H290" s="41">
        <v>62.55</v>
      </c>
      <c r="I290" s="41">
        <v>65</v>
      </c>
      <c r="J290" s="15">
        <v>0</v>
      </c>
      <c r="K290" s="23">
        <v>0</v>
      </c>
      <c r="L290" s="41">
        <v>8</v>
      </c>
      <c r="M290" s="41">
        <v>152</v>
      </c>
      <c r="N290" s="57">
        <v>0.38679999999999998</v>
      </c>
      <c r="O290" t="s">
        <v>65</v>
      </c>
      <c r="P290" s="9">
        <v>46058</v>
      </c>
      <c r="Q290">
        <v>222.69</v>
      </c>
    </row>
    <row r="291" spans="1:17" x14ac:dyDescent="0.25">
      <c r="A291" s="10" t="s">
        <v>204</v>
      </c>
      <c r="B291" s="3" t="str">
        <f t="shared" si="16"/>
        <v>AMZN</v>
      </c>
      <c r="C291" s="3" t="str">
        <f t="shared" si="14"/>
        <v>260515</v>
      </c>
      <c r="D291" s="3" t="str">
        <f t="shared" si="15"/>
        <v>P00290000</v>
      </c>
      <c r="E291" s="42">
        <v>46144.446527777778</v>
      </c>
      <c r="F291" s="11">
        <v>290</v>
      </c>
      <c r="G291" s="41">
        <v>68.8</v>
      </c>
      <c r="H291" s="41">
        <v>67.599999999999994</v>
      </c>
      <c r="I291" s="41">
        <v>69.599999999999994</v>
      </c>
      <c r="J291" s="15">
        <v>14.05</v>
      </c>
      <c r="K291" s="23">
        <v>0.25659999999999999</v>
      </c>
      <c r="L291" s="41">
        <v>5</v>
      </c>
      <c r="M291" s="41">
        <v>187</v>
      </c>
      <c r="N291" s="57">
        <v>0.3881</v>
      </c>
      <c r="O291" t="s">
        <v>65</v>
      </c>
      <c r="P291" s="9">
        <v>46058</v>
      </c>
      <c r="Q291">
        <v>222.69</v>
      </c>
    </row>
    <row r="292" spans="1:17" x14ac:dyDescent="0.25">
      <c r="A292" s="10" t="s">
        <v>205</v>
      </c>
      <c r="B292" s="3" t="str">
        <f t="shared" si="16"/>
        <v>AMZN</v>
      </c>
      <c r="C292" s="3" t="str">
        <f t="shared" si="14"/>
        <v>260515</v>
      </c>
      <c r="D292" s="3" t="str">
        <f t="shared" si="15"/>
        <v>P00295000</v>
      </c>
      <c r="E292" s="41" t="s">
        <v>217</v>
      </c>
      <c r="F292" s="11">
        <v>295</v>
      </c>
      <c r="G292" s="41">
        <v>54.75</v>
      </c>
      <c r="H292" s="41">
        <v>71.400000000000006</v>
      </c>
      <c r="I292" s="41">
        <v>74.3</v>
      </c>
      <c r="J292" s="15">
        <v>0</v>
      </c>
      <c r="K292" s="23">
        <v>0</v>
      </c>
      <c r="L292" s="41">
        <v>17</v>
      </c>
      <c r="M292" s="41">
        <v>46</v>
      </c>
      <c r="N292" s="57">
        <v>0.39150000000000001</v>
      </c>
      <c r="O292" t="s">
        <v>65</v>
      </c>
      <c r="P292" s="9">
        <v>46058</v>
      </c>
      <c r="Q292">
        <v>222.69</v>
      </c>
    </row>
    <row r="293" spans="1:17" x14ac:dyDescent="0.25">
      <c r="A293" s="10" t="s">
        <v>206</v>
      </c>
      <c r="B293" s="3" t="str">
        <f t="shared" si="16"/>
        <v>AMZN</v>
      </c>
      <c r="C293" s="3" t="str">
        <f t="shared" si="14"/>
        <v>260515</v>
      </c>
      <c r="D293" s="3" t="str">
        <f t="shared" si="15"/>
        <v>P00300000</v>
      </c>
      <c r="E293" s="42">
        <v>46144.6</v>
      </c>
      <c r="F293" s="11">
        <v>300</v>
      </c>
      <c r="G293" s="41">
        <v>76.88</v>
      </c>
      <c r="H293" s="41">
        <v>76.150000000000006</v>
      </c>
      <c r="I293" s="41">
        <v>79.099999999999994</v>
      </c>
      <c r="J293" s="15">
        <v>8.98</v>
      </c>
      <c r="K293" s="23">
        <v>0.1323</v>
      </c>
      <c r="L293" s="41">
        <v>8</v>
      </c>
      <c r="M293" s="41">
        <v>84</v>
      </c>
      <c r="N293" s="57">
        <v>0.39779999999999999</v>
      </c>
      <c r="O293" t="s">
        <v>65</v>
      </c>
      <c r="P293" s="9">
        <v>46058</v>
      </c>
      <c r="Q293">
        <v>222.69</v>
      </c>
    </row>
    <row r="294" spans="1:17" x14ac:dyDescent="0.25">
      <c r="A294" s="10" t="s">
        <v>207</v>
      </c>
      <c r="B294" s="3" t="str">
        <f t="shared" si="16"/>
        <v>AMZN</v>
      </c>
      <c r="C294" s="3" t="str">
        <f t="shared" si="14"/>
        <v>260515</v>
      </c>
      <c r="D294" s="3" t="str">
        <f t="shared" si="15"/>
        <v>P00305000</v>
      </c>
      <c r="E294" s="42">
        <v>45973.415277777778</v>
      </c>
      <c r="F294" s="11">
        <v>305</v>
      </c>
      <c r="G294" s="41">
        <v>75.2</v>
      </c>
      <c r="H294" s="41">
        <v>65.150000000000006</v>
      </c>
      <c r="I294" s="41">
        <v>66.25</v>
      </c>
      <c r="J294" s="15">
        <v>0</v>
      </c>
      <c r="K294" s="23">
        <v>0</v>
      </c>
      <c r="L294" s="41">
        <v>5</v>
      </c>
      <c r="M294" s="41">
        <v>0</v>
      </c>
      <c r="N294" s="57">
        <v>0</v>
      </c>
      <c r="O294" t="s">
        <v>65</v>
      </c>
      <c r="P294" s="9">
        <v>46058</v>
      </c>
      <c r="Q294">
        <v>222.69</v>
      </c>
    </row>
    <row r="295" spans="1:17" x14ac:dyDescent="0.25">
      <c r="A295" s="10" t="s">
        <v>208</v>
      </c>
      <c r="B295" s="3" t="str">
        <f t="shared" si="16"/>
        <v>AMZN</v>
      </c>
      <c r="C295" s="3" t="str">
        <f t="shared" si="14"/>
        <v>260515</v>
      </c>
      <c r="D295" s="3" t="str">
        <f t="shared" si="15"/>
        <v>P00310000</v>
      </c>
      <c r="E295" s="42">
        <v>46055.564583333333</v>
      </c>
      <c r="F295" s="11">
        <v>310</v>
      </c>
      <c r="G295" s="41">
        <v>67.099999999999994</v>
      </c>
      <c r="H295" s="41">
        <v>85.75</v>
      </c>
      <c r="I295" s="41">
        <v>88.75</v>
      </c>
      <c r="J295" s="15">
        <v>0</v>
      </c>
      <c r="K295" s="23">
        <v>0</v>
      </c>
      <c r="L295" s="41">
        <v>1</v>
      </c>
      <c r="M295" s="41">
        <v>12</v>
      </c>
      <c r="N295" s="57">
        <v>0.40910000000000002</v>
      </c>
      <c r="O295" t="s">
        <v>65</v>
      </c>
      <c r="P295" s="9">
        <v>46058</v>
      </c>
      <c r="Q295">
        <v>222.69</v>
      </c>
    </row>
    <row r="296" spans="1:17" x14ac:dyDescent="0.25">
      <c r="A296" s="10" t="s">
        <v>209</v>
      </c>
      <c r="B296" s="3" t="str">
        <f t="shared" si="16"/>
        <v>AMZN</v>
      </c>
      <c r="C296" s="3" t="str">
        <f t="shared" si="14"/>
        <v>260515</v>
      </c>
      <c r="D296" s="3" t="str">
        <f t="shared" si="15"/>
        <v>P00315000</v>
      </c>
      <c r="E296" s="42">
        <v>46174.548611111109</v>
      </c>
      <c r="F296" s="11">
        <v>315</v>
      </c>
      <c r="G296" s="41">
        <v>73.739999999999995</v>
      </c>
      <c r="H296" s="41">
        <v>90.75</v>
      </c>
      <c r="I296" s="41">
        <v>93.65</v>
      </c>
      <c r="J296" s="15">
        <v>0</v>
      </c>
      <c r="K296" s="23">
        <v>0</v>
      </c>
      <c r="L296" s="41">
        <v>1</v>
      </c>
      <c r="M296" s="41">
        <v>0</v>
      </c>
      <c r="N296" s="57">
        <v>0.41749999999999998</v>
      </c>
      <c r="O296" t="s">
        <v>65</v>
      </c>
      <c r="P296" s="9">
        <v>46058</v>
      </c>
      <c r="Q296">
        <v>222.69</v>
      </c>
    </row>
    <row r="297" spans="1:17" x14ac:dyDescent="0.25">
      <c r="A297" s="10" t="s">
        <v>210</v>
      </c>
      <c r="B297" s="3" t="str">
        <f t="shared" si="16"/>
        <v>AMZN</v>
      </c>
      <c r="C297" s="3" t="str">
        <f t="shared" si="14"/>
        <v>260515</v>
      </c>
      <c r="D297" s="3" t="str">
        <f t="shared" si="15"/>
        <v>P00320000</v>
      </c>
      <c r="E297" s="42">
        <v>46357.511111111111</v>
      </c>
      <c r="F297" s="11">
        <v>320</v>
      </c>
      <c r="G297" s="41">
        <v>72.3</v>
      </c>
      <c r="H297" s="41">
        <v>95.65</v>
      </c>
      <c r="I297" s="41">
        <v>98.6</v>
      </c>
      <c r="J297" s="15">
        <v>0</v>
      </c>
      <c r="K297" s="23">
        <v>0</v>
      </c>
      <c r="L297" s="41">
        <v>10</v>
      </c>
      <c r="M297" s="41">
        <v>0</v>
      </c>
      <c r="N297" s="57">
        <v>0.4284</v>
      </c>
      <c r="O297" t="s">
        <v>65</v>
      </c>
      <c r="P297" s="9">
        <v>46058</v>
      </c>
      <c r="Q297">
        <v>222.69</v>
      </c>
    </row>
    <row r="298" spans="1:17" x14ac:dyDescent="0.25">
      <c r="A298" s="10" t="s">
        <v>211</v>
      </c>
      <c r="B298" s="3" t="str">
        <f t="shared" si="16"/>
        <v>AMZN</v>
      </c>
      <c r="C298" s="3" t="str">
        <f t="shared" si="14"/>
        <v>260515</v>
      </c>
      <c r="D298" s="3" t="str">
        <f t="shared" si="15"/>
        <v>P00325000</v>
      </c>
      <c r="E298" s="42">
        <v>45972.587500000001</v>
      </c>
      <c r="F298" s="11">
        <v>325</v>
      </c>
      <c r="G298" s="41">
        <v>76.680000000000007</v>
      </c>
      <c r="H298" s="41">
        <v>86.8</v>
      </c>
      <c r="I298" s="41">
        <v>89.35</v>
      </c>
      <c r="J298" s="15">
        <v>0</v>
      </c>
      <c r="K298" s="23">
        <v>0</v>
      </c>
      <c r="L298" s="41">
        <v>12</v>
      </c>
      <c r="M298" s="41">
        <v>0</v>
      </c>
      <c r="N298" s="57">
        <v>0</v>
      </c>
      <c r="O298" t="s">
        <v>65</v>
      </c>
      <c r="P298" s="9">
        <v>46058</v>
      </c>
      <c r="Q298">
        <v>222.69</v>
      </c>
    </row>
    <row r="299" spans="1:17" x14ac:dyDescent="0.25">
      <c r="A299" s="10" t="s">
        <v>212</v>
      </c>
      <c r="B299" s="3" t="str">
        <f t="shared" si="16"/>
        <v>AMZN</v>
      </c>
      <c r="C299" s="3" t="str">
        <f t="shared" si="14"/>
        <v>260515</v>
      </c>
      <c r="D299" s="3" t="str">
        <f t="shared" si="15"/>
        <v>P00330000</v>
      </c>
      <c r="E299" s="41" t="s">
        <v>218</v>
      </c>
      <c r="F299" s="11">
        <v>330</v>
      </c>
      <c r="G299" s="41">
        <v>98.66</v>
      </c>
      <c r="H299" s="41">
        <v>88.35</v>
      </c>
      <c r="I299" s="41">
        <v>90.85</v>
      </c>
      <c r="J299" s="15">
        <v>0</v>
      </c>
      <c r="K299" s="23">
        <v>0</v>
      </c>
      <c r="L299" s="41">
        <v>1</v>
      </c>
      <c r="M299" s="41">
        <v>1</v>
      </c>
      <c r="N299" s="57">
        <v>0</v>
      </c>
      <c r="O299" t="s">
        <v>65</v>
      </c>
      <c r="P299" s="9">
        <v>46058</v>
      </c>
      <c r="Q299">
        <v>222.69</v>
      </c>
    </row>
    <row r="300" spans="1:17" x14ac:dyDescent="0.25">
      <c r="A300" s="10" t="s">
        <v>112</v>
      </c>
      <c r="B300" s="3" t="str">
        <f t="shared" si="16"/>
        <v>AMZN</v>
      </c>
      <c r="C300" s="3" t="str">
        <f t="shared" si="14"/>
        <v>260515</v>
      </c>
      <c r="D300" s="3" t="str">
        <f t="shared" si="15"/>
        <v>P00340000</v>
      </c>
      <c r="E300" s="42">
        <v>45727.46875</v>
      </c>
      <c r="F300" s="11">
        <v>340</v>
      </c>
      <c r="G300" s="41">
        <v>85.25</v>
      </c>
      <c r="H300" s="41">
        <v>102.15</v>
      </c>
      <c r="I300" s="41">
        <v>104.05</v>
      </c>
      <c r="J300" s="15">
        <v>0</v>
      </c>
      <c r="K300" s="23">
        <v>0</v>
      </c>
      <c r="L300" s="41" t="s">
        <v>113</v>
      </c>
      <c r="M300" s="41">
        <v>0</v>
      </c>
      <c r="N300" s="57">
        <v>0</v>
      </c>
      <c r="O300" t="s">
        <v>65</v>
      </c>
      <c r="P300" s="9">
        <v>46058</v>
      </c>
      <c r="Q300">
        <v>222.69</v>
      </c>
    </row>
    <row r="301" spans="1:17" x14ac:dyDescent="0.25">
      <c r="A301" s="10" t="s">
        <v>114</v>
      </c>
      <c r="B301" s="3" t="str">
        <f t="shared" si="16"/>
        <v>AMZN</v>
      </c>
      <c r="C301" s="3" t="str">
        <f t="shared" si="14"/>
        <v>260515</v>
      </c>
      <c r="D301" s="3" t="str">
        <f t="shared" si="15"/>
        <v>P00350000</v>
      </c>
      <c r="E301" s="41" t="s">
        <v>219</v>
      </c>
      <c r="F301" s="11">
        <v>350</v>
      </c>
      <c r="G301" s="41">
        <v>104.5</v>
      </c>
      <c r="H301" s="41">
        <v>113.65</v>
      </c>
      <c r="I301" s="41">
        <v>117</v>
      </c>
      <c r="J301" s="15">
        <v>0</v>
      </c>
      <c r="K301" s="23">
        <v>0</v>
      </c>
      <c r="L301" s="41">
        <v>2</v>
      </c>
      <c r="M301" s="41">
        <v>0</v>
      </c>
      <c r="N301" s="57">
        <v>0</v>
      </c>
      <c r="O301" t="s">
        <v>65</v>
      </c>
      <c r="P301" s="9">
        <v>46058</v>
      </c>
      <c r="Q301">
        <v>222.69</v>
      </c>
    </row>
    <row r="302" spans="1:17" x14ac:dyDescent="0.25">
      <c r="A302" s="10" t="s">
        <v>115</v>
      </c>
      <c r="B302" s="3" t="str">
        <f t="shared" si="16"/>
        <v>AMZN</v>
      </c>
      <c r="C302" s="3" t="str">
        <f t="shared" si="14"/>
        <v>260515</v>
      </c>
      <c r="D302" s="3" t="str">
        <f t="shared" si="15"/>
        <v>P00360000</v>
      </c>
      <c r="E302" s="41" t="s">
        <v>220</v>
      </c>
      <c r="F302" s="11">
        <v>360</v>
      </c>
      <c r="G302" s="41">
        <v>116.58</v>
      </c>
      <c r="H302" s="41">
        <v>135.25</v>
      </c>
      <c r="I302" s="41">
        <v>139.15</v>
      </c>
      <c r="J302" s="15">
        <v>0</v>
      </c>
      <c r="K302" s="23">
        <v>0</v>
      </c>
      <c r="L302" s="41">
        <v>1</v>
      </c>
      <c r="M302" s="41">
        <v>1</v>
      </c>
      <c r="N302" s="57">
        <v>0.5696</v>
      </c>
      <c r="O302" t="s">
        <v>65</v>
      </c>
      <c r="P302" s="9">
        <v>46058</v>
      </c>
      <c r="Q302">
        <v>222.69</v>
      </c>
    </row>
    <row r="303" spans="1:17" x14ac:dyDescent="0.25">
      <c r="A303" s="10" t="s">
        <v>116</v>
      </c>
      <c r="B303" s="3" t="str">
        <f t="shared" si="16"/>
        <v>AMZN</v>
      </c>
      <c r="C303" s="3" t="str">
        <f t="shared" si="14"/>
        <v>260515</v>
      </c>
      <c r="D303" s="3" t="str">
        <f t="shared" si="15"/>
        <v>P00370000</v>
      </c>
      <c r="E303" s="41" t="s">
        <v>220</v>
      </c>
      <c r="F303" s="11">
        <v>370</v>
      </c>
      <c r="G303" s="41">
        <v>126.6</v>
      </c>
      <c r="H303" s="41">
        <v>145.6</v>
      </c>
      <c r="I303" s="41">
        <v>148.80000000000001</v>
      </c>
      <c r="J303" s="15">
        <v>0</v>
      </c>
      <c r="K303" s="23">
        <v>0</v>
      </c>
      <c r="L303" s="41">
        <v>1</v>
      </c>
      <c r="M303" s="41">
        <v>0</v>
      </c>
      <c r="N303" s="57">
        <v>0.56950000000000001</v>
      </c>
      <c r="O303" t="s">
        <v>65</v>
      </c>
      <c r="P303" s="9">
        <v>46058</v>
      </c>
      <c r="Q303">
        <v>222.69</v>
      </c>
    </row>
    <row r="304" spans="1:17" x14ac:dyDescent="0.25">
      <c r="A304" s="10" t="s">
        <v>117</v>
      </c>
      <c r="B304" s="3" t="str">
        <f t="shared" si="16"/>
        <v>AMZN</v>
      </c>
      <c r="C304" s="3" t="str">
        <f t="shared" si="14"/>
        <v>260515</v>
      </c>
      <c r="D304" s="3" t="str">
        <f t="shared" si="15"/>
        <v>C00105000</v>
      </c>
      <c r="E304" s="42">
        <v>46267.460416666669</v>
      </c>
      <c r="F304" s="11">
        <v>105</v>
      </c>
      <c r="G304" s="41">
        <v>106.67</v>
      </c>
      <c r="H304" s="41">
        <v>102.1</v>
      </c>
      <c r="I304" s="41">
        <v>105.3</v>
      </c>
      <c r="J304" s="15">
        <v>0</v>
      </c>
      <c r="K304" s="23">
        <v>0</v>
      </c>
      <c r="L304" s="41">
        <v>1</v>
      </c>
      <c r="M304" s="41">
        <v>23</v>
      </c>
      <c r="N304" s="57">
        <v>0.87180000000000002</v>
      </c>
      <c r="O304" t="s">
        <v>62</v>
      </c>
      <c r="P304" s="9">
        <v>46063</v>
      </c>
      <c r="Q304">
        <v>206.96</v>
      </c>
    </row>
    <row r="305" spans="1:17" x14ac:dyDescent="0.25">
      <c r="A305" s="10" t="s">
        <v>118</v>
      </c>
      <c r="B305" s="3" t="str">
        <f t="shared" si="16"/>
        <v>AMZN</v>
      </c>
      <c r="C305" s="3" t="str">
        <f t="shared" si="14"/>
        <v>260515</v>
      </c>
      <c r="D305" s="3" t="str">
        <f t="shared" si="15"/>
        <v>C00110000</v>
      </c>
      <c r="E305" s="42">
        <v>46267.460416666669</v>
      </c>
      <c r="F305" s="11">
        <v>110</v>
      </c>
      <c r="G305" s="41">
        <v>100.79</v>
      </c>
      <c r="H305" s="41">
        <v>97.2</v>
      </c>
      <c r="I305" s="41">
        <v>100.4</v>
      </c>
      <c r="J305" s="15">
        <v>0</v>
      </c>
      <c r="K305" s="23">
        <v>0</v>
      </c>
      <c r="L305" s="41">
        <v>3</v>
      </c>
      <c r="M305" s="41">
        <v>35</v>
      </c>
      <c r="N305" s="57">
        <v>0.83069999999999999</v>
      </c>
      <c r="O305" t="s">
        <v>62</v>
      </c>
      <c r="P305" s="9">
        <v>46063</v>
      </c>
      <c r="Q305">
        <v>206.96</v>
      </c>
    </row>
    <row r="306" spans="1:17" x14ac:dyDescent="0.25">
      <c r="A306" s="10" t="s">
        <v>119</v>
      </c>
      <c r="B306" s="3" t="str">
        <f t="shared" si="16"/>
        <v>AMZN</v>
      </c>
      <c r="C306" s="3" t="str">
        <f t="shared" si="14"/>
        <v>260515</v>
      </c>
      <c r="D306" s="3" t="str">
        <f t="shared" si="15"/>
        <v>C00115000</v>
      </c>
      <c r="E306" s="42">
        <v>46267.460416666669</v>
      </c>
      <c r="F306" s="11">
        <v>115</v>
      </c>
      <c r="G306" s="41">
        <v>95.88</v>
      </c>
      <c r="H306" s="41">
        <v>92.25</v>
      </c>
      <c r="I306" s="41">
        <v>95.5</v>
      </c>
      <c r="J306" s="15">
        <v>0</v>
      </c>
      <c r="K306" s="23">
        <v>0</v>
      </c>
      <c r="L306" s="41">
        <v>4</v>
      </c>
      <c r="M306" s="41">
        <v>44</v>
      </c>
      <c r="N306" s="57">
        <v>0.78810000000000002</v>
      </c>
      <c r="O306" t="s">
        <v>62</v>
      </c>
      <c r="P306" s="9">
        <v>46063</v>
      </c>
      <c r="Q306">
        <v>206.96</v>
      </c>
    </row>
    <row r="307" spans="1:17" x14ac:dyDescent="0.25">
      <c r="A307" s="10" t="s">
        <v>120</v>
      </c>
      <c r="B307" s="3" t="str">
        <f t="shared" si="16"/>
        <v>AMZN</v>
      </c>
      <c r="C307" s="3" t="str">
        <f t="shared" si="14"/>
        <v>260515</v>
      </c>
      <c r="D307" s="3" t="str">
        <f t="shared" si="15"/>
        <v>C00120000</v>
      </c>
      <c r="E307" s="42">
        <v>46267.460416666669</v>
      </c>
      <c r="F307" s="11">
        <v>120</v>
      </c>
      <c r="G307" s="41">
        <v>91.54</v>
      </c>
      <c r="H307" s="41">
        <v>87.4</v>
      </c>
      <c r="I307" s="41">
        <v>90.25</v>
      </c>
      <c r="J307" s="15">
        <v>0</v>
      </c>
      <c r="K307" s="23">
        <v>0</v>
      </c>
      <c r="L307" s="41">
        <v>4</v>
      </c>
      <c r="M307" s="58">
        <v>2250</v>
      </c>
      <c r="N307" s="57">
        <v>0.73540000000000005</v>
      </c>
      <c r="O307" t="s">
        <v>62</v>
      </c>
      <c r="P307" s="9">
        <v>46063</v>
      </c>
      <c r="Q307">
        <v>206.96</v>
      </c>
    </row>
    <row r="308" spans="1:17" x14ac:dyDescent="0.25">
      <c r="A308" s="10" t="s">
        <v>121</v>
      </c>
      <c r="B308" s="3" t="str">
        <f t="shared" si="16"/>
        <v>AMZN</v>
      </c>
      <c r="C308" s="3" t="str">
        <f t="shared" ref="C308:C371" si="17">+MID(A308,5,6)</f>
        <v>260515</v>
      </c>
      <c r="D308" s="3" t="str">
        <f t="shared" ref="D308:D371" si="18">+MID(A308,11,10)</f>
        <v>C00125000</v>
      </c>
      <c r="E308" s="42">
        <v>46267.460416666669</v>
      </c>
      <c r="F308" s="11">
        <v>125</v>
      </c>
      <c r="G308" s="41">
        <v>86.69</v>
      </c>
      <c r="H308" s="41">
        <v>82.55</v>
      </c>
      <c r="I308" s="41">
        <v>85.8</v>
      </c>
      <c r="J308" s="15">
        <v>0</v>
      </c>
      <c r="K308" s="23">
        <v>0</v>
      </c>
      <c r="L308" s="41">
        <v>4</v>
      </c>
      <c r="M308" s="41">
        <v>45</v>
      </c>
      <c r="N308" s="57">
        <v>0.71889999999999998</v>
      </c>
      <c r="O308" t="s">
        <v>62</v>
      </c>
      <c r="P308" s="9">
        <v>46063</v>
      </c>
      <c r="Q308">
        <v>206.96</v>
      </c>
    </row>
    <row r="309" spans="1:17" x14ac:dyDescent="0.25">
      <c r="A309" s="10" t="s">
        <v>122</v>
      </c>
      <c r="B309" s="3" t="str">
        <f t="shared" si="16"/>
        <v>AMZN</v>
      </c>
      <c r="C309" s="3" t="str">
        <f t="shared" si="17"/>
        <v>260515</v>
      </c>
      <c r="D309" s="3" t="str">
        <f t="shared" si="18"/>
        <v>C00130000</v>
      </c>
      <c r="E309" s="42">
        <v>46297.620833333334</v>
      </c>
      <c r="F309" s="11">
        <v>130</v>
      </c>
      <c r="G309" s="41">
        <v>80.03</v>
      </c>
      <c r="H309" s="41">
        <v>77.7</v>
      </c>
      <c r="I309" s="41">
        <v>80.95</v>
      </c>
      <c r="J309" s="15">
        <v>-1.63</v>
      </c>
      <c r="K309" s="23">
        <v>-0.02</v>
      </c>
      <c r="L309" s="41">
        <v>4</v>
      </c>
      <c r="M309" s="41">
        <v>69</v>
      </c>
      <c r="N309" s="57">
        <v>0.6845</v>
      </c>
      <c r="O309" t="s">
        <v>62</v>
      </c>
      <c r="P309" s="9">
        <v>46063</v>
      </c>
      <c r="Q309">
        <v>206.96</v>
      </c>
    </row>
    <row r="310" spans="1:17" x14ac:dyDescent="0.25">
      <c r="A310" s="10" t="s">
        <v>123</v>
      </c>
      <c r="B310" s="3" t="str">
        <f t="shared" si="16"/>
        <v>AMZN</v>
      </c>
      <c r="C310" s="3" t="str">
        <f t="shared" si="17"/>
        <v>260515</v>
      </c>
      <c r="D310" s="3" t="str">
        <f t="shared" si="18"/>
        <v>C00135000</v>
      </c>
      <c r="E310" s="42">
        <v>46267.460416666669</v>
      </c>
      <c r="F310" s="11">
        <v>135</v>
      </c>
      <c r="G310" s="41">
        <v>77.010000000000005</v>
      </c>
      <c r="H310" s="41">
        <v>72.95</v>
      </c>
      <c r="I310" s="41">
        <v>76.150000000000006</v>
      </c>
      <c r="J310" s="15">
        <v>0</v>
      </c>
      <c r="K310" s="23">
        <v>0</v>
      </c>
      <c r="L310" s="41">
        <v>3</v>
      </c>
      <c r="M310" s="41">
        <v>31</v>
      </c>
      <c r="N310" s="57">
        <v>0.6552</v>
      </c>
      <c r="O310" t="s">
        <v>62</v>
      </c>
      <c r="P310" s="9">
        <v>46063</v>
      </c>
      <c r="Q310">
        <v>206.96</v>
      </c>
    </row>
    <row r="311" spans="1:17" x14ac:dyDescent="0.25">
      <c r="A311" s="10" t="s">
        <v>124</v>
      </c>
      <c r="B311" s="3" t="str">
        <f t="shared" si="16"/>
        <v>AMZN</v>
      </c>
      <c r="C311" s="3" t="str">
        <f t="shared" si="17"/>
        <v>260515</v>
      </c>
      <c r="D311" s="3" t="str">
        <f t="shared" si="18"/>
        <v>C00140000</v>
      </c>
      <c r="E311" s="42">
        <v>46267.460416666669</v>
      </c>
      <c r="F311" s="11">
        <v>140</v>
      </c>
      <c r="G311" s="41">
        <v>70.099999999999994</v>
      </c>
      <c r="H311" s="41">
        <v>68.349999999999994</v>
      </c>
      <c r="I311" s="41">
        <v>71.25</v>
      </c>
      <c r="J311" s="15">
        <v>-2.34</v>
      </c>
      <c r="K311" s="23">
        <v>-3.2300000000000002E-2</v>
      </c>
      <c r="L311" s="41">
        <v>1</v>
      </c>
      <c r="M311" s="41">
        <v>26</v>
      </c>
      <c r="N311" s="57">
        <v>0.62670000000000003</v>
      </c>
      <c r="O311" t="s">
        <v>62</v>
      </c>
      <c r="P311" s="9">
        <v>46063</v>
      </c>
      <c r="Q311">
        <v>206.96</v>
      </c>
    </row>
    <row r="312" spans="1:17" x14ac:dyDescent="0.25">
      <c r="A312" s="10" t="s">
        <v>125</v>
      </c>
      <c r="B312" s="3" t="str">
        <f t="shared" si="16"/>
        <v>AMZN</v>
      </c>
      <c r="C312" s="3" t="str">
        <f t="shared" si="17"/>
        <v>260515</v>
      </c>
      <c r="D312" s="3" t="str">
        <f t="shared" si="18"/>
        <v>C00145000</v>
      </c>
      <c r="E312" s="42">
        <v>46114.4375</v>
      </c>
      <c r="F312" s="11">
        <v>145</v>
      </c>
      <c r="G312" s="41">
        <v>94.99</v>
      </c>
      <c r="H312" s="41">
        <v>63.4</v>
      </c>
      <c r="I312" s="41">
        <v>66.650000000000006</v>
      </c>
      <c r="J312" s="15">
        <v>0</v>
      </c>
      <c r="K312" s="23">
        <v>0</v>
      </c>
      <c r="L312" s="41">
        <v>5</v>
      </c>
      <c r="M312" s="41">
        <v>6</v>
      </c>
      <c r="N312" s="57">
        <v>0.59609999999999996</v>
      </c>
      <c r="O312" t="s">
        <v>62</v>
      </c>
      <c r="P312" s="9">
        <v>46063</v>
      </c>
      <c r="Q312">
        <v>206.96</v>
      </c>
    </row>
    <row r="313" spans="1:17" x14ac:dyDescent="0.25">
      <c r="A313" s="10" t="s">
        <v>126</v>
      </c>
      <c r="B313" s="3" t="str">
        <f t="shared" si="16"/>
        <v>AMZN</v>
      </c>
      <c r="C313" s="3" t="str">
        <f t="shared" si="17"/>
        <v>260515</v>
      </c>
      <c r="D313" s="3" t="str">
        <f t="shared" si="18"/>
        <v>C00150000</v>
      </c>
      <c r="E313" s="42">
        <v>46297.644444444442</v>
      </c>
      <c r="F313" s="11">
        <v>150</v>
      </c>
      <c r="G313" s="41">
        <v>60.8</v>
      </c>
      <c r="H313" s="41">
        <v>58.7</v>
      </c>
      <c r="I313" s="41">
        <v>61.4</v>
      </c>
      <c r="J313" s="15">
        <v>2.2000000000000002</v>
      </c>
      <c r="K313" s="23">
        <v>3.7499999999999999E-2</v>
      </c>
      <c r="L313" s="41">
        <v>36</v>
      </c>
      <c r="M313" s="41">
        <v>90</v>
      </c>
      <c r="N313" s="57">
        <v>0.55400000000000005</v>
      </c>
      <c r="O313" t="s">
        <v>62</v>
      </c>
      <c r="P313" s="9">
        <v>46063</v>
      </c>
      <c r="Q313">
        <v>206.96</v>
      </c>
    </row>
    <row r="314" spans="1:17" x14ac:dyDescent="0.25">
      <c r="A314" s="10" t="s">
        <v>127</v>
      </c>
      <c r="B314" s="3" t="str">
        <f t="shared" si="16"/>
        <v>AMZN</v>
      </c>
      <c r="C314" s="3" t="str">
        <f t="shared" si="17"/>
        <v>260515</v>
      </c>
      <c r="D314" s="3" t="str">
        <f t="shared" si="18"/>
        <v>C00155000</v>
      </c>
      <c r="E314" s="42">
        <v>46297.560416666667</v>
      </c>
      <c r="F314" s="11">
        <v>155</v>
      </c>
      <c r="G314" s="41">
        <v>56.6</v>
      </c>
      <c r="H314" s="41">
        <v>54.1</v>
      </c>
      <c r="I314" s="41">
        <v>56.6</v>
      </c>
      <c r="J314" s="15">
        <v>-1.57</v>
      </c>
      <c r="K314" s="23">
        <v>-2.7E-2</v>
      </c>
      <c r="L314" s="41">
        <v>2</v>
      </c>
      <c r="M314" s="41">
        <v>88</v>
      </c>
      <c r="N314" s="57">
        <v>0.52669999999999995</v>
      </c>
      <c r="O314" t="s">
        <v>62</v>
      </c>
      <c r="P314" s="9">
        <v>46063</v>
      </c>
      <c r="Q314">
        <v>206.96</v>
      </c>
    </row>
    <row r="315" spans="1:17" x14ac:dyDescent="0.25">
      <c r="A315" s="10" t="s">
        <v>128</v>
      </c>
      <c r="B315" s="3" t="str">
        <f t="shared" si="16"/>
        <v>AMZN</v>
      </c>
      <c r="C315" s="3" t="str">
        <f t="shared" si="17"/>
        <v>260515</v>
      </c>
      <c r="D315" s="3" t="str">
        <f t="shared" si="18"/>
        <v>C00160000</v>
      </c>
      <c r="E315" s="42">
        <v>46297.463888888888</v>
      </c>
      <c r="F315" s="11">
        <v>160</v>
      </c>
      <c r="G315" s="41">
        <v>50.87</v>
      </c>
      <c r="H315" s="41">
        <v>50</v>
      </c>
      <c r="I315" s="41">
        <v>51</v>
      </c>
      <c r="J315" s="15">
        <v>-3.83</v>
      </c>
      <c r="K315" s="23">
        <v>-7.0000000000000007E-2</v>
      </c>
      <c r="L315" s="41">
        <v>6</v>
      </c>
      <c r="M315" s="41">
        <v>188</v>
      </c>
      <c r="N315" s="57">
        <v>0.51400000000000001</v>
      </c>
      <c r="O315" t="s">
        <v>62</v>
      </c>
      <c r="P315" s="9">
        <v>46063</v>
      </c>
      <c r="Q315">
        <v>206.96</v>
      </c>
    </row>
    <row r="316" spans="1:17" x14ac:dyDescent="0.25">
      <c r="A316" s="10" t="s">
        <v>129</v>
      </c>
      <c r="B316" s="3" t="str">
        <f t="shared" si="16"/>
        <v>AMZN</v>
      </c>
      <c r="C316" s="3" t="str">
        <f t="shared" si="17"/>
        <v>260515</v>
      </c>
      <c r="D316" s="3" t="str">
        <f t="shared" si="18"/>
        <v>C00165000</v>
      </c>
      <c r="E316" s="42">
        <v>46297.42083333333</v>
      </c>
      <c r="F316" s="11">
        <v>165</v>
      </c>
      <c r="G316" s="41">
        <v>50.5</v>
      </c>
      <c r="H316" s="41">
        <v>45.45</v>
      </c>
      <c r="I316" s="41">
        <v>47.45</v>
      </c>
      <c r="J316" s="15">
        <v>1.5</v>
      </c>
      <c r="K316" s="23">
        <v>3.0599999999999999E-2</v>
      </c>
      <c r="L316" s="41">
        <v>1</v>
      </c>
      <c r="M316" s="41">
        <v>120</v>
      </c>
      <c r="N316" s="57">
        <v>0.52910000000000001</v>
      </c>
      <c r="O316" t="s">
        <v>62</v>
      </c>
      <c r="P316" s="9">
        <v>46063</v>
      </c>
      <c r="Q316">
        <v>206.96</v>
      </c>
    </row>
    <row r="317" spans="1:17" x14ac:dyDescent="0.25">
      <c r="A317" s="10" t="s">
        <v>130</v>
      </c>
      <c r="B317" s="3" t="str">
        <f t="shared" si="16"/>
        <v>AMZN</v>
      </c>
      <c r="C317" s="3" t="str">
        <f t="shared" si="17"/>
        <v>260515</v>
      </c>
      <c r="D317" s="3" t="str">
        <f t="shared" si="18"/>
        <v>C00170000</v>
      </c>
      <c r="E317" s="42">
        <v>46297.663888888892</v>
      </c>
      <c r="F317" s="11">
        <v>170</v>
      </c>
      <c r="G317" s="41">
        <v>42</v>
      </c>
      <c r="H317" s="41">
        <v>41.4</v>
      </c>
      <c r="I317" s="41">
        <v>43</v>
      </c>
      <c r="J317" s="15">
        <v>-2.34</v>
      </c>
      <c r="K317" s="23">
        <v>-5.28E-2</v>
      </c>
      <c r="L317" s="41">
        <v>5</v>
      </c>
      <c r="M317" s="41">
        <v>182</v>
      </c>
      <c r="N317" s="57">
        <v>0.50319999999999998</v>
      </c>
      <c r="O317" t="s">
        <v>62</v>
      </c>
      <c r="P317" s="9">
        <v>46063</v>
      </c>
      <c r="Q317">
        <v>206.96</v>
      </c>
    </row>
    <row r="318" spans="1:17" x14ac:dyDescent="0.25">
      <c r="A318" s="10" t="s">
        <v>131</v>
      </c>
      <c r="B318" s="3" t="str">
        <f t="shared" si="16"/>
        <v>AMZN</v>
      </c>
      <c r="C318" s="3" t="str">
        <f t="shared" si="17"/>
        <v>260515</v>
      </c>
      <c r="D318" s="3" t="str">
        <f t="shared" si="18"/>
        <v>C00175000</v>
      </c>
      <c r="E318" s="42">
        <v>46297.662499999999</v>
      </c>
      <c r="F318" s="11">
        <v>175</v>
      </c>
      <c r="G318" s="41">
        <v>38.1</v>
      </c>
      <c r="H318" s="41">
        <v>37.549999999999997</v>
      </c>
      <c r="I318" s="41">
        <v>38.549999999999997</v>
      </c>
      <c r="J318" s="15">
        <v>-2</v>
      </c>
      <c r="K318" s="23">
        <v>-4.99E-2</v>
      </c>
      <c r="L318" s="41">
        <v>8</v>
      </c>
      <c r="M318" s="41">
        <v>328</v>
      </c>
      <c r="N318" s="57">
        <v>0.47549999999999998</v>
      </c>
      <c r="O318" t="s">
        <v>62</v>
      </c>
      <c r="P318" s="9">
        <v>46063</v>
      </c>
      <c r="Q318">
        <v>206.96</v>
      </c>
    </row>
    <row r="319" spans="1:17" x14ac:dyDescent="0.25">
      <c r="A319" s="10" t="s">
        <v>132</v>
      </c>
      <c r="B319" s="3" t="str">
        <f t="shared" si="16"/>
        <v>AMZN</v>
      </c>
      <c r="C319" s="3" t="str">
        <f t="shared" si="17"/>
        <v>260515</v>
      </c>
      <c r="D319" s="3" t="str">
        <f t="shared" si="18"/>
        <v>C00180000</v>
      </c>
      <c r="E319" s="42">
        <v>46297.665277777778</v>
      </c>
      <c r="F319" s="11">
        <v>180</v>
      </c>
      <c r="G319" s="41">
        <v>34.049999999999997</v>
      </c>
      <c r="H319" s="41">
        <v>33.5</v>
      </c>
      <c r="I319" s="41">
        <v>34.35</v>
      </c>
      <c r="J319" s="15">
        <v>-3.5</v>
      </c>
      <c r="K319" s="23">
        <v>-9.3200000000000005E-2</v>
      </c>
      <c r="L319" s="41">
        <v>91</v>
      </c>
      <c r="M319" s="41">
        <v>382</v>
      </c>
      <c r="N319" s="57">
        <v>0.45350000000000001</v>
      </c>
      <c r="O319" t="s">
        <v>62</v>
      </c>
      <c r="P319" s="9">
        <v>46063</v>
      </c>
      <c r="Q319">
        <v>206.96</v>
      </c>
    </row>
    <row r="320" spans="1:17" x14ac:dyDescent="0.25">
      <c r="A320" s="10" t="s">
        <v>133</v>
      </c>
      <c r="B320" s="3" t="str">
        <f t="shared" si="16"/>
        <v>AMZN</v>
      </c>
      <c r="C320" s="3" t="str">
        <f t="shared" si="17"/>
        <v>260515</v>
      </c>
      <c r="D320" s="3" t="str">
        <f t="shared" si="18"/>
        <v>C00185000</v>
      </c>
      <c r="E320" s="42">
        <v>46297.629166666666</v>
      </c>
      <c r="F320" s="11">
        <v>185</v>
      </c>
      <c r="G320" s="41">
        <v>30.65</v>
      </c>
      <c r="H320" s="41">
        <v>29.8</v>
      </c>
      <c r="I320" s="41">
        <v>30.7</v>
      </c>
      <c r="J320" s="15">
        <v>-1.18</v>
      </c>
      <c r="K320" s="23">
        <v>-3.7100000000000001E-2</v>
      </c>
      <c r="L320" s="41">
        <v>49</v>
      </c>
      <c r="M320" s="41">
        <v>260</v>
      </c>
      <c r="N320" s="57">
        <v>0.44440000000000002</v>
      </c>
      <c r="O320" t="s">
        <v>62</v>
      </c>
      <c r="P320" s="9">
        <v>46063</v>
      </c>
      <c r="Q320">
        <v>206.96</v>
      </c>
    </row>
    <row r="321" spans="1:17" x14ac:dyDescent="0.25">
      <c r="A321" s="10" t="s">
        <v>134</v>
      </c>
      <c r="B321" s="3" t="str">
        <f t="shared" si="16"/>
        <v>AMZN</v>
      </c>
      <c r="C321" s="3" t="str">
        <f t="shared" si="17"/>
        <v>260515</v>
      </c>
      <c r="D321" s="3" t="str">
        <f t="shared" si="18"/>
        <v>C00190000</v>
      </c>
      <c r="E321" s="42">
        <v>46297.661805555559</v>
      </c>
      <c r="F321" s="11">
        <v>190</v>
      </c>
      <c r="G321" s="41">
        <v>26.83</v>
      </c>
      <c r="H321" s="41">
        <v>26.15</v>
      </c>
      <c r="I321" s="41">
        <v>27.1</v>
      </c>
      <c r="J321" s="15">
        <v>-1.47</v>
      </c>
      <c r="K321" s="23">
        <v>-5.1900000000000002E-2</v>
      </c>
      <c r="L321" s="41">
        <v>64</v>
      </c>
      <c r="M321" s="41">
        <v>318</v>
      </c>
      <c r="N321" s="57">
        <v>0.432</v>
      </c>
      <c r="O321" t="s">
        <v>62</v>
      </c>
      <c r="P321" s="9">
        <v>46063</v>
      </c>
      <c r="Q321">
        <v>206.96</v>
      </c>
    </row>
    <row r="322" spans="1:17" x14ac:dyDescent="0.25">
      <c r="A322" s="10" t="s">
        <v>135</v>
      </c>
      <c r="B322" s="3" t="str">
        <f t="shared" si="16"/>
        <v>AMZN</v>
      </c>
      <c r="C322" s="3" t="str">
        <f t="shared" si="17"/>
        <v>260515</v>
      </c>
      <c r="D322" s="3" t="str">
        <f t="shared" si="18"/>
        <v>C00195000</v>
      </c>
      <c r="E322" s="42">
        <v>46297.634722222225</v>
      </c>
      <c r="F322" s="11">
        <v>195</v>
      </c>
      <c r="G322" s="41">
        <v>23.55</v>
      </c>
      <c r="H322" s="41">
        <v>22.8</v>
      </c>
      <c r="I322" s="41">
        <v>23.5</v>
      </c>
      <c r="J322" s="15">
        <v>-1.3</v>
      </c>
      <c r="K322" s="23">
        <v>-5.2299999999999999E-2</v>
      </c>
      <c r="L322" s="41">
        <v>45</v>
      </c>
      <c r="M322" s="41">
        <v>243</v>
      </c>
      <c r="N322" s="57">
        <v>0.41489999999999999</v>
      </c>
      <c r="O322" t="s">
        <v>62</v>
      </c>
      <c r="P322" s="9">
        <v>46063</v>
      </c>
      <c r="Q322">
        <v>206.96</v>
      </c>
    </row>
    <row r="323" spans="1:17" x14ac:dyDescent="0.25">
      <c r="A323" s="10" t="s">
        <v>136</v>
      </c>
      <c r="B323" s="3" t="str">
        <f t="shared" ref="B323:B386" si="19">+MID(A323,1,4)</f>
        <v>AMZN</v>
      </c>
      <c r="C323" s="3" t="str">
        <f t="shared" si="17"/>
        <v>260515</v>
      </c>
      <c r="D323" s="3" t="str">
        <f t="shared" si="18"/>
        <v>C00200000</v>
      </c>
      <c r="E323" s="42">
        <v>46297.663888888892</v>
      </c>
      <c r="F323" s="11">
        <v>200</v>
      </c>
      <c r="G323" s="41">
        <v>20.149999999999999</v>
      </c>
      <c r="H323" s="41">
        <v>20.05</v>
      </c>
      <c r="I323" s="41">
        <v>20.3</v>
      </c>
      <c r="J323" s="15">
        <v>-1.59</v>
      </c>
      <c r="K323" s="23">
        <v>-7.3099999999999998E-2</v>
      </c>
      <c r="L323" s="58">
        <v>2384</v>
      </c>
      <c r="M323" s="58">
        <v>3599</v>
      </c>
      <c r="N323" s="57">
        <v>0.40329999999999999</v>
      </c>
      <c r="O323" t="s">
        <v>62</v>
      </c>
      <c r="P323" s="9">
        <v>46063</v>
      </c>
      <c r="Q323">
        <v>206.96</v>
      </c>
    </row>
    <row r="324" spans="1:17" x14ac:dyDescent="0.25">
      <c r="A324" s="10" t="s">
        <v>137</v>
      </c>
      <c r="B324" s="3" t="str">
        <f t="shared" si="19"/>
        <v>AMZN</v>
      </c>
      <c r="C324" s="3" t="str">
        <f t="shared" si="17"/>
        <v>260515</v>
      </c>
      <c r="D324" s="3" t="str">
        <f t="shared" si="18"/>
        <v>C00205000</v>
      </c>
      <c r="E324" s="42">
        <v>46297.665972222225</v>
      </c>
      <c r="F324" s="11">
        <v>205</v>
      </c>
      <c r="G324" s="41">
        <v>17.399999999999999</v>
      </c>
      <c r="H324" s="41">
        <v>17.2</v>
      </c>
      <c r="I324" s="41">
        <v>17.45</v>
      </c>
      <c r="J324" s="15">
        <v>-1.45</v>
      </c>
      <c r="K324" s="23">
        <v>-7.6899999999999996E-2</v>
      </c>
      <c r="L324" s="58">
        <v>4731</v>
      </c>
      <c r="M324" s="58">
        <v>4176</v>
      </c>
      <c r="N324" s="57">
        <v>0.39510000000000001</v>
      </c>
      <c r="O324" t="s">
        <v>62</v>
      </c>
      <c r="P324" s="9">
        <v>46063</v>
      </c>
      <c r="Q324">
        <v>206.96</v>
      </c>
    </row>
    <row r="325" spans="1:17" x14ac:dyDescent="0.25">
      <c r="A325" s="10" t="s">
        <v>138</v>
      </c>
      <c r="B325" s="3" t="str">
        <f t="shared" si="19"/>
        <v>AMZN</v>
      </c>
      <c r="C325" s="3" t="str">
        <f t="shared" si="17"/>
        <v>260515</v>
      </c>
      <c r="D325" s="3" t="str">
        <f t="shared" si="18"/>
        <v>C00210000</v>
      </c>
      <c r="E325" s="42">
        <v>46297.664583333331</v>
      </c>
      <c r="F325" s="11">
        <v>210</v>
      </c>
      <c r="G325" s="41">
        <v>14.85</v>
      </c>
      <c r="H325" s="41">
        <v>14.75</v>
      </c>
      <c r="I325" s="41">
        <v>14.95</v>
      </c>
      <c r="J325" s="15">
        <v>-1.3</v>
      </c>
      <c r="K325" s="23">
        <v>-8.0500000000000002E-2</v>
      </c>
      <c r="L325" s="58">
        <v>1062</v>
      </c>
      <c r="M325" s="58">
        <v>6628</v>
      </c>
      <c r="N325" s="57">
        <v>0.38969999999999999</v>
      </c>
      <c r="O325" t="s">
        <v>62</v>
      </c>
      <c r="P325" s="9">
        <v>46063</v>
      </c>
      <c r="Q325">
        <v>206.96</v>
      </c>
    </row>
    <row r="326" spans="1:17" x14ac:dyDescent="0.25">
      <c r="A326" s="10" t="s">
        <v>139</v>
      </c>
      <c r="B326" s="3" t="str">
        <f t="shared" si="19"/>
        <v>AMZN</v>
      </c>
      <c r="C326" s="3" t="str">
        <f t="shared" si="17"/>
        <v>260515</v>
      </c>
      <c r="D326" s="3" t="str">
        <f t="shared" si="18"/>
        <v>C00215000</v>
      </c>
      <c r="E326" s="42">
        <v>46297.665972222225</v>
      </c>
      <c r="F326" s="11">
        <v>215</v>
      </c>
      <c r="G326" s="41">
        <v>12.67</v>
      </c>
      <c r="H326" s="41">
        <v>12.55</v>
      </c>
      <c r="I326" s="41">
        <v>12.7</v>
      </c>
      <c r="J326" s="15">
        <v>-1.03</v>
      </c>
      <c r="K326" s="23">
        <v>-7.5200000000000003E-2</v>
      </c>
      <c r="L326" s="41">
        <v>462</v>
      </c>
      <c r="M326" s="58">
        <v>2453</v>
      </c>
      <c r="N326" s="57">
        <v>0.38469999999999999</v>
      </c>
      <c r="O326" t="s">
        <v>62</v>
      </c>
      <c r="P326" s="9">
        <v>46063</v>
      </c>
      <c r="Q326">
        <v>206.96</v>
      </c>
    </row>
    <row r="327" spans="1:17" x14ac:dyDescent="0.25">
      <c r="A327" s="10" t="s">
        <v>140</v>
      </c>
      <c r="B327" s="3" t="str">
        <f t="shared" si="19"/>
        <v>AMZN</v>
      </c>
      <c r="C327" s="3" t="str">
        <f t="shared" si="17"/>
        <v>260515</v>
      </c>
      <c r="D327" s="3" t="str">
        <f t="shared" si="18"/>
        <v>C00220000</v>
      </c>
      <c r="E327" s="42">
        <v>46297.665972222225</v>
      </c>
      <c r="F327" s="11">
        <v>220</v>
      </c>
      <c r="G327" s="41">
        <v>10.7</v>
      </c>
      <c r="H327" s="41">
        <v>10.6</v>
      </c>
      <c r="I327" s="41">
        <v>10.75</v>
      </c>
      <c r="J327" s="15">
        <v>-1</v>
      </c>
      <c r="K327" s="23">
        <v>-8.5500000000000007E-2</v>
      </c>
      <c r="L327" s="58">
        <v>1570</v>
      </c>
      <c r="M327" s="58">
        <v>5743</v>
      </c>
      <c r="N327" s="57">
        <v>0.38140000000000002</v>
      </c>
      <c r="O327" t="s">
        <v>62</v>
      </c>
      <c r="P327" s="9">
        <v>46063</v>
      </c>
      <c r="Q327">
        <v>206.96</v>
      </c>
    </row>
    <row r="328" spans="1:17" x14ac:dyDescent="0.25">
      <c r="A328" s="10" t="s">
        <v>141</v>
      </c>
      <c r="B328" s="3" t="str">
        <f t="shared" si="19"/>
        <v>AMZN</v>
      </c>
      <c r="C328" s="3" t="str">
        <f t="shared" si="17"/>
        <v>260515</v>
      </c>
      <c r="D328" s="3" t="str">
        <f t="shared" si="18"/>
        <v>C00225000</v>
      </c>
      <c r="E328" s="42">
        <v>46297.665972222225</v>
      </c>
      <c r="F328" s="11">
        <v>225</v>
      </c>
      <c r="G328" s="41">
        <v>8.9700000000000006</v>
      </c>
      <c r="H328" s="41">
        <v>8.85</v>
      </c>
      <c r="I328" s="41">
        <v>9</v>
      </c>
      <c r="J328" s="15">
        <v>-0.93</v>
      </c>
      <c r="K328" s="23">
        <v>-9.3899999999999997E-2</v>
      </c>
      <c r="L328" s="41">
        <v>748</v>
      </c>
      <c r="M328" s="58">
        <v>4556</v>
      </c>
      <c r="N328" s="57">
        <v>0.37740000000000001</v>
      </c>
      <c r="O328" t="s">
        <v>62</v>
      </c>
      <c r="P328" s="9">
        <v>46063</v>
      </c>
      <c r="Q328">
        <v>206.96</v>
      </c>
    </row>
    <row r="329" spans="1:17" x14ac:dyDescent="0.25">
      <c r="A329" s="10" t="s">
        <v>142</v>
      </c>
      <c r="B329" s="3" t="str">
        <f t="shared" si="19"/>
        <v>AMZN</v>
      </c>
      <c r="C329" s="3" t="str">
        <f t="shared" si="17"/>
        <v>260515</v>
      </c>
      <c r="D329" s="3" t="str">
        <f t="shared" si="18"/>
        <v>C00230000</v>
      </c>
      <c r="E329" s="42">
        <v>46297.665972222225</v>
      </c>
      <c r="F329" s="11">
        <v>230</v>
      </c>
      <c r="G329" s="41">
        <v>7.5</v>
      </c>
      <c r="H329" s="41">
        <v>7.4</v>
      </c>
      <c r="I329" s="41">
        <v>7.5</v>
      </c>
      <c r="J329" s="15">
        <v>-0.95</v>
      </c>
      <c r="K329" s="23">
        <v>-0.1124</v>
      </c>
      <c r="L329" s="58">
        <v>1982</v>
      </c>
      <c r="M329" s="58">
        <v>6662</v>
      </c>
      <c r="N329" s="57">
        <v>0.3745</v>
      </c>
      <c r="O329" t="s">
        <v>62</v>
      </c>
      <c r="P329" s="9">
        <v>46063</v>
      </c>
      <c r="Q329">
        <v>206.96</v>
      </c>
    </row>
    <row r="330" spans="1:17" x14ac:dyDescent="0.25">
      <c r="A330" s="10" t="s">
        <v>143</v>
      </c>
      <c r="B330" s="3" t="str">
        <f t="shared" si="19"/>
        <v>AMZN</v>
      </c>
      <c r="C330" s="3" t="str">
        <f t="shared" si="17"/>
        <v>260515</v>
      </c>
      <c r="D330" s="3" t="str">
        <f t="shared" si="18"/>
        <v>C00235000</v>
      </c>
      <c r="E330" s="42">
        <v>46297.665972222225</v>
      </c>
      <c r="F330" s="11">
        <v>235</v>
      </c>
      <c r="G330" s="41">
        <v>6.22</v>
      </c>
      <c r="H330" s="41">
        <v>6.15</v>
      </c>
      <c r="I330" s="41">
        <v>6.25</v>
      </c>
      <c r="J330" s="15">
        <v>-0.87</v>
      </c>
      <c r="K330" s="23">
        <v>-0.1227</v>
      </c>
      <c r="L330" s="41">
        <v>488</v>
      </c>
      <c r="M330" s="58">
        <v>5539</v>
      </c>
      <c r="N330" s="57">
        <v>0.37309999999999999</v>
      </c>
      <c r="O330" t="s">
        <v>62</v>
      </c>
      <c r="P330" s="9">
        <v>46063</v>
      </c>
      <c r="Q330">
        <v>206.96</v>
      </c>
    </row>
    <row r="331" spans="1:17" x14ac:dyDescent="0.25">
      <c r="A331" s="10" t="s">
        <v>144</v>
      </c>
      <c r="B331" s="3" t="str">
        <f t="shared" si="19"/>
        <v>AMZN</v>
      </c>
      <c r="C331" s="3" t="str">
        <f t="shared" si="17"/>
        <v>260515</v>
      </c>
      <c r="D331" s="3" t="str">
        <f t="shared" si="18"/>
        <v>C00240000</v>
      </c>
      <c r="E331" s="42">
        <v>46297.662499999999</v>
      </c>
      <c r="F331" s="11">
        <v>240</v>
      </c>
      <c r="G331" s="41">
        <v>5.15</v>
      </c>
      <c r="H331" s="41">
        <v>5.0999999999999996</v>
      </c>
      <c r="I331" s="41">
        <v>5.2</v>
      </c>
      <c r="J331" s="15">
        <v>-0.54</v>
      </c>
      <c r="K331" s="23">
        <v>-9.4899999999999998E-2</v>
      </c>
      <c r="L331" s="58">
        <v>1002</v>
      </c>
      <c r="M331" s="58">
        <v>6501</v>
      </c>
      <c r="N331" s="57">
        <v>0.3725</v>
      </c>
      <c r="O331" t="s">
        <v>62</v>
      </c>
      <c r="P331" s="9">
        <v>46063</v>
      </c>
      <c r="Q331">
        <v>206.96</v>
      </c>
    </row>
    <row r="332" spans="1:17" x14ac:dyDescent="0.25">
      <c r="A332" s="10" t="s">
        <v>145</v>
      </c>
      <c r="B332" s="3" t="str">
        <f t="shared" si="19"/>
        <v>AMZN</v>
      </c>
      <c r="C332" s="3" t="str">
        <f t="shared" si="17"/>
        <v>260515</v>
      </c>
      <c r="D332" s="3" t="str">
        <f t="shared" si="18"/>
        <v>C00245000</v>
      </c>
      <c r="E332" s="42">
        <v>46297.658333333333</v>
      </c>
      <c r="F332" s="11">
        <v>245</v>
      </c>
      <c r="G332" s="41">
        <v>4.26</v>
      </c>
      <c r="H332" s="41">
        <v>4.2</v>
      </c>
      <c r="I332" s="41">
        <v>4.3</v>
      </c>
      <c r="J332" s="15">
        <v>-0.54</v>
      </c>
      <c r="K332" s="23">
        <v>-0.1125</v>
      </c>
      <c r="L332" s="41">
        <v>538</v>
      </c>
      <c r="M332" s="58">
        <v>4392</v>
      </c>
      <c r="N332" s="57">
        <v>0.37180000000000002</v>
      </c>
      <c r="O332" t="s">
        <v>62</v>
      </c>
      <c r="P332" s="9">
        <v>46063</v>
      </c>
      <c r="Q332">
        <v>206.96</v>
      </c>
    </row>
    <row r="333" spans="1:17" x14ac:dyDescent="0.25">
      <c r="A333" s="10" t="s">
        <v>146</v>
      </c>
      <c r="B333" s="3" t="str">
        <f t="shared" si="19"/>
        <v>AMZN</v>
      </c>
      <c r="C333" s="3" t="str">
        <f t="shared" si="17"/>
        <v>260515</v>
      </c>
      <c r="D333" s="3" t="str">
        <f t="shared" si="18"/>
        <v>C00250000</v>
      </c>
      <c r="E333" s="42">
        <v>46297.665972222225</v>
      </c>
      <c r="F333" s="11">
        <v>250</v>
      </c>
      <c r="G333" s="41">
        <v>3.54</v>
      </c>
      <c r="H333" s="41">
        <v>3.5</v>
      </c>
      <c r="I333" s="41">
        <v>3.55</v>
      </c>
      <c r="J333" s="15">
        <v>-0.41</v>
      </c>
      <c r="K333" s="23">
        <v>-0.1038</v>
      </c>
      <c r="L333" s="58">
        <v>2864</v>
      </c>
      <c r="M333" s="58">
        <v>34881</v>
      </c>
      <c r="N333" s="57">
        <v>0.3715</v>
      </c>
      <c r="O333" t="s">
        <v>62</v>
      </c>
      <c r="P333" s="9">
        <v>46063</v>
      </c>
      <c r="Q333">
        <v>206.96</v>
      </c>
    </row>
    <row r="334" spans="1:17" x14ac:dyDescent="0.25">
      <c r="A334" s="10" t="s">
        <v>147</v>
      </c>
      <c r="B334" s="3" t="str">
        <f t="shared" si="19"/>
        <v>AMZN</v>
      </c>
      <c r="C334" s="3" t="str">
        <f t="shared" si="17"/>
        <v>260515</v>
      </c>
      <c r="D334" s="3" t="str">
        <f t="shared" si="18"/>
        <v>C00255000</v>
      </c>
      <c r="E334" s="42">
        <v>46297.665972222225</v>
      </c>
      <c r="F334" s="11">
        <v>255</v>
      </c>
      <c r="G334" s="41">
        <v>2.92</v>
      </c>
      <c r="H334" s="41">
        <v>2.89</v>
      </c>
      <c r="I334" s="41">
        <v>2.98</v>
      </c>
      <c r="J334" s="15">
        <v>-0.48</v>
      </c>
      <c r="K334" s="23">
        <v>-0.14119999999999999</v>
      </c>
      <c r="L334" s="41">
        <v>270</v>
      </c>
      <c r="M334" s="58">
        <v>3615</v>
      </c>
      <c r="N334" s="57">
        <v>0.37380000000000002</v>
      </c>
      <c r="O334" t="s">
        <v>62</v>
      </c>
      <c r="P334" s="9">
        <v>46063</v>
      </c>
      <c r="Q334">
        <v>206.96</v>
      </c>
    </row>
    <row r="335" spans="1:17" x14ac:dyDescent="0.25">
      <c r="A335" s="10" t="s">
        <v>148</v>
      </c>
      <c r="B335" s="3" t="str">
        <f t="shared" si="19"/>
        <v>AMZN</v>
      </c>
      <c r="C335" s="3" t="str">
        <f t="shared" si="17"/>
        <v>260515</v>
      </c>
      <c r="D335" s="3" t="str">
        <f t="shared" si="18"/>
        <v>C00260000</v>
      </c>
      <c r="E335" s="42">
        <v>46297.654166666667</v>
      </c>
      <c r="F335" s="11">
        <v>260</v>
      </c>
      <c r="G335" s="41">
        <v>2.42</v>
      </c>
      <c r="H335" s="41">
        <v>2.42</v>
      </c>
      <c r="I335" s="41">
        <v>2.4500000000000002</v>
      </c>
      <c r="J335" s="15">
        <v>-0.33</v>
      </c>
      <c r="K335" s="23">
        <v>-0.12</v>
      </c>
      <c r="L335" s="41">
        <v>392</v>
      </c>
      <c r="M335" s="58">
        <v>30271</v>
      </c>
      <c r="N335" s="57">
        <v>0.37390000000000001</v>
      </c>
      <c r="O335" t="s">
        <v>62</v>
      </c>
      <c r="P335" s="9">
        <v>46063</v>
      </c>
      <c r="Q335">
        <v>206.96</v>
      </c>
    </row>
    <row r="336" spans="1:17" x14ac:dyDescent="0.25">
      <c r="A336" s="10" t="s">
        <v>149</v>
      </c>
      <c r="B336" s="3" t="str">
        <f t="shared" si="19"/>
        <v>AMZN</v>
      </c>
      <c r="C336" s="3" t="str">
        <f t="shared" si="17"/>
        <v>260515</v>
      </c>
      <c r="D336" s="3" t="str">
        <f t="shared" si="18"/>
        <v>C00265000</v>
      </c>
      <c r="E336" s="42">
        <v>46297.665972222225</v>
      </c>
      <c r="F336" s="11">
        <v>265</v>
      </c>
      <c r="G336" s="41">
        <v>2.02</v>
      </c>
      <c r="H336" s="41">
        <v>2</v>
      </c>
      <c r="I336" s="41">
        <v>2.04</v>
      </c>
      <c r="J336" s="15">
        <v>-0.28999999999999998</v>
      </c>
      <c r="K336" s="23">
        <v>-0.1255</v>
      </c>
      <c r="L336" s="41">
        <v>279</v>
      </c>
      <c r="M336" s="58">
        <v>2166</v>
      </c>
      <c r="N336" s="57">
        <v>0.37559999999999999</v>
      </c>
      <c r="O336" t="s">
        <v>62</v>
      </c>
      <c r="P336" s="9">
        <v>46063</v>
      </c>
      <c r="Q336">
        <v>206.96</v>
      </c>
    </row>
    <row r="337" spans="1:17" x14ac:dyDescent="0.25">
      <c r="A337" s="10" t="s">
        <v>150</v>
      </c>
      <c r="B337" s="3" t="str">
        <f t="shared" si="19"/>
        <v>AMZN</v>
      </c>
      <c r="C337" s="3" t="str">
        <f t="shared" si="17"/>
        <v>260515</v>
      </c>
      <c r="D337" s="3" t="str">
        <f t="shared" si="18"/>
        <v>C00270000</v>
      </c>
      <c r="E337" s="42">
        <v>46297.656944444447</v>
      </c>
      <c r="F337" s="11">
        <v>270</v>
      </c>
      <c r="G337" s="41">
        <v>1.69</v>
      </c>
      <c r="H337" s="41">
        <v>1.68</v>
      </c>
      <c r="I337" s="41">
        <v>1.72</v>
      </c>
      <c r="J337" s="15">
        <v>-0.25</v>
      </c>
      <c r="K337" s="23">
        <v>-0.12889999999999999</v>
      </c>
      <c r="L337" s="58">
        <v>3343</v>
      </c>
      <c r="M337" s="58">
        <v>6050</v>
      </c>
      <c r="N337" s="57">
        <v>0.3785</v>
      </c>
      <c r="O337" t="s">
        <v>62</v>
      </c>
      <c r="P337" s="9">
        <v>46063</v>
      </c>
      <c r="Q337">
        <v>206.96</v>
      </c>
    </row>
    <row r="338" spans="1:17" x14ac:dyDescent="0.25">
      <c r="A338" s="10" t="s">
        <v>151</v>
      </c>
      <c r="B338" s="3" t="str">
        <f t="shared" si="19"/>
        <v>AMZN</v>
      </c>
      <c r="C338" s="3" t="str">
        <f t="shared" si="17"/>
        <v>260515</v>
      </c>
      <c r="D338" s="3" t="str">
        <f t="shared" si="18"/>
        <v>C00275000</v>
      </c>
      <c r="E338" s="42">
        <v>46297.662499999999</v>
      </c>
      <c r="F338" s="11">
        <v>275</v>
      </c>
      <c r="G338" s="41">
        <v>1.43</v>
      </c>
      <c r="H338" s="41">
        <v>1.41</v>
      </c>
      <c r="I338" s="41">
        <v>1.45</v>
      </c>
      <c r="J338" s="15">
        <v>-0.2</v>
      </c>
      <c r="K338" s="23">
        <v>-0.1227</v>
      </c>
      <c r="L338" s="41">
        <v>105</v>
      </c>
      <c r="M338" s="58">
        <v>13382</v>
      </c>
      <c r="N338" s="57">
        <v>0.38150000000000001</v>
      </c>
      <c r="O338" t="s">
        <v>62</v>
      </c>
      <c r="P338" s="9">
        <v>46063</v>
      </c>
      <c r="Q338">
        <v>206.96</v>
      </c>
    </row>
    <row r="339" spans="1:17" x14ac:dyDescent="0.25">
      <c r="A339" s="10" t="s">
        <v>152</v>
      </c>
      <c r="B339" s="3" t="str">
        <f t="shared" si="19"/>
        <v>AMZN</v>
      </c>
      <c r="C339" s="3" t="str">
        <f t="shared" si="17"/>
        <v>260515</v>
      </c>
      <c r="D339" s="3" t="str">
        <f t="shared" si="18"/>
        <v>C00280000</v>
      </c>
      <c r="E339" s="42">
        <v>46297.661111111112</v>
      </c>
      <c r="F339" s="11">
        <v>280</v>
      </c>
      <c r="G339" s="41">
        <v>1.21</v>
      </c>
      <c r="H339" s="41">
        <v>1.19</v>
      </c>
      <c r="I339" s="41">
        <v>1.23</v>
      </c>
      <c r="J339" s="15">
        <v>-0.21</v>
      </c>
      <c r="K339" s="23">
        <v>-0.1479</v>
      </c>
      <c r="L339" s="41">
        <v>53</v>
      </c>
      <c r="M339" s="58">
        <v>8345</v>
      </c>
      <c r="N339" s="57">
        <v>0.38479999999999998</v>
      </c>
      <c r="O339" t="s">
        <v>62</v>
      </c>
      <c r="P339" s="9">
        <v>46063</v>
      </c>
      <c r="Q339">
        <v>206.96</v>
      </c>
    </row>
    <row r="340" spans="1:17" x14ac:dyDescent="0.25">
      <c r="A340" s="10" t="s">
        <v>153</v>
      </c>
      <c r="B340" s="3" t="str">
        <f t="shared" si="19"/>
        <v>AMZN</v>
      </c>
      <c r="C340" s="3" t="str">
        <f t="shared" si="17"/>
        <v>260515</v>
      </c>
      <c r="D340" s="3" t="str">
        <f t="shared" si="18"/>
        <v>C00285000</v>
      </c>
      <c r="E340" s="42">
        <v>46297.602777777778</v>
      </c>
      <c r="F340" s="11">
        <v>285</v>
      </c>
      <c r="G340" s="41">
        <v>1.03</v>
      </c>
      <c r="H340" s="41">
        <v>1.01</v>
      </c>
      <c r="I340" s="41">
        <v>1.05</v>
      </c>
      <c r="J340" s="15">
        <v>-0.2</v>
      </c>
      <c r="K340" s="23">
        <v>-0.16259999999999999</v>
      </c>
      <c r="L340" s="41">
        <v>74</v>
      </c>
      <c r="M340" s="58">
        <v>16581</v>
      </c>
      <c r="N340" s="57">
        <v>0.38840000000000002</v>
      </c>
      <c r="O340" t="s">
        <v>62</v>
      </c>
      <c r="P340" s="9">
        <v>46063</v>
      </c>
      <c r="Q340">
        <v>206.96</v>
      </c>
    </row>
    <row r="341" spans="1:17" x14ac:dyDescent="0.25">
      <c r="A341" s="10" t="s">
        <v>154</v>
      </c>
      <c r="B341" s="3" t="str">
        <f t="shared" si="19"/>
        <v>AMZN</v>
      </c>
      <c r="C341" s="3" t="str">
        <f t="shared" si="17"/>
        <v>260515</v>
      </c>
      <c r="D341" s="3" t="str">
        <f t="shared" si="18"/>
        <v>C00290000</v>
      </c>
      <c r="E341" s="42">
        <v>46297.55972222222</v>
      </c>
      <c r="F341" s="11">
        <v>290</v>
      </c>
      <c r="G341" s="41">
        <v>0.97</v>
      </c>
      <c r="H341" s="41">
        <v>0.82</v>
      </c>
      <c r="I341" s="41">
        <v>0.9</v>
      </c>
      <c r="J341" s="15">
        <v>-0.04</v>
      </c>
      <c r="K341" s="23">
        <v>-3.9600000000000003E-2</v>
      </c>
      <c r="L341" s="41">
        <v>34</v>
      </c>
      <c r="M341" s="58">
        <v>3214</v>
      </c>
      <c r="N341" s="57">
        <v>0.39219999999999999</v>
      </c>
      <c r="O341" t="s">
        <v>62</v>
      </c>
      <c r="P341" s="9">
        <v>46063</v>
      </c>
      <c r="Q341">
        <v>206.96</v>
      </c>
    </row>
    <row r="342" spans="1:17" x14ac:dyDescent="0.25">
      <c r="A342" s="10" t="s">
        <v>155</v>
      </c>
      <c r="B342" s="3" t="str">
        <f t="shared" si="19"/>
        <v>AMZN</v>
      </c>
      <c r="C342" s="3" t="str">
        <f t="shared" si="17"/>
        <v>260515</v>
      </c>
      <c r="D342" s="3" t="str">
        <f t="shared" si="18"/>
        <v>C00295000</v>
      </c>
      <c r="E342" s="42">
        <v>46297.652777777781</v>
      </c>
      <c r="F342" s="11">
        <v>295</v>
      </c>
      <c r="G342" s="41">
        <v>0.74</v>
      </c>
      <c r="H342" s="41">
        <v>0.73</v>
      </c>
      <c r="I342" s="41">
        <v>0.78</v>
      </c>
      <c r="J342" s="15">
        <v>-0.15</v>
      </c>
      <c r="K342" s="23">
        <v>-0.16850000000000001</v>
      </c>
      <c r="L342" s="41">
        <v>326</v>
      </c>
      <c r="M342" s="41">
        <v>549</v>
      </c>
      <c r="N342" s="57">
        <v>0.39660000000000001</v>
      </c>
      <c r="O342" t="s">
        <v>62</v>
      </c>
      <c r="P342" s="9">
        <v>46063</v>
      </c>
      <c r="Q342">
        <v>206.96</v>
      </c>
    </row>
    <row r="343" spans="1:17" x14ac:dyDescent="0.25">
      <c r="A343" s="10" t="s">
        <v>156</v>
      </c>
      <c r="B343" s="3" t="str">
        <f t="shared" si="19"/>
        <v>AMZN</v>
      </c>
      <c r="C343" s="3" t="str">
        <f t="shared" si="17"/>
        <v>260515</v>
      </c>
      <c r="D343" s="3" t="str">
        <f t="shared" si="18"/>
        <v>C00300000</v>
      </c>
      <c r="E343" s="42">
        <v>46297.665972222225</v>
      </c>
      <c r="F343" s="11">
        <v>300</v>
      </c>
      <c r="G343" s="41">
        <v>0.67</v>
      </c>
      <c r="H343" s="41">
        <v>0.65</v>
      </c>
      <c r="I343" s="41">
        <v>0.68</v>
      </c>
      <c r="J343" s="15">
        <v>-0.12</v>
      </c>
      <c r="K343" s="23">
        <v>-0.15190000000000001</v>
      </c>
      <c r="L343" s="41">
        <v>151</v>
      </c>
      <c r="M343" s="58">
        <v>3267</v>
      </c>
      <c r="N343" s="57">
        <v>0.40110000000000001</v>
      </c>
      <c r="O343" t="s">
        <v>62</v>
      </c>
      <c r="P343" s="9">
        <v>46063</v>
      </c>
      <c r="Q343">
        <v>206.96</v>
      </c>
    </row>
    <row r="344" spans="1:17" x14ac:dyDescent="0.25">
      <c r="A344" s="10" t="s">
        <v>157</v>
      </c>
      <c r="B344" s="3" t="str">
        <f t="shared" si="19"/>
        <v>AMZN</v>
      </c>
      <c r="C344" s="3" t="str">
        <f t="shared" si="17"/>
        <v>260515</v>
      </c>
      <c r="D344" s="3" t="str">
        <f t="shared" si="18"/>
        <v>C00305000</v>
      </c>
      <c r="E344" s="42">
        <v>46267.574999999997</v>
      </c>
      <c r="F344" s="11">
        <v>305</v>
      </c>
      <c r="G344" s="41">
        <v>0.67</v>
      </c>
      <c r="H344" s="41">
        <v>0.55000000000000004</v>
      </c>
      <c r="I344" s="41">
        <v>0.61</v>
      </c>
      <c r="J344" s="15">
        <v>0</v>
      </c>
      <c r="K344" s="23">
        <v>0</v>
      </c>
      <c r="L344" s="41">
        <v>8</v>
      </c>
      <c r="M344" s="58">
        <v>1240</v>
      </c>
      <c r="N344" s="57">
        <v>0.40749999999999997</v>
      </c>
      <c r="O344" t="s">
        <v>62</v>
      </c>
      <c r="P344" s="9">
        <v>46063</v>
      </c>
      <c r="Q344">
        <v>206.96</v>
      </c>
    </row>
    <row r="345" spans="1:17" x14ac:dyDescent="0.25">
      <c r="A345" s="10" t="s">
        <v>158</v>
      </c>
      <c r="B345" s="3" t="str">
        <f t="shared" si="19"/>
        <v>AMZN</v>
      </c>
      <c r="C345" s="3" t="str">
        <f t="shared" si="17"/>
        <v>260515</v>
      </c>
      <c r="D345" s="3" t="str">
        <f t="shared" si="18"/>
        <v>C00310000</v>
      </c>
      <c r="E345" s="42">
        <v>46297.640972222223</v>
      </c>
      <c r="F345" s="11">
        <v>310</v>
      </c>
      <c r="G345" s="41">
        <v>0.51</v>
      </c>
      <c r="H345" s="41">
        <v>0.45</v>
      </c>
      <c r="I345" s="41">
        <v>0.52</v>
      </c>
      <c r="J345" s="15">
        <v>-0.06</v>
      </c>
      <c r="K345" s="23">
        <v>-0.1053</v>
      </c>
      <c r="L345" s="41">
        <v>87</v>
      </c>
      <c r="M345" s="41">
        <v>698</v>
      </c>
      <c r="N345" s="57">
        <v>0.40989999999999999</v>
      </c>
      <c r="O345" t="s">
        <v>62</v>
      </c>
      <c r="P345" s="9">
        <v>46063</v>
      </c>
      <c r="Q345">
        <v>206.96</v>
      </c>
    </row>
    <row r="346" spans="1:17" x14ac:dyDescent="0.25">
      <c r="A346" s="10" t="s">
        <v>159</v>
      </c>
      <c r="B346" s="3" t="str">
        <f t="shared" si="19"/>
        <v>AMZN</v>
      </c>
      <c r="C346" s="3" t="str">
        <f t="shared" si="17"/>
        <v>260515</v>
      </c>
      <c r="D346" s="3" t="str">
        <f t="shared" si="18"/>
        <v>C00315000</v>
      </c>
      <c r="E346" s="42">
        <v>46267.5</v>
      </c>
      <c r="F346" s="11">
        <v>315</v>
      </c>
      <c r="G346" s="41">
        <v>0.6</v>
      </c>
      <c r="H346" s="41">
        <v>0.39</v>
      </c>
      <c r="I346" s="41">
        <v>0.47</v>
      </c>
      <c r="J346" s="15">
        <v>0</v>
      </c>
      <c r="K346" s="23">
        <v>0</v>
      </c>
      <c r="L346" s="41">
        <v>42</v>
      </c>
      <c r="M346" s="41">
        <v>737</v>
      </c>
      <c r="N346" s="57">
        <v>0.4163</v>
      </c>
      <c r="O346" t="s">
        <v>62</v>
      </c>
      <c r="P346" s="9">
        <v>46063</v>
      </c>
      <c r="Q346">
        <v>206.96</v>
      </c>
    </row>
    <row r="347" spans="1:17" x14ac:dyDescent="0.25">
      <c r="A347" s="10" t="s">
        <v>160</v>
      </c>
      <c r="B347" s="3" t="str">
        <f t="shared" si="19"/>
        <v>AMZN</v>
      </c>
      <c r="C347" s="3" t="str">
        <f t="shared" si="17"/>
        <v>260515</v>
      </c>
      <c r="D347" s="3" t="str">
        <f t="shared" si="18"/>
        <v>C00320000</v>
      </c>
      <c r="E347" s="42">
        <v>46297.622916666667</v>
      </c>
      <c r="F347" s="11">
        <v>320</v>
      </c>
      <c r="G347" s="41">
        <v>0.42</v>
      </c>
      <c r="H347" s="41">
        <v>0.37</v>
      </c>
      <c r="I347" s="41">
        <v>0.4</v>
      </c>
      <c r="J347" s="15">
        <v>-0.04</v>
      </c>
      <c r="K347" s="23">
        <v>-8.6999999999999994E-2</v>
      </c>
      <c r="L347" s="41">
        <v>98</v>
      </c>
      <c r="M347" s="58">
        <v>1247</v>
      </c>
      <c r="N347" s="57">
        <v>0.41820000000000002</v>
      </c>
      <c r="O347" t="s">
        <v>62</v>
      </c>
      <c r="P347" s="9">
        <v>46063</v>
      </c>
      <c r="Q347">
        <v>206.96</v>
      </c>
    </row>
    <row r="348" spans="1:17" x14ac:dyDescent="0.25">
      <c r="A348" s="10" t="s">
        <v>161</v>
      </c>
      <c r="B348" s="3" t="str">
        <f t="shared" si="19"/>
        <v>AMZN</v>
      </c>
      <c r="C348" s="3" t="str">
        <f t="shared" si="17"/>
        <v>260515</v>
      </c>
      <c r="D348" s="3" t="str">
        <f t="shared" si="18"/>
        <v>C00325000</v>
      </c>
      <c r="E348" s="42">
        <v>46297.635416666664</v>
      </c>
      <c r="F348" s="11">
        <v>325</v>
      </c>
      <c r="G348" s="41">
        <v>0.37</v>
      </c>
      <c r="H348" s="41">
        <v>0.32</v>
      </c>
      <c r="I348" s="41">
        <v>0.36</v>
      </c>
      <c r="J348" s="15">
        <v>-0.03</v>
      </c>
      <c r="K348" s="23">
        <v>-7.4999999999999997E-2</v>
      </c>
      <c r="L348" s="41">
        <v>11</v>
      </c>
      <c r="M348" s="58">
        <v>1344</v>
      </c>
      <c r="N348" s="57">
        <v>0.42359999999999998</v>
      </c>
      <c r="O348" t="s">
        <v>62</v>
      </c>
      <c r="P348" s="9">
        <v>46063</v>
      </c>
      <c r="Q348">
        <v>206.96</v>
      </c>
    </row>
    <row r="349" spans="1:17" x14ac:dyDescent="0.25">
      <c r="A349" s="10" t="s">
        <v>162</v>
      </c>
      <c r="B349" s="3" t="str">
        <f t="shared" si="19"/>
        <v>AMZN</v>
      </c>
      <c r="C349" s="3" t="str">
        <f t="shared" si="17"/>
        <v>260515</v>
      </c>
      <c r="D349" s="3" t="str">
        <f t="shared" si="18"/>
        <v>C00330000</v>
      </c>
      <c r="E349" s="42">
        <v>46297.492361111108</v>
      </c>
      <c r="F349" s="11">
        <v>330</v>
      </c>
      <c r="G349" s="41">
        <v>0.35</v>
      </c>
      <c r="H349" s="41">
        <v>0.28000000000000003</v>
      </c>
      <c r="I349" s="41">
        <v>0.33</v>
      </c>
      <c r="J349" s="15">
        <v>-0.02</v>
      </c>
      <c r="K349" s="23">
        <v>-5.4100000000000002E-2</v>
      </c>
      <c r="L349" s="41">
        <v>10</v>
      </c>
      <c r="M349" s="41">
        <v>586</v>
      </c>
      <c r="N349" s="57">
        <v>0.4299</v>
      </c>
      <c r="O349" t="s">
        <v>62</v>
      </c>
      <c r="P349" s="9">
        <v>46063</v>
      </c>
      <c r="Q349">
        <v>206.96</v>
      </c>
    </row>
    <row r="350" spans="1:17" x14ac:dyDescent="0.25">
      <c r="A350" s="10" t="s">
        <v>163</v>
      </c>
      <c r="B350" s="3" t="str">
        <f t="shared" si="19"/>
        <v>AMZN</v>
      </c>
      <c r="C350" s="3" t="str">
        <f t="shared" si="17"/>
        <v>260515</v>
      </c>
      <c r="D350" s="3" t="str">
        <f t="shared" si="18"/>
        <v>C00340000</v>
      </c>
      <c r="E350" s="42">
        <v>46297.583333333336</v>
      </c>
      <c r="F350" s="11">
        <v>340</v>
      </c>
      <c r="G350" s="41">
        <v>0.26</v>
      </c>
      <c r="H350" s="41">
        <v>0.22</v>
      </c>
      <c r="I350" s="41">
        <v>0.26</v>
      </c>
      <c r="J350" s="15">
        <v>-0.02</v>
      </c>
      <c r="K350" s="23">
        <v>-7.1400000000000005E-2</v>
      </c>
      <c r="L350" s="41">
        <v>6</v>
      </c>
      <c r="M350" s="41">
        <v>466</v>
      </c>
      <c r="N350" s="57">
        <v>0.438</v>
      </c>
      <c r="O350" t="s">
        <v>62</v>
      </c>
      <c r="P350" s="9">
        <v>46063</v>
      </c>
      <c r="Q350">
        <v>206.96</v>
      </c>
    </row>
    <row r="351" spans="1:17" x14ac:dyDescent="0.25">
      <c r="A351" s="10" t="s">
        <v>164</v>
      </c>
      <c r="B351" s="3" t="str">
        <f t="shared" si="19"/>
        <v>AMZN</v>
      </c>
      <c r="C351" s="3" t="str">
        <f t="shared" si="17"/>
        <v>260515</v>
      </c>
      <c r="D351" s="3" t="str">
        <f t="shared" si="18"/>
        <v>C00350000</v>
      </c>
      <c r="E351" s="42">
        <v>46297.63958333333</v>
      </c>
      <c r="F351" s="11">
        <v>350</v>
      </c>
      <c r="G351" s="41">
        <v>0.19</v>
      </c>
      <c r="H351" s="41">
        <v>0.17</v>
      </c>
      <c r="I351" s="41">
        <v>0.22</v>
      </c>
      <c r="J351" s="15">
        <v>-0.04</v>
      </c>
      <c r="K351" s="23">
        <v>-0.1739</v>
      </c>
      <c r="L351" s="41">
        <v>65</v>
      </c>
      <c r="M351" s="58">
        <v>1635</v>
      </c>
      <c r="N351" s="57">
        <v>0.44919999999999999</v>
      </c>
      <c r="O351" t="s">
        <v>62</v>
      </c>
      <c r="P351" s="9">
        <v>46063</v>
      </c>
      <c r="Q351">
        <v>206.96</v>
      </c>
    </row>
    <row r="352" spans="1:17" x14ac:dyDescent="0.25">
      <c r="A352" s="10" t="s">
        <v>165</v>
      </c>
      <c r="B352" s="3" t="str">
        <f t="shared" si="19"/>
        <v>AMZN</v>
      </c>
      <c r="C352" s="3" t="str">
        <f t="shared" si="17"/>
        <v>260515</v>
      </c>
      <c r="D352" s="3" t="str">
        <f t="shared" si="18"/>
        <v>C00360000</v>
      </c>
      <c r="E352" s="42">
        <v>46267.582638888889</v>
      </c>
      <c r="F352" s="11">
        <v>360</v>
      </c>
      <c r="G352" s="41">
        <v>0.18</v>
      </c>
      <c r="H352" s="41">
        <v>0.13</v>
      </c>
      <c r="I352" s="41">
        <v>0.17</v>
      </c>
      <c r="J352" s="15">
        <v>0</v>
      </c>
      <c r="K352" s="23">
        <v>0</v>
      </c>
      <c r="L352" s="41">
        <v>61</v>
      </c>
      <c r="M352" s="41">
        <v>206</v>
      </c>
      <c r="N352" s="57">
        <v>0.4541</v>
      </c>
      <c r="O352" t="s">
        <v>62</v>
      </c>
      <c r="P352" s="9">
        <v>46063</v>
      </c>
      <c r="Q352">
        <v>206.96</v>
      </c>
    </row>
    <row r="353" spans="1:17" x14ac:dyDescent="0.25">
      <c r="A353" s="10" t="s">
        <v>166</v>
      </c>
      <c r="B353" s="3" t="str">
        <f t="shared" si="19"/>
        <v>AMZN</v>
      </c>
      <c r="C353" s="3" t="str">
        <f t="shared" si="17"/>
        <v>260515</v>
      </c>
      <c r="D353" s="3" t="str">
        <f t="shared" si="18"/>
        <v>C00370000</v>
      </c>
      <c r="E353" s="42">
        <v>46297.493055555555</v>
      </c>
      <c r="F353" s="11">
        <v>370</v>
      </c>
      <c r="G353" s="41">
        <v>0.14000000000000001</v>
      </c>
      <c r="H353" s="41">
        <v>0.12</v>
      </c>
      <c r="I353" s="41">
        <v>0.2</v>
      </c>
      <c r="J353" s="15">
        <v>-0.01</v>
      </c>
      <c r="K353" s="23">
        <v>-6.6699999999999995E-2</v>
      </c>
      <c r="L353" s="41">
        <v>297</v>
      </c>
      <c r="M353" s="58">
        <v>1423</v>
      </c>
      <c r="N353" s="57">
        <v>0.4829</v>
      </c>
      <c r="O353" t="s">
        <v>62</v>
      </c>
      <c r="P353" s="9">
        <v>46063</v>
      </c>
      <c r="Q353">
        <v>206.96</v>
      </c>
    </row>
    <row r="354" spans="1:17" x14ac:dyDescent="0.25">
      <c r="A354" s="11" t="s">
        <v>167</v>
      </c>
      <c r="B354" s="3" t="str">
        <f t="shared" si="19"/>
        <v>AMZN</v>
      </c>
      <c r="C354" s="3" t="str">
        <f t="shared" si="17"/>
        <v>260515</v>
      </c>
      <c r="D354" s="3" t="str">
        <f t="shared" si="18"/>
        <v>P00105000</v>
      </c>
      <c r="E354" s="42">
        <v>46267.595138888886</v>
      </c>
      <c r="F354" s="11">
        <v>105</v>
      </c>
      <c r="G354" s="41">
        <v>0.16</v>
      </c>
      <c r="H354" s="41">
        <v>0.14000000000000001</v>
      </c>
      <c r="I354" s="41">
        <v>0.36</v>
      </c>
      <c r="J354" s="15">
        <v>0</v>
      </c>
      <c r="K354" s="23">
        <v>0</v>
      </c>
      <c r="L354" s="41">
        <v>36</v>
      </c>
      <c r="M354" s="58">
        <v>1149</v>
      </c>
      <c r="N354" s="57">
        <v>0.61870000000000003</v>
      </c>
      <c r="O354" t="s">
        <v>65</v>
      </c>
      <c r="P354" s="9">
        <v>46063</v>
      </c>
      <c r="Q354">
        <v>206.96</v>
      </c>
    </row>
    <row r="355" spans="1:17" x14ac:dyDescent="0.25">
      <c r="A355" s="11" t="s">
        <v>168</v>
      </c>
      <c r="B355" s="3" t="str">
        <f t="shared" si="19"/>
        <v>AMZN</v>
      </c>
      <c r="C355" s="3" t="str">
        <f t="shared" si="17"/>
        <v>260515</v>
      </c>
      <c r="D355" s="3" t="str">
        <f t="shared" si="18"/>
        <v>P00110000</v>
      </c>
      <c r="E355" s="42">
        <v>46267.541666666664</v>
      </c>
      <c r="F355" s="11">
        <v>110</v>
      </c>
      <c r="G355" s="41">
        <v>0.21</v>
      </c>
      <c r="H355" s="41">
        <v>0.19</v>
      </c>
      <c r="I355" s="41">
        <v>0.23</v>
      </c>
      <c r="J355" s="15">
        <v>0</v>
      </c>
      <c r="K355" s="23">
        <v>0</v>
      </c>
      <c r="L355" s="41">
        <v>14</v>
      </c>
      <c r="M355" s="41">
        <v>133</v>
      </c>
      <c r="N355" s="57">
        <v>0.56640000000000001</v>
      </c>
      <c r="O355" t="s">
        <v>65</v>
      </c>
      <c r="P355" s="9">
        <v>46063</v>
      </c>
      <c r="Q355">
        <v>206.96</v>
      </c>
    </row>
    <row r="356" spans="1:17" x14ac:dyDescent="0.25">
      <c r="A356" s="11" t="s">
        <v>169</v>
      </c>
      <c r="B356" s="3" t="str">
        <f t="shared" si="19"/>
        <v>AMZN</v>
      </c>
      <c r="C356" s="3" t="str">
        <f t="shared" si="17"/>
        <v>260515</v>
      </c>
      <c r="D356" s="3" t="str">
        <f t="shared" si="18"/>
        <v>P00115000</v>
      </c>
      <c r="E356" s="42">
        <v>46267.505555555559</v>
      </c>
      <c r="F356" s="11">
        <v>115</v>
      </c>
      <c r="G356" s="41">
        <v>0.25</v>
      </c>
      <c r="H356" s="41">
        <v>0.25</v>
      </c>
      <c r="I356" s="41">
        <v>0.28999999999999998</v>
      </c>
      <c r="J356" s="15">
        <v>0</v>
      </c>
      <c r="K356" s="23">
        <v>0</v>
      </c>
      <c r="L356" s="41">
        <v>55</v>
      </c>
      <c r="M356" s="41">
        <v>167</v>
      </c>
      <c r="N356" s="57">
        <v>0.54930000000000001</v>
      </c>
      <c r="O356" t="s">
        <v>65</v>
      </c>
      <c r="P356" s="9">
        <v>46063</v>
      </c>
      <c r="Q356">
        <v>206.96</v>
      </c>
    </row>
    <row r="357" spans="1:17" x14ac:dyDescent="0.25">
      <c r="A357" s="11" t="s">
        <v>170</v>
      </c>
      <c r="B357" s="3" t="str">
        <f t="shared" si="19"/>
        <v>AMZN</v>
      </c>
      <c r="C357" s="3" t="str">
        <f t="shared" si="17"/>
        <v>260515</v>
      </c>
      <c r="D357" s="3" t="str">
        <f t="shared" si="18"/>
        <v>P00120000</v>
      </c>
      <c r="E357" s="42">
        <v>46267.460416666669</v>
      </c>
      <c r="F357" s="11">
        <v>120</v>
      </c>
      <c r="G357" s="41">
        <v>0.37</v>
      </c>
      <c r="H357" s="41">
        <v>0.33</v>
      </c>
      <c r="I357" s="41">
        <v>0.4</v>
      </c>
      <c r="J357" s="15">
        <v>0</v>
      </c>
      <c r="K357" s="23">
        <v>0</v>
      </c>
      <c r="L357" s="41">
        <v>4</v>
      </c>
      <c r="M357" s="41">
        <v>201</v>
      </c>
      <c r="N357" s="57">
        <v>0.53759999999999997</v>
      </c>
      <c r="O357" t="s">
        <v>65</v>
      </c>
      <c r="P357" s="9">
        <v>46063</v>
      </c>
      <c r="Q357">
        <v>206.96</v>
      </c>
    </row>
    <row r="358" spans="1:17" x14ac:dyDescent="0.25">
      <c r="A358" s="11" t="s">
        <v>171</v>
      </c>
      <c r="B358" s="3" t="str">
        <f t="shared" si="19"/>
        <v>AMZN</v>
      </c>
      <c r="C358" s="3" t="str">
        <f t="shared" si="17"/>
        <v>260515</v>
      </c>
      <c r="D358" s="3" t="str">
        <f t="shared" si="18"/>
        <v>P00125000</v>
      </c>
      <c r="E358" s="42">
        <v>46267.478472222225</v>
      </c>
      <c r="F358" s="11">
        <v>125</v>
      </c>
      <c r="G358" s="41">
        <v>0.45</v>
      </c>
      <c r="H358" s="41">
        <v>0.43</v>
      </c>
      <c r="I358" s="41">
        <v>0.46</v>
      </c>
      <c r="J358" s="15">
        <v>0</v>
      </c>
      <c r="K358" s="23">
        <v>0</v>
      </c>
      <c r="L358" s="41">
        <v>6</v>
      </c>
      <c r="M358" s="41">
        <v>156</v>
      </c>
      <c r="N358" s="57">
        <v>0.51859999999999995</v>
      </c>
      <c r="O358" t="s">
        <v>65</v>
      </c>
      <c r="P358" s="9">
        <v>46063</v>
      </c>
      <c r="Q358">
        <v>206.96</v>
      </c>
    </row>
    <row r="359" spans="1:17" x14ac:dyDescent="0.25">
      <c r="A359" s="11" t="s">
        <v>172</v>
      </c>
      <c r="B359" s="3" t="str">
        <f t="shared" si="19"/>
        <v>AMZN</v>
      </c>
      <c r="C359" s="3" t="str">
        <f t="shared" si="17"/>
        <v>260515</v>
      </c>
      <c r="D359" s="3" t="str">
        <f t="shared" si="18"/>
        <v>P00130000</v>
      </c>
      <c r="E359" s="42">
        <v>46297.586111111108</v>
      </c>
      <c r="F359" s="11">
        <v>130</v>
      </c>
      <c r="G359" s="41">
        <v>0.55000000000000004</v>
      </c>
      <c r="H359" s="41">
        <v>0.55000000000000004</v>
      </c>
      <c r="I359" s="41">
        <v>0.57999999999999996</v>
      </c>
      <c r="J359" s="15">
        <v>-0.02</v>
      </c>
      <c r="K359" s="23">
        <v>-3.5099999999999999E-2</v>
      </c>
      <c r="L359" s="41">
        <v>21</v>
      </c>
      <c r="M359" s="41">
        <v>323</v>
      </c>
      <c r="N359" s="57">
        <v>0.50339999999999996</v>
      </c>
      <c r="O359" t="s">
        <v>65</v>
      </c>
      <c r="P359" s="9">
        <v>46063</v>
      </c>
      <c r="Q359">
        <v>206.96</v>
      </c>
    </row>
    <row r="360" spans="1:17" x14ac:dyDescent="0.25">
      <c r="A360" s="11" t="s">
        <v>173</v>
      </c>
      <c r="B360" s="3" t="str">
        <f t="shared" si="19"/>
        <v>AMZN</v>
      </c>
      <c r="C360" s="3" t="str">
        <f t="shared" si="17"/>
        <v>260515</v>
      </c>
      <c r="D360" s="3" t="str">
        <f t="shared" si="18"/>
        <v>P00135000</v>
      </c>
      <c r="E360" s="42">
        <v>46297.652083333334</v>
      </c>
      <c r="F360" s="11">
        <v>135</v>
      </c>
      <c r="G360" s="41">
        <v>0.67</v>
      </c>
      <c r="H360" s="41">
        <v>0.69</v>
      </c>
      <c r="I360" s="41">
        <v>0.72</v>
      </c>
      <c r="J360" s="15">
        <v>-0.06</v>
      </c>
      <c r="K360" s="23">
        <v>-8.2199999999999995E-2</v>
      </c>
      <c r="L360" s="41">
        <v>10</v>
      </c>
      <c r="M360" s="58">
        <v>1065</v>
      </c>
      <c r="N360" s="57">
        <v>0.48980000000000001</v>
      </c>
      <c r="O360" t="s">
        <v>65</v>
      </c>
      <c r="P360" s="9">
        <v>46063</v>
      </c>
      <c r="Q360">
        <v>206.96</v>
      </c>
    </row>
    <row r="361" spans="1:17" x14ac:dyDescent="0.25">
      <c r="A361" s="11" t="s">
        <v>174</v>
      </c>
      <c r="B361" s="3" t="str">
        <f t="shared" si="19"/>
        <v>AMZN</v>
      </c>
      <c r="C361" s="3" t="str">
        <f t="shared" si="17"/>
        <v>260515</v>
      </c>
      <c r="D361" s="3" t="str">
        <f t="shared" si="18"/>
        <v>P00140000</v>
      </c>
      <c r="E361" s="42">
        <v>46267.656944444447</v>
      </c>
      <c r="F361" s="11">
        <v>140</v>
      </c>
      <c r="G361" s="41">
        <v>0.86</v>
      </c>
      <c r="H361" s="41">
        <v>0.86</v>
      </c>
      <c r="I361" s="41">
        <v>0.89</v>
      </c>
      <c r="J361" s="15">
        <v>0</v>
      </c>
      <c r="K361" s="23">
        <v>0</v>
      </c>
      <c r="L361" s="41">
        <v>10</v>
      </c>
      <c r="M361" s="41">
        <v>367</v>
      </c>
      <c r="N361" s="57">
        <v>0.47389999999999999</v>
      </c>
      <c r="O361" t="s">
        <v>65</v>
      </c>
      <c r="P361" s="9">
        <v>46063</v>
      </c>
      <c r="Q361">
        <v>206.96</v>
      </c>
    </row>
    <row r="362" spans="1:17" x14ac:dyDescent="0.25">
      <c r="A362" s="11" t="s">
        <v>175</v>
      </c>
      <c r="B362" s="3" t="str">
        <f t="shared" si="19"/>
        <v>AMZN</v>
      </c>
      <c r="C362" s="3" t="str">
        <f t="shared" si="17"/>
        <v>260515</v>
      </c>
      <c r="D362" s="3" t="str">
        <f t="shared" si="18"/>
        <v>P00145000</v>
      </c>
      <c r="E362" s="42">
        <v>46297.618750000001</v>
      </c>
      <c r="F362" s="11">
        <v>145</v>
      </c>
      <c r="G362" s="41">
        <v>1.04</v>
      </c>
      <c r="H362" s="41">
        <v>1.06</v>
      </c>
      <c r="I362" s="41">
        <v>1.1000000000000001</v>
      </c>
      <c r="J362" s="15">
        <v>-0.05</v>
      </c>
      <c r="K362" s="23">
        <v>-4.5900000000000003E-2</v>
      </c>
      <c r="L362" s="41">
        <v>34</v>
      </c>
      <c r="M362" s="41">
        <v>940</v>
      </c>
      <c r="N362" s="57">
        <v>0.45850000000000002</v>
      </c>
      <c r="O362" t="s">
        <v>65</v>
      </c>
      <c r="P362" s="9">
        <v>46063</v>
      </c>
      <c r="Q362">
        <v>206.96</v>
      </c>
    </row>
    <row r="363" spans="1:17" x14ac:dyDescent="0.25">
      <c r="A363" s="11" t="s">
        <v>176</v>
      </c>
      <c r="B363" s="3" t="str">
        <f t="shared" si="19"/>
        <v>AMZN</v>
      </c>
      <c r="C363" s="3" t="str">
        <f t="shared" si="17"/>
        <v>260515</v>
      </c>
      <c r="D363" s="3" t="str">
        <f t="shared" si="18"/>
        <v>P00150000</v>
      </c>
      <c r="E363" s="42">
        <v>46297.581944444442</v>
      </c>
      <c r="F363" s="11">
        <v>150</v>
      </c>
      <c r="G363" s="41">
        <v>1.33</v>
      </c>
      <c r="H363" s="41">
        <v>1.33</v>
      </c>
      <c r="I363" s="41">
        <v>1.37</v>
      </c>
      <c r="J363" s="15">
        <v>-0.05</v>
      </c>
      <c r="K363" s="23">
        <v>-3.6200000000000003E-2</v>
      </c>
      <c r="L363" s="41">
        <v>5</v>
      </c>
      <c r="M363" s="58">
        <v>1201</v>
      </c>
      <c r="N363" s="57">
        <v>0.44479999999999997</v>
      </c>
      <c r="O363" t="s">
        <v>65</v>
      </c>
      <c r="P363" s="9">
        <v>46063</v>
      </c>
      <c r="Q363">
        <v>206.96</v>
      </c>
    </row>
    <row r="364" spans="1:17" x14ac:dyDescent="0.25">
      <c r="A364" s="11" t="s">
        <v>177</v>
      </c>
      <c r="B364" s="3" t="str">
        <f t="shared" si="19"/>
        <v>AMZN</v>
      </c>
      <c r="C364" s="3" t="str">
        <f t="shared" si="17"/>
        <v>260515</v>
      </c>
      <c r="D364" s="3" t="str">
        <f t="shared" si="18"/>
        <v>P00155000</v>
      </c>
      <c r="E364" s="42">
        <v>46297.529861111114</v>
      </c>
      <c r="F364" s="11">
        <v>155</v>
      </c>
      <c r="G364" s="41">
        <v>1.58</v>
      </c>
      <c r="H364" s="41">
        <v>1.66</v>
      </c>
      <c r="I364" s="41">
        <v>1.7</v>
      </c>
      <c r="J364" s="15">
        <v>-0.09</v>
      </c>
      <c r="K364" s="23">
        <v>-5.3900000000000003E-2</v>
      </c>
      <c r="L364" s="41">
        <v>28</v>
      </c>
      <c r="M364" s="58">
        <v>1526</v>
      </c>
      <c r="N364" s="57">
        <v>0.43130000000000002</v>
      </c>
      <c r="O364" t="s">
        <v>65</v>
      </c>
      <c r="P364" s="9">
        <v>46063</v>
      </c>
      <c r="Q364">
        <v>206.96</v>
      </c>
    </row>
    <row r="365" spans="1:17" x14ac:dyDescent="0.25">
      <c r="A365" s="11" t="s">
        <v>178</v>
      </c>
      <c r="B365" s="3" t="str">
        <f t="shared" si="19"/>
        <v>AMZN</v>
      </c>
      <c r="C365" s="3" t="str">
        <f t="shared" si="17"/>
        <v>260515</v>
      </c>
      <c r="D365" s="3" t="str">
        <f t="shared" si="18"/>
        <v>P00160000</v>
      </c>
      <c r="E365" s="42">
        <v>46297.664583333331</v>
      </c>
      <c r="F365" s="11">
        <v>160</v>
      </c>
      <c r="G365" s="41">
        <v>2.0699999999999998</v>
      </c>
      <c r="H365" s="41">
        <v>2.0699999999999998</v>
      </c>
      <c r="I365" s="41">
        <v>2.11</v>
      </c>
      <c r="J365" s="15">
        <v>0.03</v>
      </c>
      <c r="K365" s="23">
        <v>1.47E-2</v>
      </c>
      <c r="L365" s="41">
        <v>69</v>
      </c>
      <c r="M365" s="58">
        <v>2767</v>
      </c>
      <c r="N365" s="57">
        <v>0.41860000000000003</v>
      </c>
      <c r="O365" t="s">
        <v>65</v>
      </c>
      <c r="P365" s="9">
        <v>46063</v>
      </c>
      <c r="Q365">
        <v>206.96</v>
      </c>
    </row>
    <row r="366" spans="1:17" x14ac:dyDescent="0.25">
      <c r="A366" s="11" t="s">
        <v>179</v>
      </c>
      <c r="B366" s="3" t="str">
        <f t="shared" si="19"/>
        <v>AMZN</v>
      </c>
      <c r="C366" s="3" t="str">
        <f t="shared" si="17"/>
        <v>260515</v>
      </c>
      <c r="D366" s="3" t="str">
        <f t="shared" si="18"/>
        <v>P00165000</v>
      </c>
      <c r="E366" s="42">
        <v>46297.652083333334</v>
      </c>
      <c r="F366" s="11">
        <v>165</v>
      </c>
      <c r="G366" s="41">
        <v>2.5299999999999998</v>
      </c>
      <c r="H366" s="41">
        <v>2.58</v>
      </c>
      <c r="I366" s="41">
        <v>2.63</v>
      </c>
      <c r="J366" s="15">
        <v>-0.01</v>
      </c>
      <c r="K366" s="23">
        <v>-3.8999999999999998E-3</v>
      </c>
      <c r="L366" s="41">
        <v>16</v>
      </c>
      <c r="M366" s="58">
        <v>1261</v>
      </c>
      <c r="N366" s="57">
        <v>0.40720000000000001</v>
      </c>
      <c r="O366" t="s">
        <v>65</v>
      </c>
      <c r="P366" s="9">
        <v>46063</v>
      </c>
      <c r="Q366">
        <v>206.96</v>
      </c>
    </row>
    <row r="367" spans="1:17" x14ac:dyDescent="0.25">
      <c r="A367" s="11" t="s">
        <v>180</v>
      </c>
      <c r="B367" s="3" t="str">
        <f t="shared" si="19"/>
        <v>AMZN</v>
      </c>
      <c r="C367" s="3" t="str">
        <f t="shared" si="17"/>
        <v>260515</v>
      </c>
      <c r="D367" s="3" t="str">
        <f t="shared" si="18"/>
        <v>P00170000</v>
      </c>
      <c r="E367" s="42">
        <v>46297.665972222225</v>
      </c>
      <c r="F367" s="11">
        <v>170</v>
      </c>
      <c r="G367" s="41">
        <v>3.22</v>
      </c>
      <c r="H367" s="41">
        <v>3.2</v>
      </c>
      <c r="I367" s="41">
        <v>3.25</v>
      </c>
      <c r="J367" s="15">
        <v>0</v>
      </c>
      <c r="K367" s="23">
        <v>0</v>
      </c>
      <c r="L367" s="41">
        <v>108</v>
      </c>
      <c r="M367" s="58">
        <v>3998</v>
      </c>
      <c r="N367" s="57">
        <v>0.3957</v>
      </c>
      <c r="O367" t="s">
        <v>65</v>
      </c>
      <c r="P367" s="9">
        <v>46063</v>
      </c>
      <c r="Q367">
        <v>206.96</v>
      </c>
    </row>
    <row r="368" spans="1:17" x14ac:dyDescent="0.25">
      <c r="A368" s="11" t="s">
        <v>181</v>
      </c>
      <c r="B368" s="3" t="str">
        <f t="shared" si="19"/>
        <v>AMZN</v>
      </c>
      <c r="C368" s="3" t="str">
        <f t="shared" si="17"/>
        <v>260515</v>
      </c>
      <c r="D368" s="3" t="str">
        <f t="shared" si="18"/>
        <v>P00175000</v>
      </c>
      <c r="E368" s="42">
        <v>46297.62777777778</v>
      </c>
      <c r="F368" s="11">
        <v>175</v>
      </c>
      <c r="G368" s="41">
        <v>3.9</v>
      </c>
      <c r="H368" s="41">
        <v>3.95</v>
      </c>
      <c r="I368" s="41">
        <v>4.0999999999999996</v>
      </c>
      <c r="J368" s="15">
        <v>-0.05</v>
      </c>
      <c r="K368" s="23">
        <v>-1.2699999999999999E-2</v>
      </c>
      <c r="L368" s="41">
        <v>119</v>
      </c>
      <c r="M368" s="58">
        <v>2155</v>
      </c>
      <c r="N368" s="57">
        <v>0.38829999999999998</v>
      </c>
      <c r="O368" t="s">
        <v>65</v>
      </c>
      <c r="P368" s="9">
        <v>46063</v>
      </c>
      <c r="Q368">
        <v>206.96</v>
      </c>
    </row>
    <row r="369" spans="1:17" x14ac:dyDescent="0.25">
      <c r="A369" s="11" t="s">
        <v>182</v>
      </c>
      <c r="B369" s="3" t="str">
        <f t="shared" si="19"/>
        <v>AMZN</v>
      </c>
      <c r="C369" s="3" t="str">
        <f t="shared" si="17"/>
        <v>260515</v>
      </c>
      <c r="D369" s="3" t="str">
        <f t="shared" si="18"/>
        <v>P00180000</v>
      </c>
      <c r="E369" s="42">
        <v>46297.661805555559</v>
      </c>
      <c r="F369" s="11">
        <v>180</v>
      </c>
      <c r="G369" s="41">
        <v>4.95</v>
      </c>
      <c r="H369" s="41">
        <v>4.95</v>
      </c>
      <c r="I369" s="41">
        <v>5.05</v>
      </c>
      <c r="J369" s="15">
        <v>0.05</v>
      </c>
      <c r="K369" s="23">
        <v>1.0200000000000001E-2</v>
      </c>
      <c r="L369" s="41">
        <v>67</v>
      </c>
      <c r="M369" s="58">
        <v>7604</v>
      </c>
      <c r="N369" s="57">
        <v>0.3785</v>
      </c>
      <c r="O369" t="s">
        <v>65</v>
      </c>
      <c r="P369" s="9">
        <v>46063</v>
      </c>
      <c r="Q369">
        <v>206.96</v>
      </c>
    </row>
    <row r="370" spans="1:17" x14ac:dyDescent="0.25">
      <c r="A370" s="11" t="s">
        <v>183</v>
      </c>
      <c r="B370" s="3" t="str">
        <f t="shared" si="19"/>
        <v>AMZN</v>
      </c>
      <c r="C370" s="3" t="str">
        <f t="shared" si="17"/>
        <v>260515</v>
      </c>
      <c r="D370" s="3" t="str">
        <f t="shared" si="18"/>
        <v>P00185000</v>
      </c>
      <c r="E370" s="42">
        <v>46297.65625</v>
      </c>
      <c r="F370" s="11">
        <v>185</v>
      </c>
      <c r="G370" s="41">
        <v>6.1</v>
      </c>
      <c r="H370" s="41">
        <v>6.1</v>
      </c>
      <c r="I370" s="41">
        <v>6.2</v>
      </c>
      <c r="J370" s="15">
        <v>0.1</v>
      </c>
      <c r="K370" s="23">
        <v>1.67E-2</v>
      </c>
      <c r="L370" s="41">
        <v>369</v>
      </c>
      <c r="M370" s="58">
        <v>9370</v>
      </c>
      <c r="N370" s="57">
        <v>0.36980000000000002</v>
      </c>
      <c r="O370" t="s">
        <v>65</v>
      </c>
      <c r="P370" s="9">
        <v>46063</v>
      </c>
      <c r="Q370">
        <v>206.96</v>
      </c>
    </row>
    <row r="371" spans="1:17" x14ac:dyDescent="0.25">
      <c r="A371" s="11" t="s">
        <v>184</v>
      </c>
      <c r="B371" s="3" t="str">
        <f t="shared" si="19"/>
        <v>AMZN</v>
      </c>
      <c r="C371" s="3" t="str">
        <f t="shared" si="17"/>
        <v>260515</v>
      </c>
      <c r="D371" s="3" t="str">
        <f t="shared" si="18"/>
        <v>P00190000</v>
      </c>
      <c r="E371" s="42">
        <v>46297.665972222225</v>
      </c>
      <c r="F371" s="11">
        <v>190</v>
      </c>
      <c r="G371" s="41">
        <v>7.5</v>
      </c>
      <c r="H371" s="41">
        <v>7.45</v>
      </c>
      <c r="I371" s="41">
        <v>7.6</v>
      </c>
      <c r="J371" s="15">
        <v>0.27</v>
      </c>
      <c r="K371" s="23">
        <v>3.73E-2</v>
      </c>
      <c r="L371" s="58">
        <v>2430</v>
      </c>
      <c r="M371" s="58">
        <v>5534</v>
      </c>
      <c r="N371" s="57">
        <v>0.3624</v>
      </c>
      <c r="O371" t="s">
        <v>65</v>
      </c>
      <c r="P371" s="9">
        <v>46063</v>
      </c>
      <c r="Q371">
        <v>206.96</v>
      </c>
    </row>
    <row r="372" spans="1:17" x14ac:dyDescent="0.25">
      <c r="A372" s="11" t="s">
        <v>185</v>
      </c>
      <c r="B372" s="3" t="str">
        <f t="shared" si="19"/>
        <v>AMZN</v>
      </c>
      <c r="C372" s="3" t="str">
        <f t="shared" ref="C372:C435" si="20">+MID(A372,5,6)</f>
        <v>260515</v>
      </c>
      <c r="D372" s="3" t="str">
        <f t="shared" ref="D372:D435" si="21">+MID(A372,11,10)</f>
        <v>P00195000</v>
      </c>
      <c r="E372" s="42">
        <v>46297.665972222225</v>
      </c>
      <c r="F372" s="11">
        <v>195</v>
      </c>
      <c r="G372" s="41">
        <v>9.15</v>
      </c>
      <c r="H372" s="41">
        <v>9.1</v>
      </c>
      <c r="I372" s="41">
        <v>9.1999999999999993</v>
      </c>
      <c r="J372" s="15">
        <v>0.42</v>
      </c>
      <c r="K372" s="23">
        <v>4.8099999999999997E-2</v>
      </c>
      <c r="L372" s="58">
        <v>1497</v>
      </c>
      <c r="M372" s="58">
        <v>11278</v>
      </c>
      <c r="N372" s="57">
        <v>0.35439999999999999</v>
      </c>
      <c r="O372" t="s">
        <v>65</v>
      </c>
      <c r="P372" s="9">
        <v>46063</v>
      </c>
      <c r="Q372">
        <v>206.96</v>
      </c>
    </row>
    <row r="373" spans="1:17" x14ac:dyDescent="0.25">
      <c r="A373" s="11" t="s">
        <v>186</v>
      </c>
      <c r="B373" s="3" t="str">
        <f t="shared" si="19"/>
        <v>AMZN</v>
      </c>
      <c r="C373" s="3" t="str">
        <f t="shared" si="20"/>
        <v>260515</v>
      </c>
      <c r="D373" s="3" t="str">
        <f t="shared" si="21"/>
        <v>P00200000</v>
      </c>
      <c r="E373" s="42">
        <v>46297.665277777778</v>
      </c>
      <c r="F373" s="11">
        <v>200</v>
      </c>
      <c r="G373" s="41">
        <v>11</v>
      </c>
      <c r="H373" s="41">
        <v>10.95</v>
      </c>
      <c r="I373" s="41">
        <v>11.1</v>
      </c>
      <c r="J373" s="15">
        <v>0.35</v>
      </c>
      <c r="K373" s="23">
        <v>3.2899999999999999E-2</v>
      </c>
      <c r="L373" s="58">
        <v>2132</v>
      </c>
      <c r="M373" s="58">
        <v>8641</v>
      </c>
      <c r="N373" s="57">
        <v>0.34799999999999998</v>
      </c>
      <c r="O373" t="s">
        <v>65</v>
      </c>
      <c r="P373" s="9">
        <v>46063</v>
      </c>
      <c r="Q373">
        <v>206.96</v>
      </c>
    </row>
    <row r="374" spans="1:17" x14ac:dyDescent="0.25">
      <c r="A374" s="11" t="s">
        <v>187</v>
      </c>
      <c r="B374" s="3" t="str">
        <f t="shared" si="19"/>
        <v>AMZN</v>
      </c>
      <c r="C374" s="3" t="str">
        <f t="shared" si="20"/>
        <v>260515</v>
      </c>
      <c r="D374" s="3" t="str">
        <f t="shared" si="21"/>
        <v>P00205000</v>
      </c>
      <c r="E374" s="42">
        <v>46297.661111111112</v>
      </c>
      <c r="F374" s="11">
        <v>205</v>
      </c>
      <c r="G374" s="41">
        <v>13.07</v>
      </c>
      <c r="H374" s="41">
        <v>13.15</v>
      </c>
      <c r="I374" s="41">
        <v>13.3</v>
      </c>
      <c r="J374" s="15">
        <v>0.41</v>
      </c>
      <c r="K374" s="23">
        <v>3.2399999999999998E-2</v>
      </c>
      <c r="L374" s="58">
        <v>4196</v>
      </c>
      <c r="M374" s="58">
        <v>6032</v>
      </c>
      <c r="N374" s="57">
        <v>0.34239999999999998</v>
      </c>
      <c r="O374" t="s">
        <v>65</v>
      </c>
      <c r="P374" s="9">
        <v>46063</v>
      </c>
      <c r="Q374">
        <v>206.96</v>
      </c>
    </row>
    <row r="375" spans="1:17" x14ac:dyDescent="0.25">
      <c r="A375" s="11" t="s">
        <v>188</v>
      </c>
      <c r="B375" s="3" t="str">
        <f t="shared" si="19"/>
        <v>AMZN</v>
      </c>
      <c r="C375" s="3" t="str">
        <f t="shared" si="20"/>
        <v>260515</v>
      </c>
      <c r="D375" s="3" t="str">
        <f t="shared" si="21"/>
        <v>P00210000</v>
      </c>
      <c r="E375" s="42">
        <v>46297.665972222225</v>
      </c>
      <c r="F375" s="11">
        <v>210</v>
      </c>
      <c r="G375" s="41">
        <v>15.7</v>
      </c>
      <c r="H375" s="41">
        <v>15.6</v>
      </c>
      <c r="I375" s="41">
        <v>15.75</v>
      </c>
      <c r="J375" s="15">
        <v>0.7</v>
      </c>
      <c r="K375" s="23">
        <v>4.6699999999999998E-2</v>
      </c>
      <c r="L375" s="41">
        <v>722</v>
      </c>
      <c r="M375" s="58">
        <v>6151</v>
      </c>
      <c r="N375" s="57">
        <v>0.33639999999999998</v>
      </c>
      <c r="O375" t="s">
        <v>65</v>
      </c>
      <c r="P375" s="9">
        <v>46063</v>
      </c>
      <c r="Q375">
        <v>206.96</v>
      </c>
    </row>
    <row r="376" spans="1:17" x14ac:dyDescent="0.25">
      <c r="A376" s="11" t="s">
        <v>189</v>
      </c>
      <c r="B376" s="3" t="str">
        <f t="shared" si="19"/>
        <v>AMZN</v>
      </c>
      <c r="C376" s="3" t="str">
        <f t="shared" si="20"/>
        <v>260515</v>
      </c>
      <c r="D376" s="3" t="str">
        <f t="shared" si="21"/>
        <v>P00215000</v>
      </c>
      <c r="E376" s="42">
        <v>46297.647222222222</v>
      </c>
      <c r="F376" s="11">
        <v>215</v>
      </c>
      <c r="G376" s="41">
        <v>17.850000000000001</v>
      </c>
      <c r="H376" s="41">
        <v>18.3</v>
      </c>
      <c r="I376" s="41">
        <v>18.5</v>
      </c>
      <c r="J376" s="15">
        <v>0.4</v>
      </c>
      <c r="K376" s="23">
        <v>2.29E-2</v>
      </c>
      <c r="L376" s="41">
        <v>124</v>
      </c>
      <c r="M376" s="58">
        <v>3244</v>
      </c>
      <c r="N376" s="57">
        <v>0.33100000000000002</v>
      </c>
      <c r="O376" t="s">
        <v>65</v>
      </c>
      <c r="P376" s="9">
        <v>46063</v>
      </c>
      <c r="Q376">
        <v>206.96</v>
      </c>
    </row>
    <row r="377" spans="1:17" x14ac:dyDescent="0.25">
      <c r="A377" s="11" t="s">
        <v>190</v>
      </c>
      <c r="B377" s="3" t="str">
        <f t="shared" si="19"/>
        <v>AMZN</v>
      </c>
      <c r="C377" s="3" t="str">
        <f t="shared" si="20"/>
        <v>260515</v>
      </c>
      <c r="D377" s="3" t="str">
        <f t="shared" si="21"/>
        <v>P00220000</v>
      </c>
      <c r="E377" s="42">
        <v>46297.65347222222</v>
      </c>
      <c r="F377" s="11">
        <v>220</v>
      </c>
      <c r="G377" s="41">
        <v>21.32</v>
      </c>
      <c r="H377" s="41">
        <v>21.3</v>
      </c>
      <c r="I377" s="41">
        <v>21.6</v>
      </c>
      <c r="J377" s="15">
        <v>0.77</v>
      </c>
      <c r="K377" s="23">
        <v>3.7499999999999999E-2</v>
      </c>
      <c r="L377" s="41">
        <v>116</v>
      </c>
      <c r="M377" s="58">
        <v>7425</v>
      </c>
      <c r="N377" s="57">
        <v>0.3276</v>
      </c>
      <c r="O377" t="s">
        <v>65</v>
      </c>
      <c r="P377" s="9">
        <v>46063</v>
      </c>
      <c r="Q377">
        <v>206.96</v>
      </c>
    </row>
    <row r="378" spans="1:17" x14ac:dyDescent="0.25">
      <c r="A378" s="11" t="s">
        <v>191</v>
      </c>
      <c r="B378" s="3" t="str">
        <f t="shared" si="19"/>
        <v>AMZN</v>
      </c>
      <c r="C378" s="3" t="str">
        <f t="shared" si="20"/>
        <v>260515</v>
      </c>
      <c r="D378" s="3" t="str">
        <f t="shared" si="21"/>
        <v>P00225000</v>
      </c>
      <c r="E378" s="42">
        <v>46297.615277777775</v>
      </c>
      <c r="F378" s="11">
        <v>225</v>
      </c>
      <c r="G378" s="41">
        <v>24.3</v>
      </c>
      <c r="H378" s="41">
        <v>24.2</v>
      </c>
      <c r="I378" s="41">
        <v>25.15</v>
      </c>
      <c r="J378" s="15">
        <v>0.75</v>
      </c>
      <c r="K378" s="23">
        <v>3.1800000000000002E-2</v>
      </c>
      <c r="L378" s="41">
        <v>153</v>
      </c>
      <c r="M378" s="58">
        <v>4406</v>
      </c>
      <c r="N378" s="57">
        <v>0.32919999999999999</v>
      </c>
      <c r="O378" t="s">
        <v>65</v>
      </c>
      <c r="P378" s="9">
        <v>46063</v>
      </c>
      <c r="Q378">
        <v>206.96</v>
      </c>
    </row>
    <row r="379" spans="1:17" x14ac:dyDescent="0.25">
      <c r="A379" s="11" t="s">
        <v>192</v>
      </c>
      <c r="B379" s="3" t="str">
        <f t="shared" si="19"/>
        <v>AMZN</v>
      </c>
      <c r="C379" s="3" t="str">
        <f t="shared" si="20"/>
        <v>260515</v>
      </c>
      <c r="D379" s="3" t="str">
        <f t="shared" si="21"/>
        <v>P00230000</v>
      </c>
      <c r="E379" s="42">
        <v>46297.654166666667</v>
      </c>
      <c r="F379" s="11">
        <v>230</v>
      </c>
      <c r="G379" s="41">
        <v>28.1</v>
      </c>
      <c r="H379" s="41">
        <v>27.55</v>
      </c>
      <c r="I379" s="41">
        <v>28.65</v>
      </c>
      <c r="J379" s="15">
        <v>1.18</v>
      </c>
      <c r="K379" s="23">
        <v>4.3799999999999999E-2</v>
      </c>
      <c r="L379" s="41">
        <v>25</v>
      </c>
      <c r="M379" s="58">
        <v>3304</v>
      </c>
      <c r="N379" s="57">
        <v>0.32340000000000002</v>
      </c>
      <c r="O379" t="s">
        <v>65</v>
      </c>
      <c r="P379" s="9">
        <v>46063</v>
      </c>
      <c r="Q379">
        <v>206.96</v>
      </c>
    </row>
    <row r="380" spans="1:17" x14ac:dyDescent="0.25">
      <c r="A380" s="11" t="s">
        <v>193</v>
      </c>
      <c r="B380" s="3" t="str">
        <f t="shared" si="19"/>
        <v>AMZN</v>
      </c>
      <c r="C380" s="3" t="str">
        <f t="shared" si="20"/>
        <v>260515</v>
      </c>
      <c r="D380" s="3" t="str">
        <f t="shared" si="21"/>
        <v>P00235000</v>
      </c>
      <c r="E380" s="42">
        <v>46297.606249999997</v>
      </c>
      <c r="F380" s="11">
        <v>235</v>
      </c>
      <c r="G380" s="41">
        <v>31.2</v>
      </c>
      <c r="H380" s="41">
        <v>31.6</v>
      </c>
      <c r="I380" s="41">
        <v>32.35</v>
      </c>
      <c r="J380" s="15">
        <v>0.56000000000000005</v>
      </c>
      <c r="K380" s="23">
        <v>1.83E-2</v>
      </c>
      <c r="L380" s="41">
        <v>75</v>
      </c>
      <c r="M380" s="58">
        <v>4776</v>
      </c>
      <c r="N380" s="57">
        <v>0.31640000000000001</v>
      </c>
      <c r="O380" t="s">
        <v>65</v>
      </c>
      <c r="P380" s="9">
        <v>46063</v>
      </c>
      <c r="Q380">
        <v>206.96</v>
      </c>
    </row>
    <row r="381" spans="1:17" x14ac:dyDescent="0.25">
      <c r="A381" s="11" t="s">
        <v>194</v>
      </c>
      <c r="B381" s="3" t="str">
        <f t="shared" si="19"/>
        <v>AMZN</v>
      </c>
      <c r="C381" s="3" t="str">
        <f t="shared" si="20"/>
        <v>260515</v>
      </c>
      <c r="D381" s="3" t="str">
        <f t="shared" si="21"/>
        <v>P00240000</v>
      </c>
      <c r="E381" s="42">
        <v>46297.418055555558</v>
      </c>
      <c r="F381" s="11">
        <v>240</v>
      </c>
      <c r="G381" s="41">
        <v>32.5</v>
      </c>
      <c r="H381" s="41">
        <v>35.35</v>
      </c>
      <c r="I381" s="41">
        <v>36.549999999999997</v>
      </c>
      <c r="J381" s="15">
        <v>-1.99</v>
      </c>
      <c r="K381" s="23">
        <v>-5.7700000000000001E-2</v>
      </c>
      <c r="L381" s="41">
        <v>15</v>
      </c>
      <c r="M381" s="58">
        <v>2062</v>
      </c>
      <c r="N381" s="57">
        <v>0.31890000000000002</v>
      </c>
      <c r="O381" t="s">
        <v>65</v>
      </c>
      <c r="P381" s="9">
        <v>46063</v>
      </c>
      <c r="Q381">
        <v>206.96</v>
      </c>
    </row>
    <row r="382" spans="1:17" x14ac:dyDescent="0.25">
      <c r="A382" s="11" t="s">
        <v>195</v>
      </c>
      <c r="B382" s="3" t="str">
        <f t="shared" si="19"/>
        <v>AMZN</v>
      </c>
      <c r="C382" s="3" t="str">
        <f t="shared" si="20"/>
        <v>260515</v>
      </c>
      <c r="D382" s="3" t="str">
        <f t="shared" si="21"/>
        <v>P00245000</v>
      </c>
      <c r="E382" s="42">
        <v>46297.645833333336</v>
      </c>
      <c r="F382" s="11">
        <v>245</v>
      </c>
      <c r="G382" s="41">
        <v>39.770000000000003</v>
      </c>
      <c r="H382" s="41">
        <v>39.5</v>
      </c>
      <c r="I382" s="41">
        <v>41.15</v>
      </c>
      <c r="J382" s="15">
        <v>-0.23</v>
      </c>
      <c r="K382" s="23">
        <v>-5.7000000000000002E-3</v>
      </c>
      <c r="L382" s="41">
        <v>1</v>
      </c>
      <c r="M382" s="41">
        <v>982</v>
      </c>
      <c r="N382" s="57">
        <v>0.33090000000000003</v>
      </c>
      <c r="O382" t="s">
        <v>65</v>
      </c>
      <c r="P382" s="9">
        <v>46063</v>
      </c>
      <c r="Q382">
        <v>206.96</v>
      </c>
    </row>
    <row r="383" spans="1:17" x14ac:dyDescent="0.25">
      <c r="A383" s="11" t="s">
        <v>196</v>
      </c>
      <c r="B383" s="3" t="str">
        <f t="shared" si="19"/>
        <v>AMZN</v>
      </c>
      <c r="C383" s="3" t="str">
        <f t="shared" si="20"/>
        <v>260515</v>
      </c>
      <c r="D383" s="3" t="str">
        <f t="shared" si="21"/>
        <v>P00250000</v>
      </c>
      <c r="E383" s="42">
        <v>46297.594444444447</v>
      </c>
      <c r="F383" s="11">
        <v>250</v>
      </c>
      <c r="G383" s="41">
        <v>43.37</v>
      </c>
      <c r="H383" s="41">
        <v>43.9</v>
      </c>
      <c r="I383" s="41">
        <v>44.95</v>
      </c>
      <c r="J383" s="15">
        <v>0.87</v>
      </c>
      <c r="K383" s="23">
        <v>2.0500000000000001E-2</v>
      </c>
      <c r="L383" s="41">
        <v>26</v>
      </c>
      <c r="M383" s="58">
        <v>2742</v>
      </c>
      <c r="N383" s="57">
        <v>0.30620000000000003</v>
      </c>
      <c r="O383" t="s">
        <v>65</v>
      </c>
      <c r="P383" s="9">
        <v>46063</v>
      </c>
      <c r="Q383">
        <v>206.96</v>
      </c>
    </row>
    <row r="384" spans="1:17" x14ac:dyDescent="0.25">
      <c r="A384" s="11" t="s">
        <v>197</v>
      </c>
      <c r="B384" s="3" t="str">
        <f t="shared" si="19"/>
        <v>AMZN</v>
      </c>
      <c r="C384" s="3" t="str">
        <f t="shared" si="20"/>
        <v>260515</v>
      </c>
      <c r="D384" s="3" t="str">
        <f t="shared" si="21"/>
        <v>P00255000</v>
      </c>
      <c r="E384" s="42">
        <v>46175.455555555556</v>
      </c>
      <c r="F384" s="11">
        <v>255</v>
      </c>
      <c r="G384" s="41">
        <v>50.9</v>
      </c>
      <c r="H384" s="41">
        <v>47.8</v>
      </c>
      <c r="I384" s="41">
        <v>50.2</v>
      </c>
      <c r="J384" s="15">
        <v>0</v>
      </c>
      <c r="K384" s="23">
        <v>0</v>
      </c>
      <c r="L384" s="41">
        <v>6</v>
      </c>
      <c r="M384" s="58">
        <v>1198</v>
      </c>
      <c r="N384" s="57">
        <v>0.33960000000000001</v>
      </c>
      <c r="O384" t="s">
        <v>65</v>
      </c>
      <c r="P384" s="9">
        <v>46063</v>
      </c>
      <c r="Q384">
        <v>206.96</v>
      </c>
    </row>
    <row r="385" spans="1:17" x14ac:dyDescent="0.25">
      <c r="A385" s="11" t="s">
        <v>198</v>
      </c>
      <c r="B385" s="3" t="str">
        <f t="shared" si="19"/>
        <v>AMZN</v>
      </c>
      <c r="C385" s="3" t="str">
        <f t="shared" si="20"/>
        <v>260515</v>
      </c>
      <c r="D385" s="3" t="str">
        <f t="shared" si="21"/>
        <v>P00260000</v>
      </c>
      <c r="E385" s="42">
        <v>46297.652777777781</v>
      </c>
      <c r="F385" s="11">
        <v>260</v>
      </c>
      <c r="G385" s="41">
        <v>53.5</v>
      </c>
      <c r="H385" s="41">
        <v>52.75</v>
      </c>
      <c r="I385" s="41">
        <v>54.55</v>
      </c>
      <c r="J385" s="15">
        <v>2.21</v>
      </c>
      <c r="K385" s="23">
        <v>4.3099999999999999E-2</v>
      </c>
      <c r="L385" s="41">
        <v>14</v>
      </c>
      <c r="M385" s="58">
        <v>1406</v>
      </c>
      <c r="N385" s="57">
        <v>0.3286</v>
      </c>
      <c r="O385" t="s">
        <v>65</v>
      </c>
      <c r="P385" s="9">
        <v>46063</v>
      </c>
      <c r="Q385">
        <v>206.96</v>
      </c>
    </row>
    <row r="386" spans="1:17" x14ac:dyDescent="0.25">
      <c r="A386" s="11" t="s">
        <v>199</v>
      </c>
      <c r="B386" s="3" t="str">
        <f t="shared" si="19"/>
        <v>AMZN</v>
      </c>
      <c r="C386" s="3" t="str">
        <f t="shared" si="20"/>
        <v>260515</v>
      </c>
      <c r="D386" s="3" t="str">
        <f t="shared" si="21"/>
        <v>P00265000</v>
      </c>
      <c r="E386" s="42">
        <v>46055.45</v>
      </c>
      <c r="F386" s="11">
        <v>265</v>
      </c>
      <c r="G386" s="41">
        <v>56.95</v>
      </c>
      <c r="H386" s="41">
        <v>57</v>
      </c>
      <c r="I386" s="41">
        <v>59.55</v>
      </c>
      <c r="J386" s="15">
        <v>27.34</v>
      </c>
      <c r="K386" s="23">
        <v>0.92330000000000001</v>
      </c>
      <c r="L386" s="41">
        <v>1</v>
      </c>
      <c r="M386" s="41">
        <v>126</v>
      </c>
      <c r="N386" s="57">
        <v>0.34820000000000001</v>
      </c>
      <c r="O386" t="s">
        <v>65</v>
      </c>
      <c r="P386" s="9">
        <v>46063</v>
      </c>
      <c r="Q386">
        <v>206.96</v>
      </c>
    </row>
    <row r="387" spans="1:17" x14ac:dyDescent="0.25">
      <c r="A387" s="11" t="s">
        <v>200</v>
      </c>
      <c r="B387" s="3" t="str">
        <f t="shared" ref="B387:B450" si="22">+MID(A387,1,4)</f>
        <v>AMZN</v>
      </c>
      <c r="C387" s="3" t="str">
        <f t="shared" si="20"/>
        <v>260515</v>
      </c>
      <c r="D387" s="3" t="str">
        <f t="shared" si="21"/>
        <v>P00270000</v>
      </c>
      <c r="E387" s="42">
        <v>46297.540277777778</v>
      </c>
      <c r="F387" s="11">
        <v>270</v>
      </c>
      <c r="G387" s="41">
        <v>61.2</v>
      </c>
      <c r="H387" s="41">
        <v>61.45</v>
      </c>
      <c r="I387" s="41">
        <v>64.349999999999994</v>
      </c>
      <c r="J387" s="15">
        <v>-1.41</v>
      </c>
      <c r="K387" s="23">
        <v>-2.2499999999999999E-2</v>
      </c>
      <c r="L387" s="41">
        <v>4</v>
      </c>
      <c r="M387" s="41">
        <v>157</v>
      </c>
      <c r="N387" s="57">
        <v>0.35510000000000003</v>
      </c>
      <c r="O387" t="s">
        <v>65</v>
      </c>
      <c r="P387" s="9">
        <v>46063</v>
      </c>
      <c r="Q387">
        <v>206.96</v>
      </c>
    </row>
    <row r="388" spans="1:17" x14ac:dyDescent="0.25">
      <c r="A388" s="11" t="s">
        <v>201</v>
      </c>
      <c r="B388" s="3" t="str">
        <f t="shared" si="22"/>
        <v>AMZN</v>
      </c>
      <c r="C388" s="3" t="str">
        <f t="shared" si="20"/>
        <v>260515</v>
      </c>
      <c r="D388" s="3" t="str">
        <f t="shared" si="21"/>
        <v>P00275000</v>
      </c>
      <c r="E388" s="42">
        <v>46297.456944444442</v>
      </c>
      <c r="F388" s="11">
        <v>275</v>
      </c>
      <c r="G388" s="41">
        <v>64.05</v>
      </c>
      <c r="H388" s="41">
        <v>66.150000000000006</v>
      </c>
      <c r="I388" s="41">
        <v>69.5</v>
      </c>
      <c r="J388" s="15">
        <v>-3.9</v>
      </c>
      <c r="K388" s="23">
        <v>-5.74E-2</v>
      </c>
      <c r="L388" s="41">
        <v>2</v>
      </c>
      <c r="M388" s="41">
        <v>231</v>
      </c>
      <c r="N388" s="57">
        <v>0.3826</v>
      </c>
      <c r="O388" t="s">
        <v>65</v>
      </c>
      <c r="P388" s="9">
        <v>46063</v>
      </c>
      <c r="Q388">
        <v>206.96</v>
      </c>
    </row>
    <row r="389" spans="1:17" x14ac:dyDescent="0.25">
      <c r="A389" s="11" t="s">
        <v>202</v>
      </c>
      <c r="B389" s="3" t="str">
        <f t="shared" si="22"/>
        <v>AMZN</v>
      </c>
      <c r="C389" s="3" t="str">
        <f t="shared" si="20"/>
        <v>260515</v>
      </c>
      <c r="D389" s="3" t="str">
        <f t="shared" si="21"/>
        <v>P00280000</v>
      </c>
      <c r="E389" s="42">
        <v>46175.581944444442</v>
      </c>
      <c r="F389" s="11">
        <v>280</v>
      </c>
      <c r="G389" s="41">
        <v>73.39</v>
      </c>
      <c r="H389" s="41">
        <v>71.099999999999994</v>
      </c>
      <c r="I389" s="41">
        <v>74.5</v>
      </c>
      <c r="J389" s="15">
        <v>0</v>
      </c>
      <c r="K389" s="23">
        <v>0</v>
      </c>
      <c r="L389" s="41">
        <v>253</v>
      </c>
      <c r="M389" s="41">
        <v>252</v>
      </c>
      <c r="N389" s="57">
        <v>0.40029999999999999</v>
      </c>
      <c r="O389" t="s">
        <v>65</v>
      </c>
      <c r="P389" s="9">
        <v>46063</v>
      </c>
      <c r="Q389">
        <v>206.96</v>
      </c>
    </row>
    <row r="390" spans="1:17" x14ac:dyDescent="0.25">
      <c r="A390" s="11" t="s">
        <v>203</v>
      </c>
      <c r="B390" s="3" t="str">
        <f t="shared" si="22"/>
        <v>AMZN</v>
      </c>
      <c r="C390" s="3" t="str">
        <f t="shared" si="20"/>
        <v>260515</v>
      </c>
      <c r="D390" s="3" t="str">
        <f t="shared" si="21"/>
        <v>P00285000</v>
      </c>
      <c r="E390" s="42">
        <v>46114.581250000003</v>
      </c>
      <c r="F390" s="11">
        <v>285</v>
      </c>
      <c r="G390" s="41">
        <v>54.58</v>
      </c>
      <c r="H390" s="41">
        <v>76.099999999999994</v>
      </c>
      <c r="I390" s="41">
        <v>79.45</v>
      </c>
      <c r="J390" s="15">
        <v>0</v>
      </c>
      <c r="K390" s="23">
        <v>0</v>
      </c>
      <c r="L390" s="41">
        <v>8</v>
      </c>
      <c r="M390" s="41">
        <v>62</v>
      </c>
      <c r="N390" s="57">
        <v>0.41420000000000001</v>
      </c>
      <c r="O390" t="s">
        <v>65</v>
      </c>
      <c r="P390" s="9">
        <v>46063</v>
      </c>
      <c r="Q390">
        <v>206.96</v>
      </c>
    </row>
    <row r="391" spans="1:17" x14ac:dyDescent="0.25">
      <c r="A391" s="11" t="s">
        <v>204</v>
      </c>
      <c r="B391" s="3" t="str">
        <f t="shared" si="22"/>
        <v>AMZN</v>
      </c>
      <c r="C391" s="3" t="str">
        <f t="shared" si="20"/>
        <v>260515</v>
      </c>
      <c r="D391" s="3" t="str">
        <f t="shared" si="21"/>
        <v>P00290000</v>
      </c>
      <c r="E391" s="42">
        <v>46175.633333333331</v>
      </c>
      <c r="F391" s="11">
        <v>290</v>
      </c>
      <c r="G391" s="41">
        <v>82.05</v>
      </c>
      <c r="H391" s="41">
        <v>81.099999999999994</v>
      </c>
      <c r="I391" s="41">
        <v>84.4</v>
      </c>
      <c r="J391" s="15">
        <v>0</v>
      </c>
      <c r="K391" s="23">
        <v>0</v>
      </c>
      <c r="L391" s="41">
        <v>470</v>
      </c>
      <c r="M391" s="41">
        <v>0</v>
      </c>
      <c r="N391" s="57">
        <v>0.42749999999999999</v>
      </c>
      <c r="O391" t="s">
        <v>65</v>
      </c>
      <c r="P391" s="9">
        <v>46063</v>
      </c>
      <c r="Q391">
        <v>206.96</v>
      </c>
    </row>
    <row r="392" spans="1:17" x14ac:dyDescent="0.25">
      <c r="A392" s="11" t="s">
        <v>205</v>
      </c>
      <c r="B392" s="3" t="str">
        <f t="shared" si="22"/>
        <v>AMZN</v>
      </c>
      <c r="C392" s="3" t="str">
        <f t="shared" si="20"/>
        <v>260515</v>
      </c>
      <c r="D392" s="3" t="str">
        <f t="shared" si="21"/>
        <v>P00295000</v>
      </c>
      <c r="E392" s="42">
        <v>46175.633333333331</v>
      </c>
      <c r="F392" s="11">
        <v>295</v>
      </c>
      <c r="G392" s="41">
        <v>87.1</v>
      </c>
      <c r="H392" s="41">
        <v>86.05</v>
      </c>
      <c r="I392" s="41">
        <v>89.45</v>
      </c>
      <c r="J392" s="15">
        <v>0</v>
      </c>
      <c r="K392" s="23">
        <v>0</v>
      </c>
      <c r="L392" s="41">
        <v>111</v>
      </c>
      <c r="M392" s="41">
        <v>0</v>
      </c>
      <c r="N392" s="57">
        <v>0.4471</v>
      </c>
      <c r="O392" t="s">
        <v>65</v>
      </c>
      <c r="P392" s="9">
        <v>46063</v>
      </c>
      <c r="Q392">
        <v>206.96</v>
      </c>
    </row>
    <row r="393" spans="1:17" x14ac:dyDescent="0.25">
      <c r="A393" s="11" t="s">
        <v>206</v>
      </c>
      <c r="B393" s="3" t="str">
        <f t="shared" si="22"/>
        <v>AMZN</v>
      </c>
      <c r="C393" s="3" t="str">
        <f t="shared" si="20"/>
        <v>260515</v>
      </c>
      <c r="D393" s="3" t="str">
        <f t="shared" si="21"/>
        <v>P00300000</v>
      </c>
      <c r="E393" s="42">
        <v>46175.633333333331</v>
      </c>
      <c r="F393" s="11">
        <v>300</v>
      </c>
      <c r="G393" s="41">
        <v>92.2</v>
      </c>
      <c r="H393" s="41">
        <v>91.1</v>
      </c>
      <c r="I393" s="41">
        <v>94.4</v>
      </c>
      <c r="J393" s="15">
        <v>0</v>
      </c>
      <c r="K393" s="23">
        <v>0</v>
      </c>
      <c r="L393" s="41">
        <v>250</v>
      </c>
      <c r="M393" s="41">
        <v>0</v>
      </c>
      <c r="N393" s="57">
        <v>0.45939999999999998</v>
      </c>
      <c r="O393" t="s">
        <v>65</v>
      </c>
      <c r="P393" s="9">
        <v>46063</v>
      </c>
      <c r="Q393">
        <v>206.96</v>
      </c>
    </row>
    <row r="394" spans="1:17" x14ac:dyDescent="0.25">
      <c r="A394" s="11" t="s">
        <v>207</v>
      </c>
      <c r="B394" s="3" t="str">
        <f t="shared" si="22"/>
        <v>AMZN</v>
      </c>
      <c r="C394" s="3" t="str">
        <f t="shared" si="20"/>
        <v>260515</v>
      </c>
      <c r="D394" s="3" t="str">
        <f t="shared" si="21"/>
        <v>P00305000</v>
      </c>
      <c r="E394" s="42">
        <v>45973.415277777778</v>
      </c>
      <c r="F394" s="11">
        <v>305</v>
      </c>
      <c r="G394" s="41">
        <v>75.2</v>
      </c>
      <c r="H394" s="41">
        <v>65.150000000000006</v>
      </c>
      <c r="I394" s="41">
        <v>66.25</v>
      </c>
      <c r="J394" s="15">
        <v>0</v>
      </c>
      <c r="K394" s="23">
        <v>0</v>
      </c>
      <c r="L394" s="41">
        <v>5</v>
      </c>
      <c r="M394" s="41">
        <v>0</v>
      </c>
      <c r="N394" s="57">
        <v>0</v>
      </c>
      <c r="O394" t="s">
        <v>65</v>
      </c>
      <c r="P394" s="9">
        <v>46063</v>
      </c>
      <c r="Q394">
        <v>206.96</v>
      </c>
    </row>
    <row r="395" spans="1:17" x14ac:dyDescent="0.25">
      <c r="A395" s="11" t="s">
        <v>208</v>
      </c>
      <c r="B395" s="3" t="str">
        <f t="shared" si="22"/>
        <v>AMZN</v>
      </c>
      <c r="C395" s="3" t="str">
        <f t="shared" si="20"/>
        <v>260515</v>
      </c>
      <c r="D395" s="3" t="str">
        <f t="shared" si="21"/>
        <v>P00310000</v>
      </c>
      <c r="E395" s="42">
        <v>46175.633333333331</v>
      </c>
      <c r="F395" s="11">
        <v>310</v>
      </c>
      <c r="G395" s="41">
        <v>102.05</v>
      </c>
      <c r="H395" s="41">
        <v>101.05</v>
      </c>
      <c r="I395" s="41">
        <v>104.4</v>
      </c>
      <c r="J395" s="15">
        <v>0</v>
      </c>
      <c r="K395" s="23">
        <v>0</v>
      </c>
      <c r="L395" s="41">
        <v>40</v>
      </c>
      <c r="M395" s="41">
        <v>1</v>
      </c>
      <c r="N395" s="57">
        <v>0.48959999999999998</v>
      </c>
      <c r="O395" t="s">
        <v>65</v>
      </c>
      <c r="P395" s="9">
        <v>46063</v>
      </c>
      <c r="Q395">
        <v>206.96</v>
      </c>
    </row>
    <row r="396" spans="1:17" x14ac:dyDescent="0.25">
      <c r="A396" s="11" t="s">
        <v>209</v>
      </c>
      <c r="B396" s="3" t="str">
        <f t="shared" si="22"/>
        <v>AMZN</v>
      </c>
      <c r="C396" s="3" t="str">
        <f t="shared" si="20"/>
        <v>260515</v>
      </c>
      <c r="D396" s="3" t="str">
        <f t="shared" si="21"/>
        <v>P00315000</v>
      </c>
      <c r="E396" s="42">
        <v>46174.548611111109</v>
      </c>
      <c r="F396" s="11">
        <v>315</v>
      </c>
      <c r="G396" s="41">
        <v>73.739999999999995</v>
      </c>
      <c r="H396" s="41">
        <v>106.05</v>
      </c>
      <c r="I396" s="41">
        <v>109.35</v>
      </c>
      <c r="J396" s="15">
        <v>0</v>
      </c>
      <c r="K396" s="23">
        <v>0</v>
      </c>
      <c r="L396" s="41">
        <v>1</v>
      </c>
      <c r="M396" s="41">
        <v>0</v>
      </c>
      <c r="N396" s="57">
        <v>0.50049999999999994</v>
      </c>
      <c r="O396" t="s">
        <v>65</v>
      </c>
      <c r="P396" s="9">
        <v>46063</v>
      </c>
      <c r="Q396">
        <v>206.96</v>
      </c>
    </row>
    <row r="397" spans="1:17" x14ac:dyDescent="0.25">
      <c r="A397" s="11" t="s">
        <v>210</v>
      </c>
      <c r="B397" s="3" t="str">
        <f t="shared" si="22"/>
        <v>AMZN</v>
      </c>
      <c r="C397" s="3" t="str">
        <f t="shared" si="20"/>
        <v>260515</v>
      </c>
      <c r="D397" s="3" t="str">
        <f t="shared" si="21"/>
        <v>P00320000</v>
      </c>
      <c r="E397" s="42">
        <v>46357.511111111111</v>
      </c>
      <c r="F397" s="11">
        <v>320</v>
      </c>
      <c r="G397" s="41">
        <v>72.3</v>
      </c>
      <c r="H397" s="41">
        <v>111.1</v>
      </c>
      <c r="I397" s="41">
        <v>114.35</v>
      </c>
      <c r="J397" s="15">
        <v>0</v>
      </c>
      <c r="K397" s="23">
        <v>0</v>
      </c>
      <c r="L397" s="41">
        <v>10</v>
      </c>
      <c r="M397" s="41">
        <v>0</v>
      </c>
      <c r="N397" s="57">
        <v>0.51470000000000005</v>
      </c>
      <c r="O397" t="s">
        <v>65</v>
      </c>
      <c r="P397" s="9">
        <v>46063</v>
      </c>
      <c r="Q397">
        <v>206.96</v>
      </c>
    </row>
    <row r="398" spans="1:17" x14ac:dyDescent="0.25">
      <c r="A398" s="11" t="s">
        <v>211</v>
      </c>
      <c r="B398" s="3" t="str">
        <f t="shared" si="22"/>
        <v>AMZN</v>
      </c>
      <c r="C398" s="3" t="str">
        <f t="shared" si="20"/>
        <v>260515</v>
      </c>
      <c r="D398" s="3" t="str">
        <f t="shared" si="21"/>
        <v>P00325000</v>
      </c>
      <c r="E398" s="42">
        <v>45972.587500000001</v>
      </c>
      <c r="F398" s="11">
        <v>325</v>
      </c>
      <c r="G398" s="41">
        <v>76.680000000000007</v>
      </c>
      <c r="H398" s="41">
        <v>83.1</v>
      </c>
      <c r="I398" s="41">
        <v>85.65</v>
      </c>
      <c r="J398" s="15">
        <v>0</v>
      </c>
      <c r="K398" s="23">
        <v>0</v>
      </c>
      <c r="L398" s="41">
        <v>12</v>
      </c>
      <c r="M398" s="41">
        <v>0</v>
      </c>
      <c r="N398" s="57">
        <v>0</v>
      </c>
      <c r="O398" t="s">
        <v>65</v>
      </c>
      <c r="P398" s="9">
        <v>46063</v>
      </c>
      <c r="Q398">
        <v>206.96</v>
      </c>
    </row>
    <row r="399" spans="1:17" x14ac:dyDescent="0.25">
      <c r="A399" s="11" t="s">
        <v>212</v>
      </c>
      <c r="B399" s="3" t="str">
        <f t="shared" si="22"/>
        <v>AMZN</v>
      </c>
      <c r="C399" s="3" t="str">
        <f t="shared" si="20"/>
        <v>260515</v>
      </c>
      <c r="D399" s="3" t="str">
        <f t="shared" si="21"/>
        <v>P00330000</v>
      </c>
      <c r="E399" s="42">
        <v>46175.400694444441</v>
      </c>
      <c r="F399" s="11">
        <v>330</v>
      </c>
      <c r="G399" s="41">
        <v>128.12</v>
      </c>
      <c r="H399" s="41">
        <v>121.1</v>
      </c>
      <c r="I399" s="41">
        <v>124.35</v>
      </c>
      <c r="J399" s="15">
        <v>0</v>
      </c>
      <c r="K399" s="23">
        <v>0</v>
      </c>
      <c r="L399" s="41">
        <v>1</v>
      </c>
      <c r="M399" s="41">
        <v>0</v>
      </c>
      <c r="N399" s="57">
        <v>0.54210000000000003</v>
      </c>
      <c r="O399" t="s">
        <v>65</v>
      </c>
      <c r="P399" s="9">
        <v>46063</v>
      </c>
      <c r="Q399">
        <v>206.96</v>
      </c>
    </row>
    <row r="400" spans="1:17" x14ac:dyDescent="0.25">
      <c r="A400" s="11" t="s">
        <v>112</v>
      </c>
      <c r="B400" s="3" t="str">
        <f t="shared" si="22"/>
        <v>AMZN</v>
      </c>
      <c r="C400" s="3" t="str">
        <f t="shared" si="20"/>
        <v>260515</v>
      </c>
      <c r="D400" s="3" t="str">
        <f t="shared" si="21"/>
        <v>P00340000</v>
      </c>
      <c r="E400" s="42">
        <v>45727.46875</v>
      </c>
      <c r="F400" s="11">
        <v>340</v>
      </c>
      <c r="G400" s="41">
        <v>85.25</v>
      </c>
      <c r="H400" s="41">
        <v>97.65</v>
      </c>
      <c r="I400" s="41">
        <v>100.6</v>
      </c>
      <c r="J400" s="15">
        <v>0</v>
      </c>
      <c r="K400" s="23">
        <v>0</v>
      </c>
      <c r="L400" s="41" t="s">
        <v>113</v>
      </c>
      <c r="M400" s="41">
        <v>0</v>
      </c>
      <c r="N400" s="57">
        <v>0</v>
      </c>
      <c r="O400" t="s">
        <v>65</v>
      </c>
      <c r="P400" s="9">
        <v>46063</v>
      </c>
      <c r="Q400">
        <v>206.96</v>
      </c>
    </row>
    <row r="401" spans="1:17" x14ac:dyDescent="0.25">
      <c r="A401" s="11" t="s">
        <v>114</v>
      </c>
      <c r="B401" s="3" t="str">
        <f t="shared" si="22"/>
        <v>AMZN</v>
      </c>
      <c r="C401" s="3" t="str">
        <f t="shared" si="20"/>
        <v>260515</v>
      </c>
      <c r="D401" s="3" t="str">
        <f t="shared" si="21"/>
        <v>P00350000</v>
      </c>
      <c r="E401" s="42">
        <v>46175.400694444441</v>
      </c>
      <c r="F401" s="11">
        <v>350</v>
      </c>
      <c r="G401" s="41">
        <v>147.41999999999999</v>
      </c>
      <c r="H401" s="41">
        <v>141.1</v>
      </c>
      <c r="I401" s="41">
        <v>144.35</v>
      </c>
      <c r="J401" s="15">
        <v>0</v>
      </c>
      <c r="K401" s="23">
        <v>0</v>
      </c>
      <c r="L401" s="41">
        <v>1</v>
      </c>
      <c r="M401" s="41">
        <v>1</v>
      </c>
      <c r="N401" s="57">
        <v>0.59350000000000003</v>
      </c>
      <c r="O401" t="s">
        <v>65</v>
      </c>
      <c r="P401" s="9">
        <v>46063</v>
      </c>
      <c r="Q401">
        <v>206.96</v>
      </c>
    </row>
    <row r="402" spans="1:17" x14ac:dyDescent="0.25">
      <c r="A402" s="11" t="s">
        <v>115</v>
      </c>
      <c r="B402" s="3" t="str">
        <f t="shared" si="22"/>
        <v>AMZN</v>
      </c>
      <c r="C402" s="3" t="str">
        <f t="shared" si="20"/>
        <v>260515</v>
      </c>
      <c r="D402" s="3" t="str">
        <f t="shared" si="21"/>
        <v>P00360000</v>
      </c>
      <c r="E402" s="42">
        <v>46175.400694444441</v>
      </c>
      <c r="F402" s="11">
        <v>360</v>
      </c>
      <c r="G402" s="41">
        <v>157.44</v>
      </c>
      <c r="H402" s="41">
        <v>151.1</v>
      </c>
      <c r="I402" s="41">
        <v>154.44999999999999</v>
      </c>
      <c r="J402" s="15">
        <v>0</v>
      </c>
      <c r="K402" s="23">
        <v>0</v>
      </c>
      <c r="L402" s="41">
        <v>1</v>
      </c>
      <c r="M402" s="41">
        <v>0</v>
      </c>
      <c r="N402" s="57">
        <v>0.62629999999999997</v>
      </c>
      <c r="O402" t="s">
        <v>65</v>
      </c>
      <c r="P402" s="9">
        <v>46063</v>
      </c>
      <c r="Q402">
        <v>206.96</v>
      </c>
    </row>
    <row r="403" spans="1:17" x14ac:dyDescent="0.25">
      <c r="A403" s="11" t="s">
        <v>116</v>
      </c>
      <c r="B403" s="3" t="str">
        <f t="shared" si="22"/>
        <v>AMZN</v>
      </c>
      <c r="C403" s="3" t="str">
        <f t="shared" si="20"/>
        <v>260515</v>
      </c>
      <c r="D403" s="3" t="str">
        <f t="shared" si="21"/>
        <v>P00370000</v>
      </c>
      <c r="E403" s="41" t="s">
        <v>220</v>
      </c>
      <c r="F403" s="11">
        <v>370</v>
      </c>
      <c r="G403" s="41">
        <v>126.6</v>
      </c>
      <c r="H403" s="41">
        <v>161.1</v>
      </c>
      <c r="I403" s="41">
        <v>164.35</v>
      </c>
      <c r="J403" s="15">
        <v>0</v>
      </c>
      <c r="K403" s="23">
        <v>0</v>
      </c>
      <c r="L403" s="41">
        <v>1</v>
      </c>
      <c r="M403" s="41">
        <v>0</v>
      </c>
      <c r="N403" s="57">
        <v>0.6411</v>
      </c>
      <c r="O403" t="s">
        <v>65</v>
      </c>
      <c r="P403" s="9">
        <v>46063</v>
      </c>
      <c r="Q403">
        <v>206.96</v>
      </c>
    </row>
    <row r="404" spans="1:17" x14ac:dyDescent="0.25">
      <c r="A404" s="12" t="s">
        <v>117</v>
      </c>
      <c r="B404" s="3" t="str">
        <f t="shared" si="22"/>
        <v>AMZN</v>
      </c>
      <c r="C404" s="3" t="str">
        <f t="shared" si="20"/>
        <v>260515</v>
      </c>
      <c r="D404" s="3" t="str">
        <f t="shared" si="21"/>
        <v>C00105000</v>
      </c>
      <c r="E404" s="43" t="s">
        <v>221</v>
      </c>
      <c r="F404" s="13">
        <v>105</v>
      </c>
      <c r="G404" s="43">
        <v>97.43</v>
      </c>
      <c r="H404" s="43">
        <v>95.65</v>
      </c>
      <c r="I404" s="43">
        <v>99.4</v>
      </c>
      <c r="J404" s="16">
        <v>1.1299999999999999</v>
      </c>
      <c r="K404" s="24">
        <v>1.17E-2</v>
      </c>
      <c r="L404" s="43">
        <v>1</v>
      </c>
      <c r="M404" s="43">
        <v>24</v>
      </c>
      <c r="N404" s="59">
        <v>0.83499999999999996</v>
      </c>
      <c r="O404" t="s">
        <v>62</v>
      </c>
      <c r="P404" s="9">
        <v>46070</v>
      </c>
      <c r="Q404">
        <v>201.15</v>
      </c>
    </row>
    <row r="405" spans="1:17" x14ac:dyDescent="0.25">
      <c r="A405" s="12" t="s">
        <v>118</v>
      </c>
      <c r="B405" s="3" t="str">
        <f t="shared" si="22"/>
        <v>AMZN</v>
      </c>
      <c r="C405" s="3" t="str">
        <f t="shared" si="20"/>
        <v>260515</v>
      </c>
      <c r="D405" s="3" t="str">
        <f t="shared" si="21"/>
        <v>C00110000</v>
      </c>
      <c r="E405" s="44">
        <v>46267.460416666669</v>
      </c>
      <c r="F405" s="13">
        <v>110</v>
      </c>
      <c r="G405" s="43">
        <v>100.79</v>
      </c>
      <c r="H405" s="43">
        <v>90.75</v>
      </c>
      <c r="I405" s="43">
        <v>94.55</v>
      </c>
      <c r="J405" s="16">
        <v>0</v>
      </c>
      <c r="K405" s="24">
        <v>0</v>
      </c>
      <c r="L405" s="43">
        <v>3</v>
      </c>
      <c r="M405" s="43">
        <v>35</v>
      </c>
      <c r="N405" s="59">
        <v>0.79810000000000003</v>
      </c>
      <c r="O405" t="s">
        <v>62</v>
      </c>
      <c r="P405" s="9">
        <v>46070</v>
      </c>
      <c r="Q405">
        <v>201.15</v>
      </c>
    </row>
    <row r="406" spans="1:17" x14ac:dyDescent="0.25">
      <c r="A406" s="12" t="s">
        <v>119</v>
      </c>
      <c r="B406" s="3" t="str">
        <f t="shared" si="22"/>
        <v>AMZN</v>
      </c>
      <c r="C406" s="3" t="str">
        <f t="shared" si="20"/>
        <v>260515</v>
      </c>
      <c r="D406" s="3" t="str">
        <f t="shared" si="21"/>
        <v>C00115000</v>
      </c>
      <c r="E406" s="44">
        <v>46267.460416666669</v>
      </c>
      <c r="F406" s="13">
        <v>115</v>
      </c>
      <c r="G406" s="43">
        <v>95.88</v>
      </c>
      <c r="H406" s="43">
        <v>85.8</v>
      </c>
      <c r="I406" s="43">
        <v>89.6</v>
      </c>
      <c r="J406" s="16">
        <v>0</v>
      </c>
      <c r="K406" s="24">
        <v>0</v>
      </c>
      <c r="L406" s="43">
        <v>4</v>
      </c>
      <c r="M406" s="43">
        <v>44</v>
      </c>
      <c r="N406" s="59">
        <v>0.75339999999999996</v>
      </c>
      <c r="O406" t="s">
        <v>62</v>
      </c>
      <c r="P406" s="9">
        <v>46070</v>
      </c>
      <c r="Q406">
        <v>201.15</v>
      </c>
    </row>
    <row r="407" spans="1:17" x14ac:dyDescent="0.25">
      <c r="A407" s="12" t="s">
        <v>120</v>
      </c>
      <c r="B407" s="3" t="str">
        <f t="shared" si="22"/>
        <v>AMZN</v>
      </c>
      <c r="C407" s="3" t="str">
        <f t="shared" si="20"/>
        <v>260515</v>
      </c>
      <c r="D407" s="3" t="str">
        <f t="shared" si="21"/>
        <v>C00120000</v>
      </c>
      <c r="E407" s="44">
        <v>46328.433333333334</v>
      </c>
      <c r="F407" s="13">
        <v>120</v>
      </c>
      <c r="G407" s="43">
        <v>78.650000000000006</v>
      </c>
      <c r="H407" s="43">
        <v>81</v>
      </c>
      <c r="I407" s="43">
        <v>84.7</v>
      </c>
      <c r="J407" s="16">
        <v>-7.45</v>
      </c>
      <c r="K407" s="24">
        <v>-8.6499999999999994E-2</v>
      </c>
      <c r="L407" s="43">
        <v>1</v>
      </c>
      <c r="M407" s="60">
        <v>2250</v>
      </c>
      <c r="N407" s="59">
        <v>0.72019999999999995</v>
      </c>
      <c r="O407" t="s">
        <v>62</v>
      </c>
      <c r="P407" s="9">
        <v>46070</v>
      </c>
      <c r="Q407">
        <v>201.15</v>
      </c>
    </row>
    <row r="408" spans="1:17" x14ac:dyDescent="0.25">
      <c r="A408" s="12" t="s">
        <v>121</v>
      </c>
      <c r="B408" s="3" t="str">
        <f t="shared" si="22"/>
        <v>AMZN</v>
      </c>
      <c r="C408" s="3" t="str">
        <f t="shared" si="20"/>
        <v>260515</v>
      </c>
      <c r="D408" s="3" t="str">
        <f t="shared" si="21"/>
        <v>C00125000</v>
      </c>
      <c r="E408" s="44">
        <v>46267.460416666669</v>
      </c>
      <c r="F408" s="13">
        <v>125</v>
      </c>
      <c r="G408" s="43">
        <v>86.69</v>
      </c>
      <c r="H408" s="43">
        <v>76.7</v>
      </c>
      <c r="I408" s="43">
        <v>78.900000000000006</v>
      </c>
      <c r="J408" s="16">
        <v>0</v>
      </c>
      <c r="K408" s="24">
        <v>0</v>
      </c>
      <c r="L408" s="43">
        <v>4</v>
      </c>
      <c r="M408" s="43">
        <v>45</v>
      </c>
      <c r="N408" s="59">
        <v>0.66800000000000004</v>
      </c>
      <c r="O408" t="s">
        <v>62</v>
      </c>
      <c r="P408" s="9">
        <v>46070</v>
      </c>
      <c r="Q408">
        <v>201.15</v>
      </c>
    </row>
    <row r="409" spans="1:17" x14ac:dyDescent="0.25">
      <c r="A409" s="12" t="s">
        <v>122</v>
      </c>
      <c r="B409" s="3" t="str">
        <f t="shared" si="22"/>
        <v>AMZN</v>
      </c>
      <c r="C409" s="3" t="str">
        <f t="shared" si="20"/>
        <v>260515</v>
      </c>
      <c r="D409" s="3" t="str">
        <f t="shared" si="21"/>
        <v>C00130000</v>
      </c>
      <c r="E409" s="43" t="s">
        <v>222</v>
      </c>
      <c r="F409" s="13">
        <v>130</v>
      </c>
      <c r="G409" s="43">
        <v>69.989999999999995</v>
      </c>
      <c r="H409" s="43">
        <v>71.900000000000006</v>
      </c>
      <c r="I409" s="43">
        <v>74</v>
      </c>
      <c r="J409" s="16">
        <v>0</v>
      </c>
      <c r="K409" s="24">
        <v>0</v>
      </c>
      <c r="L409" s="43">
        <v>6</v>
      </c>
      <c r="M409" s="43">
        <v>77</v>
      </c>
      <c r="N409" s="59">
        <v>0.63549999999999995</v>
      </c>
      <c r="O409" t="s">
        <v>62</v>
      </c>
      <c r="P409" s="9">
        <v>46070</v>
      </c>
      <c r="Q409">
        <v>201.15</v>
      </c>
    </row>
    <row r="410" spans="1:17" x14ac:dyDescent="0.25">
      <c r="A410" s="12" t="s">
        <v>123</v>
      </c>
      <c r="B410" s="3" t="str">
        <f t="shared" si="22"/>
        <v>AMZN</v>
      </c>
      <c r="C410" s="3" t="str">
        <f t="shared" si="20"/>
        <v>260515</v>
      </c>
      <c r="D410" s="3" t="str">
        <f t="shared" si="21"/>
        <v>C00135000</v>
      </c>
      <c r="E410" s="44">
        <v>46267.460416666669</v>
      </c>
      <c r="F410" s="13">
        <v>135</v>
      </c>
      <c r="G410" s="43">
        <v>77.010000000000005</v>
      </c>
      <c r="H410" s="43">
        <v>67.099999999999994</v>
      </c>
      <c r="I410" s="43">
        <v>69.05</v>
      </c>
      <c r="J410" s="16">
        <v>0</v>
      </c>
      <c r="K410" s="24">
        <v>0</v>
      </c>
      <c r="L410" s="43">
        <v>3</v>
      </c>
      <c r="M410" s="43">
        <v>31</v>
      </c>
      <c r="N410" s="59">
        <v>0.6008</v>
      </c>
      <c r="O410" t="s">
        <v>62</v>
      </c>
      <c r="P410" s="9">
        <v>46070</v>
      </c>
      <c r="Q410">
        <v>201.15</v>
      </c>
    </row>
    <row r="411" spans="1:17" x14ac:dyDescent="0.25">
      <c r="A411" s="12" t="s">
        <v>124</v>
      </c>
      <c r="B411" s="3" t="str">
        <f t="shared" si="22"/>
        <v>AMZN</v>
      </c>
      <c r="C411" s="3" t="str">
        <f t="shared" si="20"/>
        <v>260515</v>
      </c>
      <c r="D411" s="3" t="str">
        <f t="shared" si="21"/>
        <v>C00140000</v>
      </c>
      <c r="E411" s="43" t="s">
        <v>223</v>
      </c>
      <c r="F411" s="13">
        <v>140</v>
      </c>
      <c r="G411" s="43">
        <v>63.2</v>
      </c>
      <c r="H411" s="43">
        <v>62.05</v>
      </c>
      <c r="I411" s="43">
        <v>64.900000000000006</v>
      </c>
      <c r="J411" s="16">
        <v>0.4</v>
      </c>
      <c r="K411" s="24">
        <v>6.4000000000000003E-3</v>
      </c>
      <c r="L411" s="43">
        <v>5</v>
      </c>
      <c r="M411" s="43">
        <v>28</v>
      </c>
      <c r="N411" s="59">
        <v>0.58560000000000001</v>
      </c>
      <c r="O411" t="s">
        <v>62</v>
      </c>
      <c r="P411" s="9">
        <v>46070</v>
      </c>
      <c r="Q411">
        <v>201.15</v>
      </c>
    </row>
    <row r="412" spans="1:17" x14ac:dyDescent="0.25">
      <c r="A412" s="12" t="s">
        <v>125</v>
      </c>
      <c r="B412" s="3" t="str">
        <f t="shared" si="22"/>
        <v>AMZN</v>
      </c>
      <c r="C412" s="3" t="str">
        <f t="shared" si="20"/>
        <v>260515</v>
      </c>
      <c r="D412" s="3" t="str">
        <f t="shared" si="21"/>
        <v>C00145000</v>
      </c>
      <c r="E412" s="44">
        <v>46114.4375</v>
      </c>
      <c r="F412" s="13">
        <v>145</v>
      </c>
      <c r="G412" s="43">
        <v>94.99</v>
      </c>
      <c r="H412" s="43">
        <v>57.65</v>
      </c>
      <c r="I412" s="43">
        <v>59.8</v>
      </c>
      <c r="J412" s="16">
        <v>0</v>
      </c>
      <c r="K412" s="24">
        <v>0</v>
      </c>
      <c r="L412" s="43">
        <v>5</v>
      </c>
      <c r="M412" s="43">
        <v>6</v>
      </c>
      <c r="N412" s="59">
        <v>0.55710000000000004</v>
      </c>
      <c r="O412" t="s">
        <v>62</v>
      </c>
      <c r="P412" s="9">
        <v>46070</v>
      </c>
      <c r="Q412">
        <v>201.15</v>
      </c>
    </row>
    <row r="413" spans="1:17" x14ac:dyDescent="0.25">
      <c r="A413" s="12" t="s">
        <v>126</v>
      </c>
      <c r="B413" s="3" t="str">
        <f t="shared" si="22"/>
        <v>AMZN</v>
      </c>
      <c r="C413" s="3" t="str">
        <f t="shared" si="20"/>
        <v>260515</v>
      </c>
      <c r="D413" s="3" t="str">
        <f t="shared" si="21"/>
        <v>C00150000</v>
      </c>
      <c r="E413" s="43" t="s">
        <v>224</v>
      </c>
      <c r="F413" s="13">
        <v>150</v>
      </c>
      <c r="G413" s="43">
        <v>54.5</v>
      </c>
      <c r="H413" s="43">
        <v>54.05</v>
      </c>
      <c r="I413" s="43">
        <v>55.05</v>
      </c>
      <c r="J413" s="16">
        <v>2.7</v>
      </c>
      <c r="K413" s="24">
        <v>5.21E-2</v>
      </c>
      <c r="L413" s="43">
        <v>9</v>
      </c>
      <c r="M413" s="43">
        <v>107</v>
      </c>
      <c r="N413" s="59">
        <v>0.55910000000000004</v>
      </c>
      <c r="O413" t="s">
        <v>62</v>
      </c>
      <c r="P413" s="9">
        <v>46070</v>
      </c>
      <c r="Q413">
        <v>201.15</v>
      </c>
    </row>
    <row r="414" spans="1:17" x14ac:dyDescent="0.25">
      <c r="A414" s="12" t="s">
        <v>127</v>
      </c>
      <c r="B414" s="3" t="str">
        <f t="shared" si="22"/>
        <v>AMZN</v>
      </c>
      <c r="C414" s="3" t="str">
        <f t="shared" si="20"/>
        <v>260515</v>
      </c>
      <c r="D414" s="3" t="str">
        <f t="shared" si="21"/>
        <v>C00155000</v>
      </c>
      <c r="E414" s="43" t="s">
        <v>225</v>
      </c>
      <c r="F414" s="13">
        <v>155</v>
      </c>
      <c r="G414" s="43">
        <v>50</v>
      </c>
      <c r="H414" s="43">
        <v>49.25</v>
      </c>
      <c r="I414" s="43">
        <v>50.2</v>
      </c>
      <c r="J414" s="16">
        <v>1.35</v>
      </c>
      <c r="K414" s="24">
        <v>2.7699999999999999E-2</v>
      </c>
      <c r="L414" s="43">
        <v>15</v>
      </c>
      <c r="M414" s="43">
        <v>97</v>
      </c>
      <c r="N414" s="59">
        <v>0.52200000000000002</v>
      </c>
      <c r="O414" t="s">
        <v>62</v>
      </c>
      <c r="P414" s="9">
        <v>46070</v>
      </c>
      <c r="Q414">
        <v>201.15</v>
      </c>
    </row>
    <row r="415" spans="1:17" x14ac:dyDescent="0.25">
      <c r="A415" s="12" t="s">
        <v>128</v>
      </c>
      <c r="B415" s="3" t="str">
        <f t="shared" si="22"/>
        <v>AMZN</v>
      </c>
      <c r="C415" s="3" t="str">
        <f t="shared" si="20"/>
        <v>260515</v>
      </c>
      <c r="D415" s="3" t="str">
        <f t="shared" si="21"/>
        <v>C00160000</v>
      </c>
      <c r="E415" s="43" t="s">
        <v>226</v>
      </c>
      <c r="F415" s="13">
        <v>160</v>
      </c>
      <c r="G415" s="43">
        <v>44.39</v>
      </c>
      <c r="H415" s="43">
        <v>45.2</v>
      </c>
      <c r="I415" s="43">
        <v>46.1</v>
      </c>
      <c r="J415" s="16">
        <v>-0.36</v>
      </c>
      <c r="K415" s="24">
        <v>-8.0000000000000002E-3</v>
      </c>
      <c r="L415" s="43">
        <v>128</v>
      </c>
      <c r="M415" s="43">
        <v>197</v>
      </c>
      <c r="N415" s="59">
        <v>0.51819999999999999</v>
      </c>
      <c r="O415" t="s">
        <v>62</v>
      </c>
      <c r="P415" s="9">
        <v>46070</v>
      </c>
      <c r="Q415">
        <v>201.15</v>
      </c>
    </row>
    <row r="416" spans="1:17" x14ac:dyDescent="0.25">
      <c r="A416" s="12" t="s">
        <v>129</v>
      </c>
      <c r="B416" s="3" t="str">
        <f t="shared" si="22"/>
        <v>AMZN</v>
      </c>
      <c r="C416" s="3" t="str">
        <f t="shared" si="20"/>
        <v>260515</v>
      </c>
      <c r="D416" s="3" t="str">
        <f t="shared" si="21"/>
        <v>C00165000</v>
      </c>
      <c r="E416" s="43" t="s">
        <v>227</v>
      </c>
      <c r="F416" s="13">
        <v>165</v>
      </c>
      <c r="G416" s="43">
        <v>41.16</v>
      </c>
      <c r="H416" s="43">
        <v>40.6</v>
      </c>
      <c r="I416" s="43">
        <v>42</v>
      </c>
      <c r="J416" s="16">
        <v>1.23</v>
      </c>
      <c r="K416" s="24">
        <v>3.0800000000000001E-2</v>
      </c>
      <c r="L416" s="43">
        <v>5</v>
      </c>
      <c r="M416" s="43">
        <v>126</v>
      </c>
      <c r="N416" s="59">
        <v>0.52449999999999997</v>
      </c>
      <c r="O416" t="s">
        <v>62</v>
      </c>
      <c r="P416" s="9">
        <v>46070</v>
      </c>
      <c r="Q416">
        <v>201.15</v>
      </c>
    </row>
    <row r="417" spans="1:17" x14ac:dyDescent="0.25">
      <c r="A417" s="12" t="s">
        <v>130</v>
      </c>
      <c r="B417" s="3" t="str">
        <f t="shared" si="22"/>
        <v>AMZN</v>
      </c>
      <c r="C417" s="3" t="str">
        <f t="shared" si="20"/>
        <v>260515</v>
      </c>
      <c r="D417" s="3" t="str">
        <f t="shared" si="21"/>
        <v>C00170000</v>
      </c>
      <c r="E417" s="43" t="s">
        <v>228</v>
      </c>
      <c r="F417" s="13">
        <v>170</v>
      </c>
      <c r="G417" s="43">
        <v>34.450000000000003</v>
      </c>
      <c r="H417" s="43">
        <v>36.6</v>
      </c>
      <c r="I417" s="43">
        <v>37.450000000000003</v>
      </c>
      <c r="J417" s="16">
        <v>-0.25</v>
      </c>
      <c r="K417" s="24">
        <v>-7.1999999999999998E-3</v>
      </c>
      <c r="L417" s="43">
        <v>99</v>
      </c>
      <c r="M417" s="43">
        <v>282</v>
      </c>
      <c r="N417" s="59">
        <v>0.49130000000000001</v>
      </c>
      <c r="O417" t="s">
        <v>62</v>
      </c>
      <c r="P417" s="9">
        <v>46070</v>
      </c>
      <c r="Q417">
        <v>201.15</v>
      </c>
    </row>
    <row r="418" spans="1:17" x14ac:dyDescent="0.25">
      <c r="A418" s="12" t="s">
        <v>131</v>
      </c>
      <c r="B418" s="3" t="str">
        <f t="shared" si="22"/>
        <v>AMZN</v>
      </c>
      <c r="C418" s="3" t="str">
        <f t="shared" si="20"/>
        <v>260515</v>
      </c>
      <c r="D418" s="3" t="str">
        <f t="shared" si="21"/>
        <v>C00175000</v>
      </c>
      <c r="E418" s="43" t="s">
        <v>229</v>
      </c>
      <c r="F418" s="13">
        <v>175</v>
      </c>
      <c r="G418" s="43">
        <v>33.090000000000003</v>
      </c>
      <c r="H418" s="43">
        <v>32.65</v>
      </c>
      <c r="I418" s="43">
        <v>33.25</v>
      </c>
      <c r="J418" s="16">
        <v>2.2400000000000002</v>
      </c>
      <c r="K418" s="24">
        <v>7.2599999999999998E-2</v>
      </c>
      <c r="L418" s="43">
        <v>61</v>
      </c>
      <c r="M418" s="43">
        <v>309</v>
      </c>
      <c r="N418" s="59">
        <v>0.46810000000000002</v>
      </c>
      <c r="O418" t="s">
        <v>62</v>
      </c>
      <c r="P418" s="9">
        <v>46070</v>
      </c>
      <c r="Q418">
        <v>201.15</v>
      </c>
    </row>
    <row r="419" spans="1:17" x14ac:dyDescent="0.25">
      <c r="A419" s="12" t="s">
        <v>132</v>
      </c>
      <c r="B419" s="3" t="str">
        <f t="shared" si="22"/>
        <v>AMZN</v>
      </c>
      <c r="C419" s="3" t="str">
        <f t="shared" si="20"/>
        <v>260515</v>
      </c>
      <c r="D419" s="3" t="str">
        <f t="shared" si="21"/>
        <v>C00180000</v>
      </c>
      <c r="E419" s="43" t="s">
        <v>230</v>
      </c>
      <c r="F419" s="13">
        <v>180</v>
      </c>
      <c r="G419" s="43">
        <v>28.8</v>
      </c>
      <c r="H419" s="43">
        <v>28.9</v>
      </c>
      <c r="I419" s="43">
        <v>29.7</v>
      </c>
      <c r="J419" s="16">
        <v>1.8</v>
      </c>
      <c r="K419" s="24">
        <v>6.6699999999999995E-2</v>
      </c>
      <c r="L419" s="43">
        <v>85</v>
      </c>
      <c r="M419" s="43">
        <v>742</v>
      </c>
      <c r="N419" s="59">
        <v>0.46160000000000001</v>
      </c>
      <c r="O419" t="s">
        <v>62</v>
      </c>
      <c r="P419" s="9">
        <v>46070</v>
      </c>
      <c r="Q419">
        <v>201.15</v>
      </c>
    </row>
    <row r="420" spans="1:17" x14ac:dyDescent="0.25">
      <c r="A420" s="12" t="s">
        <v>133</v>
      </c>
      <c r="B420" s="3" t="str">
        <f t="shared" si="22"/>
        <v>AMZN</v>
      </c>
      <c r="C420" s="3" t="str">
        <f t="shared" si="20"/>
        <v>260515</v>
      </c>
      <c r="D420" s="3" t="str">
        <f t="shared" si="21"/>
        <v>C00185000</v>
      </c>
      <c r="E420" s="43" t="s">
        <v>231</v>
      </c>
      <c r="F420" s="13">
        <v>185</v>
      </c>
      <c r="G420" s="43">
        <v>25.61</v>
      </c>
      <c r="H420" s="43">
        <v>25.5</v>
      </c>
      <c r="I420" s="43">
        <v>25.9</v>
      </c>
      <c r="J420" s="16">
        <v>1.56</v>
      </c>
      <c r="K420" s="24">
        <v>6.4899999999999999E-2</v>
      </c>
      <c r="L420" s="43">
        <v>19</v>
      </c>
      <c r="M420" s="43">
        <v>249</v>
      </c>
      <c r="N420" s="59">
        <v>0.44219999999999998</v>
      </c>
      <c r="O420" t="s">
        <v>62</v>
      </c>
      <c r="P420" s="9">
        <v>46070</v>
      </c>
      <c r="Q420">
        <v>201.15</v>
      </c>
    </row>
    <row r="421" spans="1:17" x14ac:dyDescent="0.25">
      <c r="A421" s="12" t="s">
        <v>134</v>
      </c>
      <c r="B421" s="3" t="str">
        <f t="shared" si="22"/>
        <v>AMZN</v>
      </c>
      <c r="C421" s="3" t="str">
        <f t="shared" si="20"/>
        <v>260515</v>
      </c>
      <c r="D421" s="3" t="str">
        <f t="shared" si="21"/>
        <v>C00190000</v>
      </c>
      <c r="E421" s="43" t="s">
        <v>232</v>
      </c>
      <c r="F421" s="13">
        <v>190</v>
      </c>
      <c r="G421" s="43">
        <v>22.16</v>
      </c>
      <c r="H421" s="43">
        <v>22.25</v>
      </c>
      <c r="I421" s="43">
        <v>22.6</v>
      </c>
      <c r="J421" s="16">
        <v>1.42</v>
      </c>
      <c r="K421" s="24">
        <v>6.8500000000000005E-2</v>
      </c>
      <c r="L421" s="60">
        <v>7729</v>
      </c>
      <c r="M421" s="60">
        <v>15549</v>
      </c>
      <c r="N421" s="59">
        <v>0.43209999999999998</v>
      </c>
      <c r="O421" t="s">
        <v>62</v>
      </c>
      <c r="P421" s="9">
        <v>46070</v>
      </c>
      <c r="Q421">
        <v>201.15</v>
      </c>
    </row>
    <row r="422" spans="1:17" x14ac:dyDescent="0.25">
      <c r="A422" s="12" t="s">
        <v>135</v>
      </c>
      <c r="B422" s="3" t="str">
        <f t="shared" si="22"/>
        <v>AMZN</v>
      </c>
      <c r="C422" s="3" t="str">
        <f t="shared" si="20"/>
        <v>260515</v>
      </c>
      <c r="D422" s="3" t="str">
        <f t="shared" si="21"/>
        <v>C00195000</v>
      </c>
      <c r="E422" s="43" t="s">
        <v>224</v>
      </c>
      <c r="F422" s="13">
        <v>195</v>
      </c>
      <c r="G422" s="43">
        <v>19.5</v>
      </c>
      <c r="H422" s="43">
        <v>19.3</v>
      </c>
      <c r="I422" s="43">
        <v>19.600000000000001</v>
      </c>
      <c r="J422" s="16">
        <v>1.65</v>
      </c>
      <c r="K422" s="24">
        <v>9.2399999999999996E-2</v>
      </c>
      <c r="L422" s="43">
        <v>116</v>
      </c>
      <c r="M422" s="60">
        <v>1419</v>
      </c>
      <c r="N422" s="59">
        <v>0.42430000000000001</v>
      </c>
      <c r="O422" t="s">
        <v>62</v>
      </c>
      <c r="P422" s="9">
        <v>46070</v>
      </c>
      <c r="Q422">
        <v>201.15</v>
      </c>
    </row>
    <row r="423" spans="1:17" x14ac:dyDescent="0.25">
      <c r="A423" s="12" t="s">
        <v>136</v>
      </c>
      <c r="B423" s="3" t="str">
        <f t="shared" si="22"/>
        <v>AMZN</v>
      </c>
      <c r="C423" s="3" t="str">
        <f t="shared" si="20"/>
        <v>260515</v>
      </c>
      <c r="D423" s="3" t="str">
        <f t="shared" si="21"/>
        <v>C00200000</v>
      </c>
      <c r="E423" s="43" t="s">
        <v>233</v>
      </c>
      <c r="F423" s="13">
        <v>200</v>
      </c>
      <c r="G423" s="43">
        <v>16.62</v>
      </c>
      <c r="H423" s="43">
        <v>16.5</v>
      </c>
      <c r="I423" s="43">
        <v>16.8</v>
      </c>
      <c r="J423" s="16">
        <v>1.25</v>
      </c>
      <c r="K423" s="24">
        <v>8.1299999999999997E-2</v>
      </c>
      <c r="L423" s="60">
        <v>1092</v>
      </c>
      <c r="M423" s="60">
        <v>10460</v>
      </c>
      <c r="N423" s="59">
        <v>0.4158</v>
      </c>
      <c r="O423" t="s">
        <v>62</v>
      </c>
      <c r="P423" s="9">
        <v>46070</v>
      </c>
      <c r="Q423">
        <v>201.15</v>
      </c>
    </row>
    <row r="424" spans="1:17" x14ac:dyDescent="0.25">
      <c r="A424" s="5" t="s">
        <v>137</v>
      </c>
      <c r="B424" s="3" t="str">
        <f t="shared" si="22"/>
        <v>AMZN</v>
      </c>
      <c r="C424" s="3" t="str">
        <f t="shared" si="20"/>
        <v>260515</v>
      </c>
      <c r="D424" s="3" t="str">
        <f t="shared" si="21"/>
        <v>C00205000</v>
      </c>
      <c r="E424" s="45" t="s">
        <v>224</v>
      </c>
      <c r="F424" s="6">
        <v>205</v>
      </c>
      <c r="G424" s="45">
        <v>14.19</v>
      </c>
      <c r="H424" s="45">
        <v>14.05</v>
      </c>
      <c r="I424" s="45">
        <v>14.25</v>
      </c>
      <c r="J424" s="17">
        <v>1.26</v>
      </c>
      <c r="K424" s="20">
        <v>9.74E-2</v>
      </c>
      <c r="L424" s="45">
        <v>784</v>
      </c>
      <c r="M424" s="53">
        <v>9393</v>
      </c>
      <c r="N424" s="54">
        <v>0.40770000000000001</v>
      </c>
      <c r="O424" t="s">
        <v>62</v>
      </c>
      <c r="P424" s="9">
        <v>46070</v>
      </c>
      <c r="Q424">
        <v>201.15</v>
      </c>
    </row>
    <row r="425" spans="1:17" x14ac:dyDescent="0.25">
      <c r="A425" s="5" t="s">
        <v>138</v>
      </c>
      <c r="B425" s="3" t="str">
        <f t="shared" si="22"/>
        <v>AMZN</v>
      </c>
      <c r="C425" s="3" t="str">
        <f t="shared" si="20"/>
        <v>260515</v>
      </c>
      <c r="D425" s="3" t="str">
        <f t="shared" si="21"/>
        <v>C00210000</v>
      </c>
      <c r="E425" s="45" t="s">
        <v>233</v>
      </c>
      <c r="F425" s="6">
        <v>210</v>
      </c>
      <c r="G425" s="45">
        <v>11.95</v>
      </c>
      <c r="H425" s="45">
        <v>11.9</v>
      </c>
      <c r="I425" s="45">
        <v>12.1</v>
      </c>
      <c r="J425" s="17">
        <v>1.05</v>
      </c>
      <c r="K425" s="20">
        <v>9.6299999999999997E-2</v>
      </c>
      <c r="L425" s="45">
        <v>422</v>
      </c>
      <c r="M425" s="53">
        <v>8102</v>
      </c>
      <c r="N425" s="54">
        <v>0.40379999999999999</v>
      </c>
      <c r="O425" t="s">
        <v>62</v>
      </c>
      <c r="P425" s="9">
        <v>46070</v>
      </c>
      <c r="Q425">
        <v>201.15</v>
      </c>
    </row>
    <row r="426" spans="1:17" x14ac:dyDescent="0.25">
      <c r="A426" s="5" t="s">
        <v>139</v>
      </c>
      <c r="B426" s="3" t="str">
        <f t="shared" si="22"/>
        <v>AMZN</v>
      </c>
      <c r="C426" s="3" t="str">
        <f t="shared" si="20"/>
        <v>260515</v>
      </c>
      <c r="D426" s="3" t="str">
        <f t="shared" si="21"/>
        <v>C00215000</v>
      </c>
      <c r="E426" s="45" t="s">
        <v>231</v>
      </c>
      <c r="F426" s="6">
        <v>215</v>
      </c>
      <c r="G426" s="45">
        <v>9.9499999999999993</v>
      </c>
      <c r="H426" s="45">
        <v>9.9499999999999993</v>
      </c>
      <c r="I426" s="45">
        <v>10.1</v>
      </c>
      <c r="J426" s="17">
        <v>0.85</v>
      </c>
      <c r="K426" s="20">
        <v>9.3399999999999997E-2</v>
      </c>
      <c r="L426" s="45">
        <v>279</v>
      </c>
      <c r="M426" s="53">
        <v>2650</v>
      </c>
      <c r="N426" s="54">
        <v>0.3977</v>
      </c>
      <c r="O426" t="s">
        <v>62</v>
      </c>
      <c r="P426" s="9">
        <v>46070</v>
      </c>
      <c r="Q426">
        <v>201.15</v>
      </c>
    </row>
    <row r="427" spans="1:17" x14ac:dyDescent="0.25">
      <c r="A427" s="5" t="s">
        <v>140</v>
      </c>
      <c r="B427" s="3" t="str">
        <f t="shared" si="22"/>
        <v>AMZN</v>
      </c>
      <c r="C427" s="3" t="str">
        <f t="shared" si="20"/>
        <v>260515</v>
      </c>
      <c r="D427" s="3" t="str">
        <f t="shared" si="21"/>
        <v>C00220000</v>
      </c>
      <c r="E427" s="45" t="s">
        <v>233</v>
      </c>
      <c r="F427" s="6">
        <v>220</v>
      </c>
      <c r="G427" s="45">
        <v>8.35</v>
      </c>
      <c r="H427" s="45">
        <v>8.3000000000000007</v>
      </c>
      <c r="I427" s="45">
        <v>8.4499999999999993</v>
      </c>
      <c r="J427" s="17">
        <v>0.82</v>
      </c>
      <c r="K427" s="20">
        <v>0.1089</v>
      </c>
      <c r="L427" s="53">
        <v>1049</v>
      </c>
      <c r="M427" s="53">
        <v>6487</v>
      </c>
      <c r="N427" s="54">
        <v>0.3947</v>
      </c>
      <c r="O427" t="s">
        <v>62</v>
      </c>
      <c r="P427" s="9">
        <v>46070</v>
      </c>
      <c r="Q427">
        <v>201.15</v>
      </c>
    </row>
    <row r="428" spans="1:17" x14ac:dyDescent="0.25">
      <c r="A428" s="5" t="s">
        <v>141</v>
      </c>
      <c r="B428" s="3" t="str">
        <f t="shared" si="22"/>
        <v>AMZN</v>
      </c>
      <c r="C428" s="3" t="str">
        <f t="shared" si="20"/>
        <v>260515</v>
      </c>
      <c r="D428" s="3" t="str">
        <f t="shared" si="21"/>
        <v>C00225000</v>
      </c>
      <c r="E428" s="45" t="s">
        <v>224</v>
      </c>
      <c r="F428" s="6">
        <v>225</v>
      </c>
      <c r="G428" s="45">
        <v>6.94</v>
      </c>
      <c r="H428" s="45">
        <v>6.85</v>
      </c>
      <c r="I428" s="45">
        <v>7</v>
      </c>
      <c r="J428" s="17">
        <v>0.64</v>
      </c>
      <c r="K428" s="20">
        <v>0.1016</v>
      </c>
      <c r="L428" s="45">
        <v>301</v>
      </c>
      <c r="M428" s="53">
        <v>5912</v>
      </c>
      <c r="N428" s="54">
        <v>0.39150000000000001</v>
      </c>
      <c r="O428" t="s">
        <v>62</v>
      </c>
      <c r="P428" s="9">
        <v>46070</v>
      </c>
      <c r="Q428">
        <v>201.15</v>
      </c>
    </row>
    <row r="429" spans="1:17" x14ac:dyDescent="0.25">
      <c r="A429" s="5" t="s">
        <v>142</v>
      </c>
      <c r="B429" s="3" t="str">
        <f t="shared" si="22"/>
        <v>AMZN</v>
      </c>
      <c r="C429" s="3" t="str">
        <f t="shared" si="20"/>
        <v>260515</v>
      </c>
      <c r="D429" s="3" t="str">
        <f t="shared" si="21"/>
        <v>C00230000</v>
      </c>
      <c r="E429" s="45" t="s">
        <v>231</v>
      </c>
      <c r="F429" s="6">
        <v>230</v>
      </c>
      <c r="G429" s="45">
        <v>5.75</v>
      </c>
      <c r="H429" s="45">
        <v>5.65</v>
      </c>
      <c r="I429" s="45">
        <v>5.85</v>
      </c>
      <c r="J429" s="17">
        <v>0.65</v>
      </c>
      <c r="K429" s="20">
        <v>0.1275</v>
      </c>
      <c r="L429" s="45">
        <v>535</v>
      </c>
      <c r="M429" s="53">
        <v>12077</v>
      </c>
      <c r="N429" s="54">
        <v>0.39150000000000001</v>
      </c>
      <c r="O429" t="s">
        <v>62</v>
      </c>
      <c r="P429" s="9">
        <v>46070</v>
      </c>
      <c r="Q429">
        <v>201.15</v>
      </c>
    </row>
    <row r="430" spans="1:17" x14ac:dyDescent="0.25">
      <c r="A430" s="5" t="s">
        <v>143</v>
      </c>
      <c r="B430" s="3" t="str">
        <f t="shared" si="22"/>
        <v>AMZN</v>
      </c>
      <c r="C430" s="3" t="str">
        <f t="shared" si="20"/>
        <v>260515</v>
      </c>
      <c r="D430" s="3" t="str">
        <f t="shared" si="21"/>
        <v>C00235000</v>
      </c>
      <c r="E430" s="45" t="s">
        <v>234</v>
      </c>
      <c r="F430" s="6">
        <v>235</v>
      </c>
      <c r="G430" s="45">
        <v>4.71</v>
      </c>
      <c r="H430" s="45">
        <v>4.6500000000000004</v>
      </c>
      <c r="I430" s="45">
        <v>4.75</v>
      </c>
      <c r="J430" s="17">
        <v>0.44</v>
      </c>
      <c r="K430" s="20">
        <v>0.10299999999999999</v>
      </c>
      <c r="L430" s="45">
        <v>699</v>
      </c>
      <c r="M430" s="53">
        <v>7356</v>
      </c>
      <c r="N430" s="54">
        <v>0.38779999999999998</v>
      </c>
      <c r="O430" t="s">
        <v>62</v>
      </c>
      <c r="P430" s="9">
        <v>46070</v>
      </c>
      <c r="Q430">
        <v>201.15</v>
      </c>
    </row>
    <row r="431" spans="1:17" x14ac:dyDescent="0.25">
      <c r="A431" s="5" t="s">
        <v>144</v>
      </c>
      <c r="B431" s="3" t="str">
        <f t="shared" si="22"/>
        <v>AMZN</v>
      </c>
      <c r="C431" s="3" t="str">
        <f t="shared" si="20"/>
        <v>260515</v>
      </c>
      <c r="D431" s="3" t="str">
        <f t="shared" si="21"/>
        <v>C00240000</v>
      </c>
      <c r="E431" s="45" t="s">
        <v>235</v>
      </c>
      <c r="F431" s="6">
        <v>240</v>
      </c>
      <c r="G431" s="45">
        <v>3.79</v>
      </c>
      <c r="H431" s="45">
        <v>3.85</v>
      </c>
      <c r="I431" s="45">
        <v>3.9</v>
      </c>
      <c r="J431" s="17">
        <v>0.34</v>
      </c>
      <c r="K431" s="20">
        <v>9.8599999999999993E-2</v>
      </c>
      <c r="L431" s="45">
        <v>902</v>
      </c>
      <c r="M431" s="53">
        <v>7988</v>
      </c>
      <c r="N431" s="54">
        <v>0.38700000000000001</v>
      </c>
      <c r="O431" t="s">
        <v>62</v>
      </c>
      <c r="P431" s="9">
        <v>46070</v>
      </c>
      <c r="Q431">
        <v>201.15</v>
      </c>
    </row>
    <row r="432" spans="1:17" x14ac:dyDescent="0.25">
      <c r="A432" s="5" t="s">
        <v>145</v>
      </c>
      <c r="B432" s="3" t="str">
        <f t="shared" si="22"/>
        <v>AMZN</v>
      </c>
      <c r="C432" s="3" t="str">
        <f t="shared" si="20"/>
        <v>260515</v>
      </c>
      <c r="D432" s="3" t="str">
        <f t="shared" si="21"/>
        <v>C00245000</v>
      </c>
      <c r="E432" s="45" t="s">
        <v>236</v>
      </c>
      <c r="F432" s="6">
        <v>245</v>
      </c>
      <c r="G432" s="45">
        <v>3.2</v>
      </c>
      <c r="H432" s="45">
        <v>3.15</v>
      </c>
      <c r="I432" s="45">
        <v>3.25</v>
      </c>
      <c r="J432" s="17">
        <v>0.35</v>
      </c>
      <c r="K432" s="20">
        <v>0.12280000000000001</v>
      </c>
      <c r="L432" s="45">
        <v>672</v>
      </c>
      <c r="M432" s="53">
        <v>4786</v>
      </c>
      <c r="N432" s="54">
        <v>0.38879999999999998</v>
      </c>
      <c r="O432" t="s">
        <v>62</v>
      </c>
      <c r="P432" s="9">
        <v>46070</v>
      </c>
      <c r="Q432">
        <v>201.15</v>
      </c>
    </row>
    <row r="433" spans="1:17" x14ac:dyDescent="0.25">
      <c r="A433" s="5" t="s">
        <v>146</v>
      </c>
      <c r="B433" s="3" t="str">
        <f t="shared" si="22"/>
        <v>AMZN</v>
      </c>
      <c r="C433" s="3" t="str">
        <f t="shared" si="20"/>
        <v>260515</v>
      </c>
      <c r="D433" s="3" t="str">
        <f t="shared" si="21"/>
        <v>C00250000</v>
      </c>
      <c r="E433" s="45" t="s">
        <v>233</v>
      </c>
      <c r="F433" s="6">
        <v>250</v>
      </c>
      <c r="G433" s="45">
        <v>2.61</v>
      </c>
      <c r="H433" s="45">
        <v>2.6</v>
      </c>
      <c r="I433" s="45">
        <v>2.65</v>
      </c>
      <c r="J433" s="17">
        <v>0.22</v>
      </c>
      <c r="K433" s="20">
        <v>9.2100000000000001E-2</v>
      </c>
      <c r="L433" s="53">
        <v>1567</v>
      </c>
      <c r="M433" s="53">
        <v>37492</v>
      </c>
      <c r="N433" s="54">
        <v>0.38829999999999998</v>
      </c>
      <c r="O433" t="s">
        <v>62</v>
      </c>
      <c r="P433" s="9">
        <v>46070</v>
      </c>
      <c r="Q433">
        <v>201.15</v>
      </c>
    </row>
    <row r="434" spans="1:17" x14ac:dyDescent="0.25">
      <c r="A434" s="5" t="s">
        <v>147</v>
      </c>
      <c r="B434" s="3" t="str">
        <f t="shared" si="22"/>
        <v>AMZN</v>
      </c>
      <c r="C434" s="3" t="str">
        <f t="shared" si="20"/>
        <v>260515</v>
      </c>
      <c r="D434" s="3" t="str">
        <f t="shared" si="21"/>
        <v>C00255000</v>
      </c>
      <c r="E434" s="45" t="s">
        <v>237</v>
      </c>
      <c r="F434" s="6">
        <v>255</v>
      </c>
      <c r="G434" s="45">
        <v>2.16</v>
      </c>
      <c r="H434" s="45">
        <v>2.14</v>
      </c>
      <c r="I434" s="45">
        <v>2.2200000000000002</v>
      </c>
      <c r="J434" s="17">
        <v>0.22</v>
      </c>
      <c r="K434" s="20">
        <v>0.1134</v>
      </c>
      <c r="L434" s="45">
        <v>202</v>
      </c>
      <c r="M434" s="53">
        <v>2652</v>
      </c>
      <c r="N434" s="54">
        <v>0.39119999999999999</v>
      </c>
      <c r="O434" t="s">
        <v>62</v>
      </c>
      <c r="P434" s="9">
        <v>46070</v>
      </c>
      <c r="Q434">
        <v>201.15</v>
      </c>
    </row>
    <row r="435" spans="1:17" x14ac:dyDescent="0.25">
      <c r="A435" s="5" t="s">
        <v>148</v>
      </c>
      <c r="B435" s="3" t="str">
        <f t="shared" si="22"/>
        <v>AMZN</v>
      </c>
      <c r="C435" s="3" t="str">
        <f t="shared" si="20"/>
        <v>260515</v>
      </c>
      <c r="D435" s="3" t="str">
        <f t="shared" si="21"/>
        <v>C00260000</v>
      </c>
      <c r="E435" s="45" t="s">
        <v>232</v>
      </c>
      <c r="F435" s="6">
        <v>260</v>
      </c>
      <c r="G435" s="45">
        <v>1.77</v>
      </c>
      <c r="H435" s="45">
        <v>1.79</v>
      </c>
      <c r="I435" s="45">
        <v>1.86</v>
      </c>
      <c r="J435" s="17">
        <v>0.14000000000000001</v>
      </c>
      <c r="K435" s="20">
        <v>8.5900000000000004E-2</v>
      </c>
      <c r="L435" s="45">
        <v>954</v>
      </c>
      <c r="M435" s="53">
        <v>30913</v>
      </c>
      <c r="N435" s="54">
        <v>0.39419999999999999</v>
      </c>
      <c r="O435" t="s">
        <v>62</v>
      </c>
      <c r="P435" s="9">
        <v>46070</v>
      </c>
      <c r="Q435">
        <v>201.15</v>
      </c>
    </row>
    <row r="436" spans="1:17" x14ac:dyDescent="0.25">
      <c r="A436" s="5" t="s">
        <v>149</v>
      </c>
      <c r="B436" s="3" t="str">
        <f t="shared" si="22"/>
        <v>AMZN</v>
      </c>
      <c r="C436" s="3" t="str">
        <f t="shared" ref="C436:C499" si="23">+MID(A436,5,6)</f>
        <v>260515</v>
      </c>
      <c r="D436" s="3" t="str">
        <f t="shared" ref="D436:D499" si="24">+MID(A436,11,10)</f>
        <v>C00265000</v>
      </c>
      <c r="E436" s="45" t="s">
        <v>238</v>
      </c>
      <c r="F436" s="6">
        <v>265</v>
      </c>
      <c r="G436" s="45">
        <v>1.49</v>
      </c>
      <c r="H436" s="45">
        <v>1.48</v>
      </c>
      <c r="I436" s="45">
        <v>1.56</v>
      </c>
      <c r="J436" s="17">
        <v>0.14000000000000001</v>
      </c>
      <c r="K436" s="20">
        <v>0.1037</v>
      </c>
      <c r="L436" s="45">
        <v>85</v>
      </c>
      <c r="M436" s="53">
        <v>2370</v>
      </c>
      <c r="N436" s="54">
        <v>0.3972</v>
      </c>
      <c r="O436" t="s">
        <v>62</v>
      </c>
      <c r="P436" s="9">
        <v>46070</v>
      </c>
      <c r="Q436">
        <v>201.15</v>
      </c>
    </row>
    <row r="437" spans="1:17" x14ac:dyDescent="0.25">
      <c r="A437" s="5" t="s">
        <v>150</v>
      </c>
      <c r="B437" s="3" t="str">
        <f t="shared" si="22"/>
        <v>AMZN</v>
      </c>
      <c r="C437" s="3" t="str">
        <f t="shared" si="23"/>
        <v>260515</v>
      </c>
      <c r="D437" s="3" t="str">
        <f t="shared" si="24"/>
        <v>C00270000</v>
      </c>
      <c r="E437" s="45" t="s">
        <v>239</v>
      </c>
      <c r="F437" s="6">
        <v>270</v>
      </c>
      <c r="G437" s="45">
        <v>1.2</v>
      </c>
      <c r="H437" s="45">
        <v>1.24</v>
      </c>
      <c r="I437" s="45">
        <v>1.31</v>
      </c>
      <c r="J437" s="17">
        <v>0.05</v>
      </c>
      <c r="K437" s="20">
        <v>4.3499999999999997E-2</v>
      </c>
      <c r="L437" s="45">
        <v>78</v>
      </c>
      <c r="M437" s="53">
        <v>4554</v>
      </c>
      <c r="N437" s="54">
        <v>0.4002</v>
      </c>
      <c r="O437" t="s">
        <v>62</v>
      </c>
      <c r="P437" s="9">
        <v>46070</v>
      </c>
      <c r="Q437">
        <v>201.15</v>
      </c>
    </row>
    <row r="438" spans="1:17" x14ac:dyDescent="0.25">
      <c r="A438" s="5" t="s">
        <v>151</v>
      </c>
      <c r="B438" s="3" t="str">
        <f t="shared" si="22"/>
        <v>AMZN</v>
      </c>
      <c r="C438" s="3" t="str">
        <f t="shared" si="23"/>
        <v>260515</v>
      </c>
      <c r="D438" s="3" t="str">
        <f t="shared" si="24"/>
        <v>C00275000</v>
      </c>
      <c r="E438" s="45" t="s">
        <v>224</v>
      </c>
      <c r="F438" s="6">
        <v>275</v>
      </c>
      <c r="G438" s="45">
        <v>1.06</v>
      </c>
      <c r="H438" s="45">
        <v>1.06</v>
      </c>
      <c r="I438" s="45">
        <v>1.1000000000000001</v>
      </c>
      <c r="J438" s="17">
        <v>0.08</v>
      </c>
      <c r="K438" s="20">
        <v>8.1600000000000006E-2</v>
      </c>
      <c r="L438" s="45">
        <v>237</v>
      </c>
      <c r="M438" s="53">
        <v>7476</v>
      </c>
      <c r="N438" s="54">
        <v>0.40310000000000001</v>
      </c>
      <c r="O438" t="s">
        <v>62</v>
      </c>
      <c r="P438" s="9">
        <v>46070</v>
      </c>
      <c r="Q438">
        <v>201.15</v>
      </c>
    </row>
    <row r="439" spans="1:17" x14ac:dyDescent="0.25">
      <c r="A439" s="5" t="s">
        <v>152</v>
      </c>
      <c r="B439" s="3" t="str">
        <f t="shared" si="22"/>
        <v>AMZN</v>
      </c>
      <c r="C439" s="3" t="str">
        <f t="shared" si="23"/>
        <v>260515</v>
      </c>
      <c r="D439" s="3" t="str">
        <f t="shared" si="24"/>
        <v>C00280000</v>
      </c>
      <c r="E439" s="45" t="s">
        <v>240</v>
      </c>
      <c r="F439" s="6">
        <v>280</v>
      </c>
      <c r="G439" s="45">
        <v>0.89</v>
      </c>
      <c r="H439" s="45">
        <v>0.9</v>
      </c>
      <c r="I439" s="45">
        <v>0.94</v>
      </c>
      <c r="J439" s="17">
        <v>0.04</v>
      </c>
      <c r="K439" s="20">
        <v>4.7100000000000003E-2</v>
      </c>
      <c r="L439" s="45">
        <v>54</v>
      </c>
      <c r="M439" s="53">
        <v>8333</v>
      </c>
      <c r="N439" s="54">
        <v>0.40720000000000001</v>
      </c>
      <c r="O439" t="s">
        <v>62</v>
      </c>
      <c r="P439" s="9">
        <v>46070</v>
      </c>
      <c r="Q439">
        <v>201.15</v>
      </c>
    </row>
    <row r="440" spans="1:17" x14ac:dyDescent="0.25">
      <c r="A440" s="5" t="s">
        <v>153</v>
      </c>
      <c r="B440" s="3" t="str">
        <f t="shared" si="22"/>
        <v>AMZN</v>
      </c>
      <c r="C440" s="3" t="str">
        <f t="shared" si="23"/>
        <v>260515</v>
      </c>
      <c r="D440" s="3" t="str">
        <f t="shared" si="24"/>
        <v>C00285000</v>
      </c>
      <c r="E440" s="45" t="s">
        <v>233</v>
      </c>
      <c r="F440" s="6">
        <v>285</v>
      </c>
      <c r="G440" s="45">
        <v>0.77</v>
      </c>
      <c r="H440" s="45">
        <v>0.78</v>
      </c>
      <c r="I440" s="45">
        <v>0.82</v>
      </c>
      <c r="J440" s="17">
        <v>0.04</v>
      </c>
      <c r="K440" s="20">
        <v>5.4800000000000001E-2</v>
      </c>
      <c r="L440" s="45">
        <v>81</v>
      </c>
      <c r="M440" s="53">
        <v>16657</v>
      </c>
      <c r="N440" s="54">
        <v>0.4128</v>
      </c>
      <c r="O440" t="s">
        <v>62</v>
      </c>
      <c r="P440" s="9">
        <v>46070</v>
      </c>
      <c r="Q440">
        <v>201.15</v>
      </c>
    </row>
    <row r="441" spans="1:17" x14ac:dyDescent="0.25">
      <c r="A441" s="5" t="s">
        <v>154</v>
      </c>
      <c r="B441" s="3" t="str">
        <f t="shared" si="22"/>
        <v>AMZN</v>
      </c>
      <c r="C441" s="3" t="str">
        <f t="shared" si="23"/>
        <v>260515</v>
      </c>
      <c r="D441" s="3" t="str">
        <f t="shared" si="24"/>
        <v>C00290000</v>
      </c>
      <c r="E441" s="45" t="s">
        <v>234</v>
      </c>
      <c r="F441" s="6">
        <v>290</v>
      </c>
      <c r="G441" s="45">
        <v>0.66</v>
      </c>
      <c r="H441" s="45">
        <v>0.67</v>
      </c>
      <c r="I441" s="45">
        <v>0.7</v>
      </c>
      <c r="J441" s="17">
        <v>0.02</v>
      </c>
      <c r="K441" s="20">
        <v>3.1300000000000001E-2</v>
      </c>
      <c r="L441" s="45">
        <v>9</v>
      </c>
      <c r="M441" s="53">
        <v>3219</v>
      </c>
      <c r="N441" s="54">
        <v>0.41649999999999998</v>
      </c>
      <c r="O441" t="s">
        <v>62</v>
      </c>
      <c r="P441" s="9">
        <v>46070</v>
      </c>
      <c r="Q441">
        <v>201.15</v>
      </c>
    </row>
    <row r="442" spans="1:17" x14ac:dyDescent="0.25">
      <c r="A442" s="5" t="s">
        <v>155</v>
      </c>
      <c r="B442" s="3" t="str">
        <f t="shared" si="22"/>
        <v>AMZN</v>
      </c>
      <c r="C442" s="3" t="str">
        <f t="shared" si="23"/>
        <v>260515</v>
      </c>
      <c r="D442" s="3" t="str">
        <f t="shared" si="24"/>
        <v>C00295000</v>
      </c>
      <c r="E442" s="45" t="s">
        <v>241</v>
      </c>
      <c r="F442" s="6">
        <v>295</v>
      </c>
      <c r="G442" s="45">
        <v>0.55000000000000004</v>
      </c>
      <c r="H442" s="45">
        <v>0.56999999999999995</v>
      </c>
      <c r="I442" s="45">
        <v>0.62</v>
      </c>
      <c r="J442" s="17">
        <v>-0.06</v>
      </c>
      <c r="K442" s="20">
        <v>-9.8400000000000001E-2</v>
      </c>
      <c r="L442" s="45">
        <v>10</v>
      </c>
      <c r="M442" s="45">
        <v>724</v>
      </c>
      <c r="N442" s="54">
        <v>0.42259999999999998</v>
      </c>
      <c r="O442" t="s">
        <v>62</v>
      </c>
      <c r="P442" s="9">
        <v>46070</v>
      </c>
      <c r="Q442">
        <v>201.15</v>
      </c>
    </row>
    <row r="443" spans="1:17" x14ac:dyDescent="0.25">
      <c r="A443" s="5" t="s">
        <v>156</v>
      </c>
      <c r="B443" s="3" t="str">
        <f t="shared" si="22"/>
        <v>AMZN</v>
      </c>
      <c r="C443" s="3" t="str">
        <f t="shared" si="23"/>
        <v>260515</v>
      </c>
      <c r="D443" s="3" t="str">
        <f t="shared" si="24"/>
        <v>C00300000</v>
      </c>
      <c r="E443" s="45" t="s">
        <v>234</v>
      </c>
      <c r="F443" s="6">
        <v>300</v>
      </c>
      <c r="G443" s="45">
        <v>0.5</v>
      </c>
      <c r="H443" s="45">
        <v>0.5</v>
      </c>
      <c r="I443" s="45">
        <v>0.54</v>
      </c>
      <c r="J443" s="17">
        <v>0.01</v>
      </c>
      <c r="K443" s="20">
        <v>2.0400000000000001E-2</v>
      </c>
      <c r="L443" s="45">
        <v>130</v>
      </c>
      <c r="M443" s="53">
        <v>2531</v>
      </c>
      <c r="N443" s="54">
        <v>0.42730000000000001</v>
      </c>
      <c r="O443" t="s">
        <v>62</v>
      </c>
      <c r="P443" s="9">
        <v>46070</v>
      </c>
      <c r="Q443">
        <v>201.15</v>
      </c>
    </row>
    <row r="444" spans="1:17" x14ac:dyDescent="0.25">
      <c r="A444" s="5" t="s">
        <v>157</v>
      </c>
      <c r="B444" s="3" t="str">
        <f t="shared" si="22"/>
        <v>AMZN</v>
      </c>
      <c r="C444" s="3" t="str">
        <f t="shared" si="23"/>
        <v>260515</v>
      </c>
      <c r="D444" s="3" t="str">
        <f t="shared" si="24"/>
        <v>C00305000</v>
      </c>
      <c r="E444" s="45" t="s">
        <v>240</v>
      </c>
      <c r="F444" s="6">
        <v>305</v>
      </c>
      <c r="G444" s="45">
        <v>0.43</v>
      </c>
      <c r="H444" s="45">
        <v>0.43</v>
      </c>
      <c r="I444" s="45">
        <v>0.47</v>
      </c>
      <c r="J444" s="17">
        <v>-0.01</v>
      </c>
      <c r="K444" s="20">
        <v>-2.2700000000000001E-2</v>
      </c>
      <c r="L444" s="45">
        <v>3</v>
      </c>
      <c r="M444" s="53">
        <v>1250</v>
      </c>
      <c r="N444" s="54">
        <v>0.43140000000000001</v>
      </c>
      <c r="O444" t="s">
        <v>62</v>
      </c>
      <c r="P444" s="9">
        <v>46070</v>
      </c>
      <c r="Q444">
        <v>201.15</v>
      </c>
    </row>
    <row r="445" spans="1:17" x14ac:dyDescent="0.25">
      <c r="A445" s="5" t="s">
        <v>158</v>
      </c>
      <c r="B445" s="3" t="str">
        <f t="shared" si="22"/>
        <v>AMZN</v>
      </c>
      <c r="C445" s="3" t="str">
        <f t="shared" si="23"/>
        <v>260515</v>
      </c>
      <c r="D445" s="3" t="str">
        <f t="shared" si="24"/>
        <v>C00310000</v>
      </c>
      <c r="E445" s="45" t="s">
        <v>242</v>
      </c>
      <c r="F445" s="6">
        <v>310</v>
      </c>
      <c r="G445" s="45">
        <v>0.38</v>
      </c>
      <c r="H445" s="45">
        <v>0.38</v>
      </c>
      <c r="I445" s="45">
        <v>0.41</v>
      </c>
      <c r="J445" s="17">
        <v>0</v>
      </c>
      <c r="K445" s="20">
        <v>0</v>
      </c>
      <c r="L445" s="45">
        <v>3</v>
      </c>
      <c r="M445" s="53">
        <v>6744</v>
      </c>
      <c r="N445" s="54">
        <v>0.43559999999999999</v>
      </c>
      <c r="O445" t="s">
        <v>62</v>
      </c>
      <c r="P445" s="9">
        <v>46070</v>
      </c>
      <c r="Q445">
        <v>201.15</v>
      </c>
    </row>
    <row r="446" spans="1:17" x14ac:dyDescent="0.25">
      <c r="A446" s="5" t="s">
        <v>159</v>
      </c>
      <c r="B446" s="3" t="str">
        <f t="shared" si="22"/>
        <v>AMZN</v>
      </c>
      <c r="C446" s="3" t="str">
        <f t="shared" si="23"/>
        <v>260515</v>
      </c>
      <c r="D446" s="3" t="str">
        <f t="shared" si="24"/>
        <v>C00315000</v>
      </c>
      <c r="E446" s="45" t="s">
        <v>243</v>
      </c>
      <c r="F446" s="6">
        <v>315</v>
      </c>
      <c r="G446" s="45">
        <v>0.33</v>
      </c>
      <c r="H446" s="45">
        <v>0.33</v>
      </c>
      <c r="I446" s="45">
        <v>0.37</v>
      </c>
      <c r="J446" s="17">
        <v>-0.02</v>
      </c>
      <c r="K446" s="20">
        <v>-5.7099999999999998E-2</v>
      </c>
      <c r="L446" s="45">
        <v>1</v>
      </c>
      <c r="M446" s="45">
        <v>733</v>
      </c>
      <c r="N446" s="54">
        <v>0.44190000000000002</v>
      </c>
      <c r="O446" t="s">
        <v>62</v>
      </c>
      <c r="P446" s="9">
        <v>46070</v>
      </c>
      <c r="Q446">
        <v>201.15</v>
      </c>
    </row>
    <row r="447" spans="1:17" x14ac:dyDescent="0.25">
      <c r="A447" s="5" t="s">
        <v>160</v>
      </c>
      <c r="B447" s="3" t="str">
        <f t="shared" si="22"/>
        <v>AMZN</v>
      </c>
      <c r="C447" s="3" t="str">
        <f t="shared" si="23"/>
        <v>260515</v>
      </c>
      <c r="D447" s="3" t="str">
        <f t="shared" si="24"/>
        <v>C00320000</v>
      </c>
      <c r="E447" s="45" t="s">
        <v>244</v>
      </c>
      <c r="F447" s="6">
        <v>320</v>
      </c>
      <c r="G447" s="45">
        <v>0.3</v>
      </c>
      <c r="H447" s="45">
        <v>0.3</v>
      </c>
      <c r="I447" s="45">
        <v>0.32</v>
      </c>
      <c r="J447" s="17">
        <v>0.01</v>
      </c>
      <c r="K447" s="20">
        <v>3.4500000000000003E-2</v>
      </c>
      <c r="L447" s="45">
        <v>5</v>
      </c>
      <c r="M447" s="53">
        <v>1236</v>
      </c>
      <c r="N447" s="54">
        <v>0.44479999999999997</v>
      </c>
      <c r="O447" t="s">
        <v>62</v>
      </c>
      <c r="P447" s="9">
        <v>46070</v>
      </c>
      <c r="Q447">
        <v>201.15</v>
      </c>
    </row>
    <row r="448" spans="1:17" x14ac:dyDescent="0.25">
      <c r="A448" s="5" t="s">
        <v>161</v>
      </c>
      <c r="B448" s="3" t="str">
        <f t="shared" si="22"/>
        <v>AMZN</v>
      </c>
      <c r="C448" s="3" t="str">
        <f t="shared" si="23"/>
        <v>260515</v>
      </c>
      <c r="D448" s="3" t="str">
        <f t="shared" si="24"/>
        <v>C00325000</v>
      </c>
      <c r="E448" s="45" t="s">
        <v>245</v>
      </c>
      <c r="F448" s="6">
        <v>325</v>
      </c>
      <c r="G448" s="45">
        <v>0.26</v>
      </c>
      <c r="H448" s="45">
        <v>0.26</v>
      </c>
      <c r="I448" s="45">
        <v>0.28999999999999998</v>
      </c>
      <c r="J448" s="17">
        <v>0.01</v>
      </c>
      <c r="K448" s="20">
        <v>0.04</v>
      </c>
      <c r="L448" s="45">
        <v>3</v>
      </c>
      <c r="M448" s="53">
        <v>1352</v>
      </c>
      <c r="N448" s="54">
        <v>0.45069999999999999</v>
      </c>
      <c r="O448" t="s">
        <v>62</v>
      </c>
      <c r="P448" s="9">
        <v>46070</v>
      </c>
      <c r="Q448">
        <v>201.15</v>
      </c>
    </row>
    <row r="449" spans="1:17" x14ac:dyDescent="0.25">
      <c r="A449" s="5" t="s">
        <v>162</v>
      </c>
      <c r="B449" s="3" t="str">
        <f t="shared" si="22"/>
        <v>AMZN</v>
      </c>
      <c r="C449" s="3" t="str">
        <f t="shared" si="23"/>
        <v>260515</v>
      </c>
      <c r="D449" s="3" t="str">
        <f t="shared" si="24"/>
        <v>C00330000</v>
      </c>
      <c r="E449" s="45" t="s">
        <v>246</v>
      </c>
      <c r="F449" s="6">
        <v>330</v>
      </c>
      <c r="G449" s="45">
        <v>0.23</v>
      </c>
      <c r="H449" s="45">
        <v>0.24</v>
      </c>
      <c r="I449" s="45">
        <v>0.26</v>
      </c>
      <c r="J449" s="17">
        <v>0</v>
      </c>
      <c r="K449" s="20">
        <v>0</v>
      </c>
      <c r="L449" s="45">
        <v>8</v>
      </c>
      <c r="M449" s="45">
        <v>584</v>
      </c>
      <c r="N449" s="54">
        <v>0.45579999999999998</v>
      </c>
      <c r="O449" t="s">
        <v>62</v>
      </c>
      <c r="P449" s="9">
        <v>46070</v>
      </c>
      <c r="Q449">
        <v>201.15</v>
      </c>
    </row>
    <row r="450" spans="1:17" x14ac:dyDescent="0.25">
      <c r="A450" s="5" t="s">
        <v>163</v>
      </c>
      <c r="B450" s="3" t="str">
        <f t="shared" si="22"/>
        <v>AMZN</v>
      </c>
      <c r="C450" s="3" t="str">
        <f t="shared" si="23"/>
        <v>260515</v>
      </c>
      <c r="D450" s="3" t="str">
        <f t="shared" si="24"/>
        <v>C00340000</v>
      </c>
      <c r="E450" s="39">
        <v>46358.607638888891</v>
      </c>
      <c r="F450" s="6">
        <v>340</v>
      </c>
      <c r="G450" s="45">
        <v>0.21</v>
      </c>
      <c r="H450" s="45">
        <v>0.19</v>
      </c>
      <c r="I450" s="45">
        <v>0.21</v>
      </c>
      <c r="J450" s="17">
        <v>0</v>
      </c>
      <c r="K450" s="20">
        <v>0</v>
      </c>
      <c r="L450" s="45">
        <v>4</v>
      </c>
      <c r="M450" s="45">
        <v>466</v>
      </c>
      <c r="N450" s="54">
        <v>0.46529999999999999</v>
      </c>
      <c r="O450" t="s">
        <v>62</v>
      </c>
      <c r="P450" s="9">
        <v>46070</v>
      </c>
      <c r="Q450">
        <v>201.15</v>
      </c>
    </row>
    <row r="451" spans="1:17" x14ac:dyDescent="0.25">
      <c r="A451" s="5" t="s">
        <v>164</v>
      </c>
      <c r="B451" s="3" t="str">
        <f t="shared" ref="B451:B514" si="25">+MID(A451,1,4)</f>
        <v>AMZN</v>
      </c>
      <c r="C451" s="3" t="str">
        <f t="shared" si="23"/>
        <v>260515</v>
      </c>
      <c r="D451" s="3" t="str">
        <f t="shared" si="24"/>
        <v>C00350000</v>
      </c>
      <c r="E451" s="45" t="s">
        <v>247</v>
      </c>
      <c r="F451" s="6">
        <v>350</v>
      </c>
      <c r="G451" s="45">
        <v>0.16</v>
      </c>
      <c r="H451" s="45">
        <v>0.15</v>
      </c>
      <c r="I451" s="45">
        <v>0.17</v>
      </c>
      <c r="J451" s="17">
        <v>0</v>
      </c>
      <c r="K451" s="20">
        <v>0</v>
      </c>
      <c r="L451" s="45">
        <v>18</v>
      </c>
      <c r="M451" s="53">
        <v>1640</v>
      </c>
      <c r="N451" s="54">
        <v>0.47410000000000002</v>
      </c>
      <c r="O451" t="s">
        <v>62</v>
      </c>
      <c r="P451" s="9">
        <v>46070</v>
      </c>
      <c r="Q451">
        <v>201.15</v>
      </c>
    </row>
    <row r="452" spans="1:17" x14ac:dyDescent="0.25">
      <c r="A452" s="5" t="s">
        <v>165</v>
      </c>
      <c r="B452" s="3" t="str">
        <f t="shared" si="25"/>
        <v>AMZN</v>
      </c>
      <c r="C452" s="3" t="str">
        <f t="shared" si="23"/>
        <v>260515</v>
      </c>
      <c r="D452" s="3" t="str">
        <f t="shared" si="24"/>
        <v>C00360000</v>
      </c>
      <c r="E452" s="39">
        <v>46267.582638888889</v>
      </c>
      <c r="F452" s="6">
        <v>360</v>
      </c>
      <c r="G452" s="45">
        <v>0.18</v>
      </c>
      <c r="H452" s="45">
        <v>0.12</v>
      </c>
      <c r="I452" s="45">
        <v>0.18</v>
      </c>
      <c r="J452" s="17">
        <v>0</v>
      </c>
      <c r="K452" s="20">
        <v>0</v>
      </c>
      <c r="L452" s="45">
        <v>61</v>
      </c>
      <c r="M452" s="45">
        <v>206</v>
      </c>
      <c r="N452" s="54">
        <v>0.49809999999999999</v>
      </c>
      <c r="O452" t="s">
        <v>62</v>
      </c>
      <c r="P452" s="9">
        <v>46070</v>
      </c>
      <c r="Q452">
        <v>201.15</v>
      </c>
    </row>
    <row r="453" spans="1:17" x14ac:dyDescent="0.25">
      <c r="A453" s="12" t="s">
        <v>166</v>
      </c>
      <c r="B453" s="3" t="str">
        <f t="shared" si="25"/>
        <v>AMZN</v>
      </c>
      <c r="C453" s="3" t="str">
        <f t="shared" si="23"/>
        <v>260515</v>
      </c>
      <c r="D453" s="3" t="str">
        <f t="shared" si="24"/>
        <v>C00370000</v>
      </c>
      <c r="E453" s="43" t="s">
        <v>248</v>
      </c>
      <c r="F453" s="13">
        <v>370</v>
      </c>
      <c r="G453" s="43">
        <v>0.1</v>
      </c>
      <c r="H453" s="43">
        <v>0.09</v>
      </c>
      <c r="I453" s="43">
        <v>0.18</v>
      </c>
      <c r="J453" s="16">
        <v>0.01</v>
      </c>
      <c r="K453" s="24">
        <v>0.1111</v>
      </c>
      <c r="L453" s="43">
        <v>5</v>
      </c>
      <c r="M453" s="60">
        <v>2099</v>
      </c>
      <c r="N453" s="59">
        <v>0.5</v>
      </c>
      <c r="O453" t="s">
        <v>62</v>
      </c>
      <c r="P453" s="9">
        <v>46070</v>
      </c>
      <c r="Q453">
        <v>201.15</v>
      </c>
    </row>
    <row r="454" spans="1:17" x14ac:dyDescent="0.25">
      <c r="A454" s="5" t="s">
        <v>167</v>
      </c>
      <c r="B454" s="3" t="str">
        <f t="shared" si="25"/>
        <v>AMZN</v>
      </c>
      <c r="C454" s="3" t="str">
        <f t="shared" si="23"/>
        <v>260515</v>
      </c>
      <c r="D454" s="3" t="str">
        <f t="shared" si="24"/>
        <v>P00105000</v>
      </c>
      <c r="E454" s="45" t="s">
        <v>249</v>
      </c>
      <c r="F454" s="6">
        <v>105</v>
      </c>
      <c r="G454" s="45">
        <v>0.16</v>
      </c>
      <c r="H454" s="45">
        <v>0.16</v>
      </c>
      <c r="I454" s="45">
        <v>0.18</v>
      </c>
      <c r="J454" s="17">
        <v>-0.03</v>
      </c>
      <c r="K454" s="20">
        <v>-0.15790000000000001</v>
      </c>
      <c r="L454" s="45">
        <v>105</v>
      </c>
      <c r="M454" s="53">
        <v>1167</v>
      </c>
      <c r="N454" s="54">
        <v>0.58889999999999998</v>
      </c>
      <c r="O454" t="s">
        <v>65</v>
      </c>
      <c r="P454" s="9">
        <v>46070</v>
      </c>
      <c r="Q454">
        <v>201.15</v>
      </c>
    </row>
    <row r="455" spans="1:17" x14ac:dyDescent="0.25">
      <c r="A455" s="5" t="s">
        <v>168</v>
      </c>
      <c r="B455" s="3" t="str">
        <f t="shared" si="25"/>
        <v>AMZN</v>
      </c>
      <c r="C455" s="3" t="str">
        <f t="shared" si="23"/>
        <v>260515</v>
      </c>
      <c r="D455" s="3" t="str">
        <f t="shared" si="24"/>
        <v>P00110000</v>
      </c>
      <c r="E455" s="45" t="s">
        <v>250</v>
      </c>
      <c r="F455" s="6">
        <v>110</v>
      </c>
      <c r="G455" s="45">
        <v>0.23</v>
      </c>
      <c r="H455" s="45">
        <v>0.21</v>
      </c>
      <c r="I455" s="45">
        <v>0.23</v>
      </c>
      <c r="J455" s="17">
        <v>-0.02</v>
      </c>
      <c r="K455" s="20">
        <v>-0.08</v>
      </c>
      <c r="L455" s="45">
        <v>24</v>
      </c>
      <c r="M455" s="45">
        <v>143</v>
      </c>
      <c r="N455" s="54">
        <v>0.57030000000000003</v>
      </c>
      <c r="O455" t="s">
        <v>65</v>
      </c>
      <c r="P455" s="9">
        <v>46070</v>
      </c>
      <c r="Q455">
        <v>201.15</v>
      </c>
    </row>
    <row r="456" spans="1:17" x14ac:dyDescent="0.25">
      <c r="A456" s="5" t="s">
        <v>169</v>
      </c>
      <c r="B456" s="3" t="str">
        <f t="shared" si="25"/>
        <v>AMZN</v>
      </c>
      <c r="C456" s="3" t="str">
        <f t="shared" si="23"/>
        <v>260515</v>
      </c>
      <c r="D456" s="3" t="str">
        <f t="shared" si="24"/>
        <v>P00115000</v>
      </c>
      <c r="E456" s="45" t="s">
        <v>251</v>
      </c>
      <c r="F456" s="6">
        <v>115</v>
      </c>
      <c r="G456" s="45">
        <v>0.28999999999999998</v>
      </c>
      <c r="H456" s="45">
        <v>0.28000000000000003</v>
      </c>
      <c r="I456" s="45">
        <v>0.32</v>
      </c>
      <c r="J456" s="17">
        <v>0.04</v>
      </c>
      <c r="K456" s="20">
        <v>0.16</v>
      </c>
      <c r="L456" s="45">
        <v>57</v>
      </c>
      <c r="M456" s="45">
        <v>167</v>
      </c>
      <c r="N456" s="54">
        <v>0.55710000000000004</v>
      </c>
      <c r="O456" t="s">
        <v>65</v>
      </c>
      <c r="P456" s="9">
        <v>46070</v>
      </c>
      <c r="Q456">
        <v>201.15</v>
      </c>
    </row>
    <row r="457" spans="1:17" x14ac:dyDescent="0.25">
      <c r="A457" s="5" t="s">
        <v>170</v>
      </c>
      <c r="B457" s="3" t="str">
        <f t="shared" si="25"/>
        <v>AMZN</v>
      </c>
      <c r="C457" s="3" t="str">
        <f t="shared" si="23"/>
        <v>260515</v>
      </c>
      <c r="D457" s="3" t="str">
        <f t="shared" si="24"/>
        <v>P00120000</v>
      </c>
      <c r="E457" s="45" t="s">
        <v>249</v>
      </c>
      <c r="F457" s="6">
        <v>120</v>
      </c>
      <c r="G457" s="45">
        <v>0.38</v>
      </c>
      <c r="H457" s="45">
        <v>0.38</v>
      </c>
      <c r="I457" s="45">
        <v>0.41</v>
      </c>
      <c r="J457" s="17">
        <v>-0.1</v>
      </c>
      <c r="K457" s="20">
        <v>-0.20830000000000001</v>
      </c>
      <c r="L457" s="45">
        <v>13</v>
      </c>
      <c r="M457" s="45">
        <v>201</v>
      </c>
      <c r="N457" s="54">
        <v>0.54249999999999998</v>
      </c>
      <c r="O457" t="s">
        <v>65</v>
      </c>
      <c r="P457" s="9">
        <v>46070</v>
      </c>
      <c r="Q457">
        <v>201.15</v>
      </c>
    </row>
    <row r="458" spans="1:17" x14ac:dyDescent="0.25">
      <c r="A458" s="5" t="s">
        <v>171</v>
      </c>
      <c r="B458" s="3" t="str">
        <f t="shared" si="25"/>
        <v>AMZN</v>
      </c>
      <c r="C458" s="3" t="str">
        <f t="shared" si="23"/>
        <v>260515</v>
      </c>
      <c r="D458" s="3" t="str">
        <f t="shared" si="24"/>
        <v>P00125000</v>
      </c>
      <c r="E458" s="45" t="s">
        <v>252</v>
      </c>
      <c r="F458" s="6">
        <v>125</v>
      </c>
      <c r="G458" s="45">
        <v>0.54</v>
      </c>
      <c r="H458" s="45">
        <v>0.48</v>
      </c>
      <c r="I458" s="45">
        <v>0.52</v>
      </c>
      <c r="J458" s="17">
        <v>-0.01</v>
      </c>
      <c r="K458" s="20">
        <v>-1.8200000000000001E-2</v>
      </c>
      <c r="L458" s="45">
        <v>30</v>
      </c>
      <c r="M458" s="45">
        <v>192</v>
      </c>
      <c r="N458" s="54">
        <v>0.52490000000000003</v>
      </c>
      <c r="O458" t="s">
        <v>65</v>
      </c>
      <c r="P458" s="9">
        <v>46070</v>
      </c>
      <c r="Q458">
        <v>201.15</v>
      </c>
    </row>
    <row r="459" spans="1:17" x14ac:dyDescent="0.25">
      <c r="A459" s="5" t="s">
        <v>172</v>
      </c>
      <c r="B459" s="3" t="str">
        <f t="shared" si="25"/>
        <v>AMZN</v>
      </c>
      <c r="C459" s="3" t="str">
        <f t="shared" si="23"/>
        <v>260515</v>
      </c>
      <c r="D459" s="3" t="str">
        <f t="shared" si="24"/>
        <v>P00130000</v>
      </c>
      <c r="E459" s="45" t="s">
        <v>253</v>
      </c>
      <c r="F459" s="6">
        <v>130</v>
      </c>
      <c r="G459" s="45">
        <v>0.77</v>
      </c>
      <c r="H459" s="45">
        <v>0.62</v>
      </c>
      <c r="I459" s="45">
        <v>0.67</v>
      </c>
      <c r="J459" s="17">
        <v>-0.01</v>
      </c>
      <c r="K459" s="20">
        <v>-1.2800000000000001E-2</v>
      </c>
      <c r="L459" s="45">
        <v>26</v>
      </c>
      <c r="M459" s="45">
        <v>338</v>
      </c>
      <c r="N459" s="54">
        <v>0.51049999999999995</v>
      </c>
      <c r="O459" t="s">
        <v>65</v>
      </c>
      <c r="P459" s="9">
        <v>46070</v>
      </c>
      <c r="Q459">
        <v>201.15</v>
      </c>
    </row>
    <row r="460" spans="1:17" x14ac:dyDescent="0.25">
      <c r="A460" s="5" t="s">
        <v>173</v>
      </c>
      <c r="B460" s="3" t="str">
        <f t="shared" si="25"/>
        <v>AMZN</v>
      </c>
      <c r="C460" s="3" t="str">
        <f t="shared" si="23"/>
        <v>260515</v>
      </c>
      <c r="D460" s="3" t="str">
        <f t="shared" si="24"/>
        <v>P00135000</v>
      </c>
      <c r="E460" s="45" t="s">
        <v>254</v>
      </c>
      <c r="F460" s="6">
        <v>135</v>
      </c>
      <c r="G460" s="45">
        <v>0.81</v>
      </c>
      <c r="H460" s="45">
        <v>0.8</v>
      </c>
      <c r="I460" s="45">
        <v>0.84</v>
      </c>
      <c r="J460" s="17">
        <v>-0.24</v>
      </c>
      <c r="K460" s="20">
        <v>-0.2286</v>
      </c>
      <c r="L460" s="45">
        <v>56</v>
      </c>
      <c r="M460" s="53">
        <v>1079</v>
      </c>
      <c r="N460" s="54">
        <v>0.49780000000000002</v>
      </c>
      <c r="O460" t="s">
        <v>65</v>
      </c>
      <c r="P460" s="9">
        <v>46070</v>
      </c>
      <c r="Q460">
        <v>201.15</v>
      </c>
    </row>
    <row r="461" spans="1:17" x14ac:dyDescent="0.25">
      <c r="A461" s="5" t="s">
        <v>174</v>
      </c>
      <c r="B461" s="3" t="str">
        <f t="shared" si="25"/>
        <v>AMZN</v>
      </c>
      <c r="C461" s="3" t="str">
        <f t="shared" si="23"/>
        <v>260515</v>
      </c>
      <c r="D461" s="3" t="str">
        <f t="shared" si="24"/>
        <v>P00140000</v>
      </c>
      <c r="E461" s="45" t="s">
        <v>239</v>
      </c>
      <c r="F461" s="6">
        <v>140</v>
      </c>
      <c r="G461" s="45">
        <v>0.99</v>
      </c>
      <c r="H461" s="45">
        <v>1</v>
      </c>
      <c r="I461" s="45">
        <v>1.07</v>
      </c>
      <c r="J461" s="17">
        <v>-0.17</v>
      </c>
      <c r="K461" s="20">
        <v>-0.14660000000000001</v>
      </c>
      <c r="L461" s="45">
        <v>13</v>
      </c>
      <c r="M461" s="45">
        <v>446</v>
      </c>
      <c r="N461" s="54">
        <v>0.48399999999999999</v>
      </c>
      <c r="O461" t="s">
        <v>65</v>
      </c>
      <c r="P461" s="9">
        <v>46070</v>
      </c>
      <c r="Q461">
        <v>201.15</v>
      </c>
    </row>
    <row r="462" spans="1:17" x14ac:dyDescent="0.25">
      <c r="A462" s="5" t="s">
        <v>175</v>
      </c>
      <c r="B462" s="3" t="str">
        <f t="shared" si="25"/>
        <v>AMZN</v>
      </c>
      <c r="C462" s="3" t="str">
        <f t="shared" si="23"/>
        <v>260515</v>
      </c>
      <c r="D462" s="3" t="str">
        <f t="shared" si="24"/>
        <v>P00145000</v>
      </c>
      <c r="E462" s="45" t="s">
        <v>255</v>
      </c>
      <c r="F462" s="6">
        <v>145</v>
      </c>
      <c r="G462" s="45">
        <v>1.5</v>
      </c>
      <c r="H462" s="45">
        <v>1.26</v>
      </c>
      <c r="I462" s="45">
        <v>1.35</v>
      </c>
      <c r="J462" s="17">
        <v>0</v>
      </c>
      <c r="K462" s="20">
        <v>0</v>
      </c>
      <c r="L462" s="45">
        <v>1</v>
      </c>
      <c r="M462" s="45">
        <v>988</v>
      </c>
      <c r="N462" s="54">
        <v>0.47010000000000002</v>
      </c>
      <c r="O462" t="s">
        <v>65</v>
      </c>
      <c r="P462" s="9">
        <v>46070</v>
      </c>
      <c r="Q462">
        <v>201.15</v>
      </c>
    </row>
    <row r="463" spans="1:17" x14ac:dyDescent="0.25">
      <c r="A463" s="5" t="s">
        <v>176</v>
      </c>
      <c r="B463" s="3" t="str">
        <f t="shared" si="25"/>
        <v>AMZN</v>
      </c>
      <c r="C463" s="3" t="str">
        <f t="shared" si="23"/>
        <v>260515</v>
      </c>
      <c r="D463" s="3" t="str">
        <f t="shared" si="24"/>
        <v>P00150000</v>
      </c>
      <c r="E463" s="45" t="s">
        <v>236</v>
      </c>
      <c r="F463" s="6">
        <v>150</v>
      </c>
      <c r="G463" s="45">
        <v>1.66</v>
      </c>
      <c r="H463" s="45">
        <v>1.62</v>
      </c>
      <c r="I463" s="45">
        <v>1.69</v>
      </c>
      <c r="J463" s="17">
        <v>-0.26</v>
      </c>
      <c r="K463" s="20">
        <v>-0.13539999999999999</v>
      </c>
      <c r="L463" s="45">
        <v>184</v>
      </c>
      <c r="M463" s="53">
        <v>11102</v>
      </c>
      <c r="N463" s="54">
        <v>0.45619999999999999</v>
      </c>
      <c r="O463" t="s">
        <v>65</v>
      </c>
      <c r="P463" s="9">
        <v>46070</v>
      </c>
      <c r="Q463">
        <v>201.15</v>
      </c>
    </row>
    <row r="464" spans="1:17" x14ac:dyDescent="0.25">
      <c r="A464" s="5" t="s">
        <v>177</v>
      </c>
      <c r="B464" s="3" t="str">
        <f t="shared" si="25"/>
        <v>AMZN</v>
      </c>
      <c r="C464" s="3" t="str">
        <f t="shared" si="23"/>
        <v>260515</v>
      </c>
      <c r="D464" s="3" t="str">
        <f t="shared" si="24"/>
        <v>P00155000</v>
      </c>
      <c r="E464" s="45" t="s">
        <v>256</v>
      </c>
      <c r="F464" s="6">
        <v>155</v>
      </c>
      <c r="G464" s="45">
        <v>2.11</v>
      </c>
      <c r="H464" s="45">
        <v>2.04</v>
      </c>
      <c r="I464" s="45">
        <v>2.11</v>
      </c>
      <c r="J464" s="17">
        <v>-0.28999999999999998</v>
      </c>
      <c r="K464" s="20">
        <v>-0.1208</v>
      </c>
      <c r="L464" s="45">
        <v>43</v>
      </c>
      <c r="M464" s="53">
        <v>1560</v>
      </c>
      <c r="N464" s="54">
        <v>0.44290000000000002</v>
      </c>
      <c r="O464" t="s">
        <v>65</v>
      </c>
      <c r="P464" s="9">
        <v>46070</v>
      </c>
      <c r="Q464">
        <v>201.15</v>
      </c>
    </row>
    <row r="465" spans="1:17" x14ac:dyDescent="0.25">
      <c r="A465" s="5" t="s">
        <v>178</v>
      </c>
      <c r="B465" s="3" t="str">
        <f t="shared" si="25"/>
        <v>AMZN</v>
      </c>
      <c r="C465" s="3" t="str">
        <f t="shared" si="23"/>
        <v>260515</v>
      </c>
      <c r="D465" s="3" t="str">
        <f t="shared" si="24"/>
        <v>P00160000</v>
      </c>
      <c r="E465" s="45" t="s">
        <v>256</v>
      </c>
      <c r="F465" s="6">
        <v>160</v>
      </c>
      <c r="G465" s="45">
        <v>2.63</v>
      </c>
      <c r="H465" s="45">
        <v>2.57</v>
      </c>
      <c r="I465" s="45">
        <v>2.66</v>
      </c>
      <c r="J465" s="17">
        <v>-0.32</v>
      </c>
      <c r="K465" s="20">
        <v>-0.1085</v>
      </c>
      <c r="L465" s="45">
        <v>144</v>
      </c>
      <c r="M465" s="53">
        <v>2672</v>
      </c>
      <c r="N465" s="54">
        <v>0.43190000000000001</v>
      </c>
      <c r="O465" t="s">
        <v>65</v>
      </c>
      <c r="P465" s="9">
        <v>46070</v>
      </c>
      <c r="Q465">
        <v>201.15</v>
      </c>
    </row>
    <row r="466" spans="1:17" x14ac:dyDescent="0.25">
      <c r="A466" s="5" t="s">
        <v>179</v>
      </c>
      <c r="B466" s="3" t="str">
        <f t="shared" si="25"/>
        <v>AMZN</v>
      </c>
      <c r="C466" s="3" t="str">
        <f t="shared" si="23"/>
        <v>260515</v>
      </c>
      <c r="D466" s="3" t="str">
        <f t="shared" si="24"/>
        <v>P00165000</v>
      </c>
      <c r="E466" s="45" t="s">
        <v>257</v>
      </c>
      <c r="F466" s="6">
        <v>165</v>
      </c>
      <c r="G466" s="45">
        <v>3.35</v>
      </c>
      <c r="H466" s="45">
        <v>3.2</v>
      </c>
      <c r="I466" s="45">
        <v>3.3</v>
      </c>
      <c r="J466" s="17">
        <v>-0.35</v>
      </c>
      <c r="K466" s="20">
        <v>-9.4600000000000004E-2</v>
      </c>
      <c r="L466" s="45">
        <v>45</v>
      </c>
      <c r="M466" s="53">
        <v>1327</v>
      </c>
      <c r="N466" s="54">
        <v>0.41970000000000002</v>
      </c>
      <c r="O466" t="s">
        <v>65</v>
      </c>
      <c r="P466" s="9">
        <v>46070</v>
      </c>
      <c r="Q466">
        <v>201.15</v>
      </c>
    </row>
    <row r="467" spans="1:17" x14ac:dyDescent="0.25">
      <c r="A467" s="5" t="s">
        <v>180</v>
      </c>
      <c r="B467" s="3" t="str">
        <f t="shared" si="25"/>
        <v>AMZN</v>
      </c>
      <c r="C467" s="3" t="str">
        <f t="shared" si="23"/>
        <v>260515</v>
      </c>
      <c r="D467" s="3" t="str">
        <f t="shared" si="24"/>
        <v>P00170000</v>
      </c>
      <c r="E467" s="45" t="s">
        <v>258</v>
      </c>
      <c r="F467" s="6">
        <v>170</v>
      </c>
      <c r="G467" s="45">
        <v>4.05</v>
      </c>
      <c r="H467" s="45">
        <v>4</v>
      </c>
      <c r="I467" s="45">
        <v>4.1500000000000004</v>
      </c>
      <c r="J467" s="17">
        <v>-0.5</v>
      </c>
      <c r="K467" s="20">
        <v>-0.1099</v>
      </c>
      <c r="L467" s="45">
        <v>130</v>
      </c>
      <c r="M467" s="53">
        <v>4746</v>
      </c>
      <c r="N467" s="54">
        <v>0.41089999999999999</v>
      </c>
      <c r="O467" t="s">
        <v>65</v>
      </c>
      <c r="P467" s="9">
        <v>46070</v>
      </c>
      <c r="Q467">
        <v>201.15</v>
      </c>
    </row>
    <row r="468" spans="1:17" x14ac:dyDescent="0.25">
      <c r="A468" s="5" t="s">
        <v>181</v>
      </c>
      <c r="B468" s="3" t="str">
        <f t="shared" si="25"/>
        <v>AMZN</v>
      </c>
      <c r="C468" s="3" t="str">
        <f t="shared" si="23"/>
        <v>260515</v>
      </c>
      <c r="D468" s="3" t="str">
        <f t="shared" si="24"/>
        <v>P00175000</v>
      </c>
      <c r="E468" s="45" t="s">
        <v>233</v>
      </c>
      <c r="F468" s="6">
        <v>175</v>
      </c>
      <c r="G468" s="45">
        <v>5.03</v>
      </c>
      <c r="H468" s="45">
        <v>5</v>
      </c>
      <c r="I468" s="45">
        <v>5.15</v>
      </c>
      <c r="J468" s="17">
        <v>-0.52</v>
      </c>
      <c r="K468" s="20">
        <v>-9.3700000000000006E-2</v>
      </c>
      <c r="L468" s="45">
        <v>151</v>
      </c>
      <c r="M468" s="53">
        <v>2546</v>
      </c>
      <c r="N468" s="54">
        <v>0.40160000000000001</v>
      </c>
      <c r="O468" t="s">
        <v>65</v>
      </c>
      <c r="P468" s="9">
        <v>46070</v>
      </c>
      <c r="Q468">
        <v>201.15</v>
      </c>
    </row>
    <row r="469" spans="1:17" x14ac:dyDescent="0.25">
      <c r="A469" s="5" t="s">
        <v>182</v>
      </c>
      <c r="B469" s="3" t="str">
        <f t="shared" si="25"/>
        <v>AMZN</v>
      </c>
      <c r="C469" s="3" t="str">
        <f t="shared" si="23"/>
        <v>260515</v>
      </c>
      <c r="D469" s="3" t="str">
        <f t="shared" si="24"/>
        <v>P00180000</v>
      </c>
      <c r="E469" s="45" t="s">
        <v>233</v>
      </c>
      <c r="F469" s="6">
        <v>180</v>
      </c>
      <c r="G469" s="45">
        <v>6.23</v>
      </c>
      <c r="H469" s="45">
        <v>6.15</v>
      </c>
      <c r="I469" s="45">
        <v>6.3</v>
      </c>
      <c r="J469" s="17">
        <v>-0.63</v>
      </c>
      <c r="K469" s="20">
        <v>-9.1800000000000007E-2</v>
      </c>
      <c r="L469" s="45">
        <v>579</v>
      </c>
      <c r="M469" s="53">
        <v>8683</v>
      </c>
      <c r="N469" s="54">
        <v>0.39119999999999999</v>
      </c>
      <c r="O469" t="s">
        <v>65</v>
      </c>
      <c r="P469" s="9">
        <v>46070</v>
      </c>
      <c r="Q469">
        <v>201.15</v>
      </c>
    </row>
    <row r="470" spans="1:17" x14ac:dyDescent="0.25">
      <c r="A470" s="5" t="s">
        <v>183</v>
      </c>
      <c r="B470" s="3" t="str">
        <f t="shared" si="25"/>
        <v>AMZN</v>
      </c>
      <c r="C470" s="3" t="str">
        <f t="shared" si="23"/>
        <v>260515</v>
      </c>
      <c r="D470" s="3" t="str">
        <f t="shared" si="24"/>
        <v>P00185000</v>
      </c>
      <c r="E470" s="45" t="s">
        <v>232</v>
      </c>
      <c r="F470" s="6">
        <v>185</v>
      </c>
      <c r="G470" s="45">
        <v>7.74</v>
      </c>
      <c r="H470" s="45">
        <v>7.55</v>
      </c>
      <c r="I470" s="45">
        <v>7.75</v>
      </c>
      <c r="J470" s="17">
        <v>-0.81</v>
      </c>
      <c r="K470" s="20">
        <v>-9.4700000000000006E-2</v>
      </c>
      <c r="L470" s="45">
        <v>436</v>
      </c>
      <c r="M470" s="53">
        <v>10437</v>
      </c>
      <c r="N470" s="54">
        <v>0.38400000000000001</v>
      </c>
      <c r="O470" t="s">
        <v>65</v>
      </c>
      <c r="P470" s="9">
        <v>46070</v>
      </c>
      <c r="Q470">
        <v>201.15</v>
      </c>
    </row>
    <row r="471" spans="1:17" x14ac:dyDescent="0.25">
      <c r="A471" s="5" t="s">
        <v>184</v>
      </c>
      <c r="B471" s="3" t="str">
        <f t="shared" si="25"/>
        <v>AMZN</v>
      </c>
      <c r="C471" s="3" t="str">
        <f t="shared" si="23"/>
        <v>260515</v>
      </c>
      <c r="D471" s="3" t="str">
        <f t="shared" si="24"/>
        <v>P00190000</v>
      </c>
      <c r="E471" s="45" t="s">
        <v>224</v>
      </c>
      <c r="F471" s="6">
        <v>190</v>
      </c>
      <c r="G471" s="45">
        <v>9.31</v>
      </c>
      <c r="H471" s="45">
        <v>9.1999999999999993</v>
      </c>
      <c r="I471" s="45">
        <v>9.4</v>
      </c>
      <c r="J471" s="17">
        <v>-0.94</v>
      </c>
      <c r="K471" s="20">
        <v>-9.1700000000000004E-2</v>
      </c>
      <c r="L471" s="53">
        <v>1077</v>
      </c>
      <c r="M471" s="53">
        <v>8613</v>
      </c>
      <c r="N471" s="54">
        <v>0.37580000000000002</v>
      </c>
      <c r="O471" t="s">
        <v>65</v>
      </c>
      <c r="P471" s="9">
        <v>46070</v>
      </c>
      <c r="Q471">
        <v>201.15</v>
      </c>
    </row>
    <row r="472" spans="1:17" x14ac:dyDescent="0.25">
      <c r="A472" s="5" t="s">
        <v>185</v>
      </c>
      <c r="B472" s="3" t="str">
        <f t="shared" si="25"/>
        <v>AMZN</v>
      </c>
      <c r="C472" s="3" t="str">
        <f t="shared" si="23"/>
        <v>260515</v>
      </c>
      <c r="D472" s="3" t="str">
        <f t="shared" si="24"/>
        <v>P00195000</v>
      </c>
      <c r="E472" s="45" t="s">
        <v>233</v>
      </c>
      <c r="F472" s="6">
        <v>195</v>
      </c>
      <c r="G472" s="45">
        <v>11.25</v>
      </c>
      <c r="H472" s="45">
        <v>11.1</v>
      </c>
      <c r="I472" s="45">
        <v>11.25</v>
      </c>
      <c r="J472" s="17">
        <v>-0.92</v>
      </c>
      <c r="K472" s="20">
        <v>-7.5600000000000001E-2</v>
      </c>
      <c r="L472" s="45">
        <v>329</v>
      </c>
      <c r="M472" s="53">
        <v>11488</v>
      </c>
      <c r="N472" s="54">
        <v>0.3664</v>
      </c>
      <c r="O472" t="s">
        <v>65</v>
      </c>
      <c r="P472" s="9">
        <v>46070</v>
      </c>
      <c r="Q472">
        <v>201.15</v>
      </c>
    </row>
    <row r="473" spans="1:17" x14ac:dyDescent="0.25">
      <c r="A473" s="5" t="s">
        <v>186</v>
      </c>
      <c r="B473" s="3" t="str">
        <f t="shared" si="25"/>
        <v>AMZN</v>
      </c>
      <c r="C473" s="3" t="str">
        <f t="shared" si="23"/>
        <v>260515</v>
      </c>
      <c r="D473" s="3" t="str">
        <f t="shared" si="24"/>
        <v>P00200000</v>
      </c>
      <c r="E473" s="45" t="s">
        <v>224</v>
      </c>
      <c r="F473" s="6">
        <v>200</v>
      </c>
      <c r="G473" s="45">
        <v>13.4</v>
      </c>
      <c r="H473" s="45">
        <v>13.3</v>
      </c>
      <c r="I473" s="45">
        <v>13.45</v>
      </c>
      <c r="J473" s="17">
        <v>-1.0900000000000001</v>
      </c>
      <c r="K473" s="20">
        <v>-7.5200000000000003E-2</v>
      </c>
      <c r="L473" s="45">
        <v>946</v>
      </c>
      <c r="M473" s="53">
        <v>11838</v>
      </c>
      <c r="N473" s="54">
        <v>0.35930000000000001</v>
      </c>
      <c r="O473" t="s">
        <v>65</v>
      </c>
      <c r="P473" s="9">
        <v>46070</v>
      </c>
      <c r="Q473">
        <v>201.15</v>
      </c>
    </row>
    <row r="474" spans="1:17" x14ac:dyDescent="0.25">
      <c r="A474" s="12" t="s">
        <v>187</v>
      </c>
      <c r="B474" s="3" t="str">
        <f t="shared" si="25"/>
        <v>AMZN</v>
      </c>
      <c r="C474" s="3" t="str">
        <f t="shared" si="23"/>
        <v>260515</v>
      </c>
      <c r="D474" s="3" t="str">
        <f t="shared" si="24"/>
        <v>P00205000</v>
      </c>
      <c r="E474" s="43" t="s">
        <v>233</v>
      </c>
      <c r="F474" s="13">
        <v>205</v>
      </c>
      <c r="G474" s="43">
        <v>15.89</v>
      </c>
      <c r="H474" s="43">
        <v>15.75</v>
      </c>
      <c r="I474" s="43">
        <v>16.05</v>
      </c>
      <c r="J474" s="16">
        <v>-1.29</v>
      </c>
      <c r="K474" s="24">
        <v>-7.51E-2</v>
      </c>
      <c r="L474" s="43">
        <v>250</v>
      </c>
      <c r="M474" s="60">
        <v>10864</v>
      </c>
      <c r="N474" s="59">
        <v>0.35549999999999998</v>
      </c>
      <c r="O474" t="s">
        <v>65</v>
      </c>
      <c r="P474" s="9">
        <v>46070</v>
      </c>
      <c r="Q474">
        <v>201.15</v>
      </c>
    </row>
    <row r="475" spans="1:17" x14ac:dyDescent="0.25">
      <c r="A475" s="12" t="s">
        <v>188</v>
      </c>
      <c r="B475" s="3" t="str">
        <f t="shared" si="25"/>
        <v>AMZN</v>
      </c>
      <c r="C475" s="3" t="str">
        <f t="shared" si="23"/>
        <v>260515</v>
      </c>
      <c r="D475" s="3" t="str">
        <f t="shared" si="24"/>
        <v>P00210000</v>
      </c>
      <c r="E475" s="43" t="s">
        <v>259</v>
      </c>
      <c r="F475" s="13">
        <v>210</v>
      </c>
      <c r="G475" s="43">
        <v>18.600000000000001</v>
      </c>
      <c r="H475" s="43">
        <v>18.55</v>
      </c>
      <c r="I475" s="43">
        <v>18.850000000000001</v>
      </c>
      <c r="J475" s="16">
        <v>-1.8</v>
      </c>
      <c r="K475" s="24">
        <v>-8.8200000000000001E-2</v>
      </c>
      <c r="L475" s="43">
        <v>177</v>
      </c>
      <c r="M475" s="60">
        <v>8133</v>
      </c>
      <c r="N475" s="59">
        <v>0.34970000000000001</v>
      </c>
      <c r="O475" t="s">
        <v>65</v>
      </c>
      <c r="P475" s="9">
        <v>46070</v>
      </c>
      <c r="Q475">
        <v>201.15</v>
      </c>
    </row>
    <row r="476" spans="1:17" x14ac:dyDescent="0.25">
      <c r="A476" s="12" t="s">
        <v>189</v>
      </c>
      <c r="B476" s="3" t="str">
        <f t="shared" si="25"/>
        <v>AMZN</v>
      </c>
      <c r="C476" s="3" t="str">
        <f t="shared" si="23"/>
        <v>260515</v>
      </c>
      <c r="D476" s="3" t="str">
        <f t="shared" si="24"/>
        <v>P00215000</v>
      </c>
      <c r="E476" s="43" t="s">
        <v>260</v>
      </c>
      <c r="F476" s="13">
        <v>215</v>
      </c>
      <c r="G476" s="43">
        <v>21.65</v>
      </c>
      <c r="H476" s="43">
        <v>21.5</v>
      </c>
      <c r="I476" s="43">
        <v>22</v>
      </c>
      <c r="J476" s="16">
        <v>-2.1800000000000002</v>
      </c>
      <c r="K476" s="24">
        <v>-9.1499999999999998E-2</v>
      </c>
      <c r="L476" s="43">
        <v>73</v>
      </c>
      <c r="M476" s="60">
        <v>3284</v>
      </c>
      <c r="N476" s="59">
        <v>0.34599999999999997</v>
      </c>
      <c r="O476" t="s">
        <v>65</v>
      </c>
      <c r="P476" s="9">
        <v>46070</v>
      </c>
      <c r="Q476">
        <v>201.15</v>
      </c>
    </row>
    <row r="477" spans="1:17" x14ac:dyDescent="0.25">
      <c r="A477" s="12" t="s">
        <v>190</v>
      </c>
      <c r="B477" s="3" t="str">
        <f t="shared" si="25"/>
        <v>AMZN</v>
      </c>
      <c r="C477" s="3" t="str">
        <f t="shared" si="23"/>
        <v>260515</v>
      </c>
      <c r="D477" s="3" t="str">
        <f t="shared" si="24"/>
        <v>P00220000</v>
      </c>
      <c r="E477" s="43" t="s">
        <v>238</v>
      </c>
      <c r="F477" s="13">
        <v>220</v>
      </c>
      <c r="G477" s="43">
        <v>25.24</v>
      </c>
      <c r="H477" s="43">
        <v>24.95</v>
      </c>
      <c r="I477" s="43">
        <v>25.5</v>
      </c>
      <c r="J477" s="16">
        <v>-1.75</v>
      </c>
      <c r="K477" s="24">
        <v>-6.4799999999999996E-2</v>
      </c>
      <c r="L477" s="43">
        <v>70</v>
      </c>
      <c r="M477" s="60">
        <v>7468</v>
      </c>
      <c r="N477" s="59">
        <v>0.34499999999999997</v>
      </c>
      <c r="O477" t="s">
        <v>65</v>
      </c>
      <c r="P477" s="9">
        <v>46070</v>
      </c>
      <c r="Q477">
        <v>201.15</v>
      </c>
    </row>
    <row r="478" spans="1:17" x14ac:dyDescent="0.25">
      <c r="A478" s="12" t="s">
        <v>191</v>
      </c>
      <c r="B478" s="3" t="str">
        <f t="shared" si="25"/>
        <v>AMZN</v>
      </c>
      <c r="C478" s="3" t="str">
        <f t="shared" si="23"/>
        <v>260515</v>
      </c>
      <c r="D478" s="3" t="str">
        <f t="shared" si="24"/>
        <v>P00225000</v>
      </c>
      <c r="E478" s="43" t="s">
        <v>261</v>
      </c>
      <c r="F478" s="13">
        <v>225</v>
      </c>
      <c r="G478" s="43">
        <v>28.85</v>
      </c>
      <c r="H478" s="43">
        <v>28.55</v>
      </c>
      <c r="I478" s="43">
        <v>29.1</v>
      </c>
      <c r="J478" s="16">
        <v>-1.63</v>
      </c>
      <c r="K478" s="24">
        <v>-5.3499999999999999E-2</v>
      </c>
      <c r="L478" s="43">
        <v>68</v>
      </c>
      <c r="M478" s="60">
        <v>4623</v>
      </c>
      <c r="N478" s="59">
        <v>0.34</v>
      </c>
      <c r="O478" t="s">
        <v>65</v>
      </c>
      <c r="P478" s="9">
        <v>46070</v>
      </c>
      <c r="Q478">
        <v>201.15</v>
      </c>
    </row>
    <row r="479" spans="1:17" x14ac:dyDescent="0.25">
      <c r="A479" s="12" t="s">
        <v>192</v>
      </c>
      <c r="B479" s="3" t="str">
        <f t="shared" si="25"/>
        <v>AMZN</v>
      </c>
      <c r="C479" s="3" t="str">
        <f t="shared" si="23"/>
        <v>260515</v>
      </c>
      <c r="D479" s="3" t="str">
        <f t="shared" si="24"/>
        <v>P00230000</v>
      </c>
      <c r="E479" s="43" t="s">
        <v>248</v>
      </c>
      <c r="F479" s="13">
        <v>230</v>
      </c>
      <c r="G479" s="43">
        <v>32.5</v>
      </c>
      <c r="H479" s="43">
        <v>32.15</v>
      </c>
      <c r="I479" s="43">
        <v>32.799999999999997</v>
      </c>
      <c r="J479" s="16">
        <v>-1.05</v>
      </c>
      <c r="K479" s="24">
        <v>-3.1300000000000001E-2</v>
      </c>
      <c r="L479" s="43">
        <v>109</v>
      </c>
      <c r="M479" s="60">
        <v>3326</v>
      </c>
      <c r="N479" s="59">
        <v>0.33090000000000003</v>
      </c>
      <c r="O479" t="s">
        <v>65</v>
      </c>
      <c r="P479" s="9">
        <v>46070</v>
      </c>
      <c r="Q479">
        <v>201.15</v>
      </c>
    </row>
    <row r="480" spans="1:17" x14ac:dyDescent="0.25">
      <c r="A480" s="12" t="s">
        <v>193</v>
      </c>
      <c r="B480" s="3" t="str">
        <f t="shared" si="25"/>
        <v>AMZN</v>
      </c>
      <c r="C480" s="3" t="str">
        <f t="shared" si="23"/>
        <v>260515</v>
      </c>
      <c r="D480" s="3" t="str">
        <f t="shared" si="24"/>
        <v>P00235000</v>
      </c>
      <c r="E480" s="43" t="s">
        <v>262</v>
      </c>
      <c r="F480" s="13">
        <v>235</v>
      </c>
      <c r="G480" s="43">
        <v>36.6</v>
      </c>
      <c r="H480" s="43">
        <v>36.200000000000003</v>
      </c>
      <c r="I480" s="43">
        <v>36.9</v>
      </c>
      <c r="J480" s="16">
        <v>-2.5499999999999998</v>
      </c>
      <c r="K480" s="24">
        <v>-6.5100000000000005E-2</v>
      </c>
      <c r="L480" s="43">
        <v>14</v>
      </c>
      <c r="M480" s="60">
        <v>4771</v>
      </c>
      <c r="N480" s="59">
        <v>0.32790000000000002</v>
      </c>
      <c r="O480" t="s">
        <v>65</v>
      </c>
      <c r="P480" s="9">
        <v>46070</v>
      </c>
      <c r="Q480">
        <v>201.15</v>
      </c>
    </row>
    <row r="481" spans="1:17" x14ac:dyDescent="0.25">
      <c r="A481" s="12" t="s">
        <v>194</v>
      </c>
      <c r="B481" s="3" t="str">
        <f t="shared" si="25"/>
        <v>AMZN</v>
      </c>
      <c r="C481" s="3" t="str">
        <f t="shared" si="23"/>
        <v>260515</v>
      </c>
      <c r="D481" s="3" t="str">
        <f t="shared" si="24"/>
        <v>P00240000</v>
      </c>
      <c r="E481" s="43" t="s">
        <v>263</v>
      </c>
      <c r="F481" s="13">
        <v>240</v>
      </c>
      <c r="G481" s="43">
        <v>40.81</v>
      </c>
      <c r="H481" s="43">
        <v>40.5</v>
      </c>
      <c r="I481" s="43">
        <v>41.2</v>
      </c>
      <c r="J481" s="16">
        <v>-1.89</v>
      </c>
      <c r="K481" s="24">
        <v>-4.4299999999999999E-2</v>
      </c>
      <c r="L481" s="43">
        <v>5</v>
      </c>
      <c r="M481" s="60">
        <v>2033</v>
      </c>
      <c r="N481" s="59">
        <v>0.32619999999999999</v>
      </c>
      <c r="O481" t="s">
        <v>65</v>
      </c>
      <c r="P481" s="9">
        <v>46070</v>
      </c>
      <c r="Q481">
        <v>201.15</v>
      </c>
    </row>
    <row r="482" spans="1:17" x14ac:dyDescent="0.25">
      <c r="A482" s="12" t="s">
        <v>195</v>
      </c>
      <c r="B482" s="3" t="str">
        <f t="shared" si="25"/>
        <v>AMZN</v>
      </c>
      <c r="C482" s="3" t="str">
        <f t="shared" si="23"/>
        <v>260515</v>
      </c>
      <c r="D482" s="3" t="str">
        <f t="shared" si="24"/>
        <v>P00245000</v>
      </c>
      <c r="E482" s="43" t="s">
        <v>264</v>
      </c>
      <c r="F482" s="13">
        <v>245</v>
      </c>
      <c r="G482" s="43">
        <v>46.3</v>
      </c>
      <c r="H482" s="43">
        <v>44.8</v>
      </c>
      <c r="I482" s="43">
        <v>45.65</v>
      </c>
      <c r="J482" s="16">
        <v>-1.2</v>
      </c>
      <c r="K482" s="24">
        <v>-2.53E-2</v>
      </c>
      <c r="L482" s="43">
        <v>1</v>
      </c>
      <c r="M482" s="60">
        <v>1048</v>
      </c>
      <c r="N482" s="59">
        <v>0.3251</v>
      </c>
      <c r="O482" t="s">
        <v>65</v>
      </c>
      <c r="P482" s="9">
        <v>46070</v>
      </c>
      <c r="Q482">
        <v>201.15</v>
      </c>
    </row>
    <row r="483" spans="1:17" x14ac:dyDescent="0.25">
      <c r="A483" s="12" t="s">
        <v>196</v>
      </c>
      <c r="B483" s="3" t="str">
        <f t="shared" si="25"/>
        <v>AMZN</v>
      </c>
      <c r="C483" s="3" t="str">
        <f t="shared" si="23"/>
        <v>260515</v>
      </c>
      <c r="D483" s="3" t="str">
        <f t="shared" si="24"/>
        <v>P00250000</v>
      </c>
      <c r="E483" s="43" t="s">
        <v>265</v>
      </c>
      <c r="F483" s="13">
        <v>250</v>
      </c>
      <c r="G483" s="43">
        <v>49.61</v>
      </c>
      <c r="H483" s="43">
        <v>49.1</v>
      </c>
      <c r="I483" s="43">
        <v>50.55</v>
      </c>
      <c r="J483" s="16">
        <v>-2.83</v>
      </c>
      <c r="K483" s="24">
        <v>-5.3999999999999999E-2</v>
      </c>
      <c r="L483" s="43">
        <v>21</v>
      </c>
      <c r="M483" s="60">
        <v>2855</v>
      </c>
      <c r="N483" s="59">
        <v>0.3427</v>
      </c>
      <c r="O483" t="s">
        <v>65</v>
      </c>
      <c r="P483" s="9">
        <v>46070</v>
      </c>
      <c r="Q483">
        <v>201.15</v>
      </c>
    </row>
    <row r="484" spans="1:17" x14ac:dyDescent="0.25">
      <c r="A484" s="12" t="s">
        <v>197</v>
      </c>
      <c r="B484" s="3" t="str">
        <f t="shared" si="25"/>
        <v>AMZN</v>
      </c>
      <c r="C484" s="3" t="str">
        <f t="shared" si="23"/>
        <v>260515</v>
      </c>
      <c r="D484" s="3" t="str">
        <f t="shared" si="24"/>
        <v>P00255000</v>
      </c>
      <c r="E484" s="43" t="s">
        <v>266</v>
      </c>
      <c r="F484" s="13">
        <v>255</v>
      </c>
      <c r="G484" s="43">
        <v>56.3</v>
      </c>
      <c r="H484" s="43">
        <v>54.2</v>
      </c>
      <c r="I484" s="43">
        <v>54.85</v>
      </c>
      <c r="J484" s="16">
        <v>0</v>
      </c>
      <c r="K484" s="24">
        <v>0</v>
      </c>
      <c r="L484" s="43">
        <v>1</v>
      </c>
      <c r="M484" s="60">
        <v>1198</v>
      </c>
      <c r="N484" s="59">
        <v>0.32090000000000002</v>
      </c>
      <c r="O484" t="s">
        <v>65</v>
      </c>
      <c r="P484" s="9">
        <v>46070</v>
      </c>
      <c r="Q484">
        <v>201.15</v>
      </c>
    </row>
    <row r="485" spans="1:17" x14ac:dyDescent="0.25">
      <c r="A485" s="12" t="s">
        <v>198</v>
      </c>
      <c r="B485" s="3" t="str">
        <f t="shared" si="25"/>
        <v>AMZN</v>
      </c>
      <c r="C485" s="3" t="str">
        <f t="shared" si="23"/>
        <v>260515</v>
      </c>
      <c r="D485" s="3" t="str">
        <f t="shared" si="24"/>
        <v>P00260000</v>
      </c>
      <c r="E485" s="43" t="s">
        <v>267</v>
      </c>
      <c r="F485" s="13">
        <v>260</v>
      </c>
      <c r="G485" s="43">
        <v>59.5</v>
      </c>
      <c r="H485" s="43">
        <v>58.5</v>
      </c>
      <c r="I485" s="43">
        <v>59.65</v>
      </c>
      <c r="J485" s="16">
        <v>-1.25</v>
      </c>
      <c r="K485" s="24">
        <v>-2.06E-2</v>
      </c>
      <c r="L485" s="43">
        <v>44</v>
      </c>
      <c r="M485" s="60">
        <v>1442</v>
      </c>
      <c r="N485" s="59">
        <v>0.32479999999999998</v>
      </c>
      <c r="O485" t="s">
        <v>65</v>
      </c>
      <c r="P485" s="9">
        <v>46070</v>
      </c>
      <c r="Q485">
        <v>201.15</v>
      </c>
    </row>
    <row r="486" spans="1:17" x14ac:dyDescent="0.25">
      <c r="A486" s="12" t="s">
        <v>199</v>
      </c>
      <c r="B486" s="3" t="str">
        <f t="shared" si="25"/>
        <v>AMZN</v>
      </c>
      <c r="C486" s="3" t="str">
        <f t="shared" si="23"/>
        <v>260515</v>
      </c>
      <c r="D486" s="3" t="str">
        <f t="shared" si="24"/>
        <v>P00265000</v>
      </c>
      <c r="E486" s="44">
        <v>46358.464583333334</v>
      </c>
      <c r="F486" s="13">
        <v>265</v>
      </c>
      <c r="G486" s="43">
        <v>67.38</v>
      </c>
      <c r="H486" s="43">
        <v>63.2</v>
      </c>
      <c r="I486" s="43">
        <v>65.2</v>
      </c>
      <c r="J486" s="16">
        <v>0</v>
      </c>
      <c r="K486" s="24">
        <v>0</v>
      </c>
      <c r="L486" s="43">
        <v>4</v>
      </c>
      <c r="M486" s="43">
        <v>125</v>
      </c>
      <c r="N486" s="59">
        <v>0.38429999999999997</v>
      </c>
      <c r="O486" t="s">
        <v>65</v>
      </c>
      <c r="P486" s="9">
        <v>46070</v>
      </c>
      <c r="Q486">
        <v>201.15</v>
      </c>
    </row>
    <row r="487" spans="1:17" x14ac:dyDescent="0.25">
      <c r="A487" s="12" t="s">
        <v>200</v>
      </c>
      <c r="B487" s="3" t="str">
        <f t="shared" si="25"/>
        <v>AMZN</v>
      </c>
      <c r="C487" s="3" t="str">
        <f t="shared" si="23"/>
        <v>260515</v>
      </c>
      <c r="D487" s="3" t="str">
        <f t="shared" si="24"/>
        <v>P00270000</v>
      </c>
      <c r="E487" s="44">
        <v>46328.447222222225</v>
      </c>
      <c r="F487" s="13">
        <v>270</v>
      </c>
      <c r="G487" s="43">
        <v>64.180000000000007</v>
      </c>
      <c r="H487" s="43">
        <v>67.349999999999994</v>
      </c>
      <c r="I487" s="43">
        <v>70.25</v>
      </c>
      <c r="J487" s="16">
        <v>0</v>
      </c>
      <c r="K487" s="24">
        <v>0</v>
      </c>
      <c r="L487" s="43">
        <v>4</v>
      </c>
      <c r="M487" s="43">
        <v>136</v>
      </c>
      <c r="N487" s="59">
        <v>0.40670000000000001</v>
      </c>
      <c r="O487" t="s">
        <v>65</v>
      </c>
      <c r="P487" s="9">
        <v>46070</v>
      </c>
      <c r="Q487">
        <v>201.15</v>
      </c>
    </row>
    <row r="488" spans="1:17" x14ac:dyDescent="0.25">
      <c r="A488" s="12" t="s">
        <v>201</v>
      </c>
      <c r="B488" s="3" t="str">
        <f t="shared" si="25"/>
        <v>AMZN</v>
      </c>
      <c r="C488" s="3" t="str">
        <f t="shared" si="23"/>
        <v>260515</v>
      </c>
      <c r="D488" s="3" t="str">
        <f t="shared" si="24"/>
        <v>P00275000</v>
      </c>
      <c r="E488" s="44">
        <v>46297.456944444442</v>
      </c>
      <c r="F488" s="13">
        <v>275</v>
      </c>
      <c r="G488" s="43">
        <v>64.05</v>
      </c>
      <c r="H488" s="43">
        <v>72.3</v>
      </c>
      <c r="I488" s="43">
        <v>75.25</v>
      </c>
      <c r="J488" s="16">
        <v>0</v>
      </c>
      <c r="K488" s="24">
        <v>0</v>
      </c>
      <c r="L488" s="43">
        <v>2</v>
      </c>
      <c r="M488" s="43">
        <v>8</v>
      </c>
      <c r="N488" s="59">
        <v>0.42530000000000001</v>
      </c>
      <c r="O488" t="s">
        <v>65</v>
      </c>
      <c r="P488" s="9">
        <v>46070</v>
      </c>
      <c r="Q488">
        <v>201.15</v>
      </c>
    </row>
    <row r="489" spans="1:17" x14ac:dyDescent="0.25">
      <c r="A489" s="12" t="s">
        <v>202</v>
      </c>
      <c r="B489" s="3" t="str">
        <f t="shared" si="25"/>
        <v>AMZN</v>
      </c>
      <c r="C489" s="3" t="str">
        <f t="shared" si="23"/>
        <v>260515</v>
      </c>
      <c r="D489" s="3" t="str">
        <f t="shared" si="24"/>
        <v>P00280000</v>
      </c>
      <c r="E489" s="44">
        <v>46175.581944444442</v>
      </c>
      <c r="F489" s="13">
        <v>280</v>
      </c>
      <c r="G489" s="43">
        <v>73.39</v>
      </c>
      <c r="H489" s="43">
        <v>77.3</v>
      </c>
      <c r="I489" s="43">
        <v>80.599999999999994</v>
      </c>
      <c r="J489" s="16">
        <v>0</v>
      </c>
      <c r="K489" s="24">
        <v>0</v>
      </c>
      <c r="L489" s="43">
        <v>253</v>
      </c>
      <c r="M489" s="43">
        <v>0</v>
      </c>
      <c r="N489" s="59">
        <v>0.46639999999999998</v>
      </c>
      <c r="O489" t="s">
        <v>65</v>
      </c>
      <c r="P489" s="9">
        <v>46070</v>
      </c>
      <c r="Q489">
        <v>201.15</v>
      </c>
    </row>
    <row r="490" spans="1:17" x14ac:dyDescent="0.25">
      <c r="A490" s="12" t="s">
        <v>203</v>
      </c>
      <c r="B490" s="3" t="str">
        <f t="shared" si="25"/>
        <v>AMZN</v>
      </c>
      <c r="C490" s="3" t="str">
        <f t="shared" si="23"/>
        <v>260515</v>
      </c>
      <c r="D490" s="3" t="str">
        <f t="shared" si="24"/>
        <v>P00285000</v>
      </c>
      <c r="E490" s="44">
        <v>46114.581250000003</v>
      </c>
      <c r="F490" s="13">
        <v>285</v>
      </c>
      <c r="G490" s="43">
        <v>54.58</v>
      </c>
      <c r="H490" s="43">
        <v>82.25</v>
      </c>
      <c r="I490" s="43">
        <v>85.65</v>
      </c>
      <c r="J490" s="16">
        <v>0</v>
      </c>
      <c r="K490" s="24">
        <v>0</v>
      </c>
      <c r="L490" s="43">
        <v>8</v>
      </c>
      <c r="M490" s="43">
        <v>0</v>
      </c>
      <c r="N490" s="59">
        <v>0.48770000000000002</v>
      </c>
      <c r="O490" t="s">
        <v>65</v>
      </c>
      <c r="P490" s="9">
        <v>46070</v>
      </c>
      <c r="Q490">
        <v>201.15</v>
      </c>
    </row>
    <row r="491" spans="1:17" x14ac:dyDescent="0.25">
      <c r="A491" s="12" t="s">
        <v>204</v>
      </c>
      <c r="B491" s="3" t="str">
        <f t="shared" si="25"/>
        <v>AMZN</v>
      </c>
      <c r="C491" s="3" t="str">
        <f t="shared" si="23"/>
        <v>260515</v>
      </c>
      <c r="D491" s="3" t="str">
        <f t="shared" si="24"/>
        <v>P00290000</v>
      </c>
      <c r="E491" s="43" t="s">
        <v>268</v>
      </c>
      <c r="F491" s="13">
        <v>290</v>
      </c>
      <c r="G491" s="43">
        <v>89.3</v>
      </c>
      <c r="H491" s="43">
        <v>87.3</v>
      </c>
      <c r="I491" s="43">
        <v>90.25</v>
      </c>
      <c r="J491" s="16">
        <v>0</v>
      </c>
      <c r="K491" s="24">
        <v>0</v>
      </c>
      <c r="L491" s="43">
        <v>2</v>
      </c>
      <c r="M491" s="43">
        <v>0</v>
      </c>
      <c r="N491" s="59">
        <v>0.47799999999999998</v>
      </c>
      <c r="O491" t="s">
        <v>65</v>
      </c>
      <c r="P491" s="9">
        <v>46070</v>
      </c>
      <c r="Q491">
        <v>201.15</v>
      </c>
    </row>
    <row r="492" spans="1:17" x14ac:dyDescent="0.25">
      <c r="A492" s="12" t="s">
        <v>205</v>
      </c>
      <c r="B492" s="3" t="str">
        <f t="shared" si="25"/>
        <v>AMZN</v>
      </c>
      <c r="C492" s="3" t="str">
        <f t="shared" si="23"/>
        <v>260515</v>
      </c>
      <c r="D492" s="3" t="str">
        <f t="shared" si="24"/>
        <v>P00295000</v>
      </c>
      <c r="E492" s="44">
        <v>46175.633333333331</v>
      </c>
      <c r="F492" s="13">
        <v>295</v>
      </c>
      <c r="G492" s="43">
        <v>87.1</v>
      </c>
      <c r="H492" s="43">
        <v>92.3</v>
      </c>
      <c r="I492" s="43">
        <v>95.25</v>
      </c>
      <c r="J492" s="16">
        <v>0</v>
      </c>
      <c r="K492" s="24">
        <v>0</v>
      </c>
      <c r="L492" s="43">
        <v>111</v>
      </c>
      <c r="M492" s="43">
        <v>0</v>
      </c>
      <c r="N492" s="59">
        <v>0.49459999999999998</v>
      </c>
      <c r="O492" t="s">
        <v>65</v>
      </c>
      <c r="P492" s="9">
        <v>46070</v>
      </c>
      <c r="Q492">
        <v>201.15</v>
      </c>
    </row>
    <row r="493" spans="1:17" x14ac:dyDescent="0.25">
      <c r="A493" s="12" t="s">
        <v>206</v>
      </c>
      <c r="B493" s="3" t="str">
        <f t="shared" si="25"/>
        <v>AMZN</v>
      </c>
      <c r="C493" s="3" t="str">
        <f t="shared" si="23"/>
        <v>260515</v>
      </c>
      <c r="D493" s="3" t="str">
        <f t="shared" si="24"/>
        <v>P00300000</v>
      </c>
      <c r="E493" s="44">
        <v>46175.633333333331</v>
      </c>
      <c r="F493" s="13">
        <v>300</v>
      </c>
      <c r="G493" s="43">
        <v>92.2</v>
      </c>
      <c r="H493" s="43">
        <v>97.3</v>
      </c>
      <c r="I493" s="43">
        <v>100.2</v>
      </c>
      <c r="J493" s="16">
        <v>0</v>
      </c>
      <c r="K493" s="24">
        <v>0</v>
      </c>
      <c r="L493" s="43">
        <v>250</v>
      </c>
      <c r="M493" s="43">
        <v>0</v>
      </c>
      <c r="N493" s="59">
        <v>0.5071</v>
      </c>
      <c r="O493" t="s">
        <v>65</v>
      </c>
      <c r="P493" s="9">
        <v>46070</v>
      </c>
      <c r="Q493">
        <v>201.15</v>
      </c>
    </row>
    <row r="494" spans="1:17" x14ac:dyDescent="0.25">
      <c r="A494" s="12" t="s">
        <v>207</v>
      </c>
      <c r="B494" s="3" t="str">
        <f t="shared" si="25"/>
        <v>AMZN</v>
      </c>
      <c r="C494" s="3" t="str">
        <f t="shared" si="23"/>
        <v>260515</v>
      </c>
      <c r="D494" s="3" t="str">
        <f t="shared" si="24"/>
        <v>P00305000</v>
      </c>
      <c r="E494" s="44">
        <v>45973.415277777778</v>
      </c>
      <c r="F494" s="13">
        <v>305</v>
      </c>
      <c r="G494" s="43">
        <v>75.2</v>
      </c>
      <c r="H494" s="43">
        <v>65.150000000000006</v>
      </c>
      <c r="I494" s="43">
        <v>66.25</v>
      </c>
      <c r="J494" s="16">
        <v>0</v>
      </c>
      <c r="K494" s="24">
        <v>0</v>
      </c>
      <c r="L494" s="43">
        <v>5</v>
      </c>
      <c r="M494" s="43">
        <v>0</v>
      </c>
      <c r="N494" s="59">
        <v>0</v>
      </c>
      <c r="O494" t="s">
        <v>65</v>
      </c>
      <c r="P494" s="9">
        <v>46070</v>
      </c>
      <c r="Q494">
        <v>201.15</v>
      </c>
    </row>
    <row r="495" spans="1:17" x14ac:dyDescent="0.25">
      <c r="A495" s="12" t="s">
        <v>208</v>
      </c>
      <c r="B495" s="3" t="str">
        <f t="shared" si="25"/>
        <v>AMZN</v>
      </c>
      <c r="C495" s="3" t="str">
        <f t="shared" si="23"/>
        <v>260515</v>
      </c>
      <c r="D495" s="3" t="str">
        <f t="shared" si="24"/>
        <v>P00310000</v>
      </c>
      <c r="E495" s="44">
        <v>46358.4375</v>
      </c>
      <c r="F495" s="13">
        <v>310</v>
      </c>
      <c r="G495" s="43">
        <v>107.67</v>
      </c>
      <c r="H495" s="43">
        <v>107.3</v>
      </c>
      <c r="I495" s="43">
        <v>110.25</v>
      </c>
      <c r="J495" s="16">
        <v>0</v>
      </c>
      <c r="K495" s="24">
        <v>0</v>
      </c>
      <c r="L495" s="43">
        <v>1</v>
      </c>
      <c r="M495" s="43">
        <v>0</v>
      </c>
      <c r="N495" s="59">
        <v>0.54210000000000003</v>
      </c>
      <c r="O495" t="s">
        <v>65</v>
      </c>
      <c r="P495" s="9">
        <v>46070</v>
      </c>
      <c r="Q495">
        <v>201.15</v>
      </c>
    </row>
    <row r="496" spans="1:17" x14ac:dyDescent="0.25">
      <c r="A496" s="12" t="s">
        <v>209</v>
      </c>
      <c r="B496" s="3" t="str">
        <f t="shared" si="25"/>
        <v>AMZN</v>
      </c>
      <c r="C496" s="3" t="str">
        <f t="shared" si="23"/>
        <v>260515</v>
      </c>
      <c r="D496" s="3" t="str">
        <f t="shared" si="24"/>
        <v>P00315000</v>
      </c>
      <c r="E496" s="44">
        <v>46174.548611111109</v>
      </c>
      <c r="F496" s="13">
        <v>315</v>
      </c>
      <c r="G496" s="43">
        <v>73.739999999999995</v>
      </c>
      <c r="H496" s="43">
        <v>115.6</v>
      </c>
      <c r="I496" s="43">
        <v>118.05</v>
      </c>
      <c r="J496" s="16">
        <v>0</v>
      </c>
      <c r="K496" s="24">
        <v>0</v>
      </c>
      <c r="L496" s="43">
        <v>1</v>
      </c>
      <c r="M496" s="43">
        <v>0</v>
      </c>
      <c r="N496" s="59">
        <v>0.65910000000000002</v>
      </c>
      <c r="O496" t="s">
        <v>65</v>
      </c>
      <c r="P496" s="9">
        <v>46070</v>
      </c>
      <c r="Q496">
        <v>201.15</v>
      </c>
    </row>
    <row r="497" spans="1:17" x14ac:dyDescent="0.25">
      <c r="A497" s="12" t="s">
        <v>210</v>
      </c>
      <c r="B497" s="3" t="str">
        <f t="shared" si="25"/>
        <v>AMZN</v>
      </c>
      <c r="C497" s="3" t="str">
        <f t="shared" si="23"/>
        <v>260515</v>
      </c>
      <c r="D497" s="3" t="str">
        <f t="shared" si="24"/>
        <v>P00320000</v>
      </c>
      <c r="E497" s="44">
        <v>46357.511111111111</v>
      </c>
      <c r="F497" s="13">
        <v>320</v>
      </c>
      <c r="G497" s="43">
        <v>72.3</v>
      </c>
      <c r="H497" s="43">
        <v>120.5</v>
      </c>
      <c r="I497" s="43">
        <v>123.05</v>
      </c>
      <c r="J497" s="16">
        <v>0</v>
      </c>
      <c r="K497" s="24">
        <v>0</v>
      </c>
      <c r="L497" s="43">
        <v>10</v>
      </c>
      <c r="M497" s="43">
        <v>0</v>
      </c>
      <c r="N497" s="59">
        <v>0.67249999999999999</v>
      </c>
      <c r="O497" t="s">
        <v>65</v>
      </c>
      <c r="P497" s="9">
        <v>46070</v>
      </c>
      <c r="Q497">
        <v>201.15</v>
      </c>
    </row>
    <row r="498" spans="1:17" x14ac:dyDescent="0.25">
      <c r="A498" s="12" t="s">
        <v>211</v>
      </c>
      <c r="B498" s="3" t="str">
        <f t="shared" si="25"/>
        <v>AMZN</v>
      </c>
      <c r="C498" s="3" t="str">
        <f t="shared" si="23"/>
        <v>260515</v>
      </c>
      <c r="D498" s="3" t="str">
        <f t="shared" si="24"/>
        <v>P00325000</v>
      </c>
      <c r="E498" s="44">
        <v>45972.587500000001</v>
      </c>
      <c r="F498" s="13">
        <v>325</v>
      </c>
      <c r="G498" s="43">
        <v>76.680000000000007</v>
      </c>
      <c r="H498" s="43">
        <v>86.8</v>
      </c>
      <c r="I498" s="43">
        <v>89.35</v>
      </c>
      <c r="J498" s="16">
        <v>0</v>
      </c>
      <c r="K498" s="24">
        <v>0</v>
      </c>
      <c r="L498" s="43">
        <v>12</v>
      </c>
      <c r="M498" s="43">
        <v>0</v>
      </c>
      <c r="N498" s="59">
        <v>0</v>
      </c>
      <c r="O498" t="s">
        <v>65</v>
      </c>
      <c r="P498" s="9">
        <v>46070</v>
      </c>
      <c r="Q498">
        <v>201.15</v>
      </c>
    </row>
    <row r="499" spans="1:17" x14ac:dyDescent="0.25">
      <c r="A499" s="12" t="s">
        <v>212</v>
      </c>
      <c r="B499" s="3" t="str">
        <f t="shared" si="25"/>
        <v>AMZN</v>
      </c>
      <c r="C499" s="3" t="str">
        <f t="shared" si="23"/>
        <v>260515</v>
      </c>
      <c r="D499" s="3" t="str">
        <f t="shared" si="24"/>
        <v>P00330000</v>
      </c>
      <c r="E499" s="44">
        <v>46175.400694444441</v>
      </c>
      <c r="F499" s="13">
        <v>330</v>
      </c>
      <c r="G499" s="43">
        <v>128.12</v>
      </c>
      <c r="H499" s="43">
        <v>127.3</v>
      </c>
      <c r="I499" s="43">
        <v>130.25</v>
      </c>
      <c r="J499" s="16">
        <v>0</v>
      </c>
      <c r="K499" s="24">
        <v>0</v>
      </c>
      <c r="L499" s="43">
        <v>1</v>
      </c>
      <c r="M499" s="43">
        <v>0</v>
      </c>
      <c r="N499" s="59">
        <v>0.60029999999999994</v>
      </c>
      <c r="O499" t="s">
        <v>65</v>
      </c>
      <c r="P499" s="9">
        <v>46070</v>
      </c>
      <c r="Q499">
        <v>201.15</v>
      </c>
    </row>
    <row r="500" spans="1:17" x14ac:dyDescent="0.25">
      <c r="A500" s="12" t="s">
        <v>112</v>
      </c>
      <c r="B500" s="3" t="str">
        <f t="shared" si="25"/>
        <v>AMZN</v>
      </c>
      <c r="C500" s="3" t="str">
        <f t="shared" ref="C500:C563" si="26">+MID(A500,5,6)</f>
        <v>260515</v>
      </c>
      <c r="D500" s="3" t="str">
        <f t="shared" ref="D500:D563" si="27">+MID(A500,11,10)</f>
        <v>P00340000</v>
      </c>
      <c r="E500" s="44">
        <v>45727.46875</v>
      </c>
      <c r="F500" s="13">
        <v>340</v>
      </c>
      <c r="G500" s="43">
        <v>85.25</v>
      </c>
      <c r="H500" s="43">
        <v>102.15</v>
      </c>
      <c r="I500" s="43">
        <v>104.05</v>
      </c>
      <c r="J500" s="16">
        <v>0</v>
      </c>
      <c r="K500" s="24">
        <v>0</v>
      </c>
      <c r="L500" s="43" t="s">
        <v>113</v>
      </c>
      <c r="M500" s="43">
        <v>0</v>
      </c>
      <c r="N500" s="59">
        <v>0</v>
      </c>
      <c r="O500" t="s">
        <v>65</v>
      </c>
      <c r="P500" s="9">
        <v>46070</v>
      </c>
      <c r="Q500">
        <v>201.15</v>
      </c>
    </row>
    <row r="501" spans="1:17" x14ac:dyDescent="0.25">
      <c r="A501" s="12" t="s">
        <v>114</v>
      </c>
      <c r="B501" s="3" t="str">
        <f t="shared" si="25"/>
        <v>AMZN</v>
      </c>
      <c r="C501" s="3" t="str">
        <f t="shared" si="26"/>
        <v>260515</v>
      </c>
      <c r="D501" s="3" t="str">
        <f t="shared" si="27"/>
        <v>P00350000</v>
      </c>
      <c r="E501" s="44">
        <v>46358.662499999999</v>
      </c>
      <c r="F501" s="13">
        <v>350</v>
      </c>
      <c r="G501" s="43">
        <v>149.80000000000001</v>
      </c>
      <c r="H501" s="43">
        <v>147.30000000000001</v>
      </c>
      <c r="I501" s="43">
        <v>150.25</v>
      </c>
      <c r="J501" s="16">
        <v>0</v>
      </c>
      <c r="K501" s="24">
        <v>0</v>
      </c>
      <c r="L501" s="43">
        <v>1</v>
      </c>
      <c r="M501" s="43">
        <v>1</v>
      </c>
      <c r="N501" s="59">
        <v>0.65380000000000005</v>
      </c>
      <c r="O501" t="s">
        <v>65</v>
      </c>
      <c r="P501" s="9">
        <v>46070</v>
      </c>
      <c r="Q501">
        <v>201.15</v>
      </c>
    </row>
    <row r="502" spans="1:17" x14ac:dyDescent="0.25">
      <c r="A502" s="12" t="s">
        <v>115</v>
      </c>
      <c r="B502" s="3" t="str">
        <f t="shared" si="25"/>
        <v>AMZN</v>
      </c>
      <c r="C502" s="3" t="str">
        <f t="shared" si="26"/>
        <v>260515</v>
      </c>
      <c r="D502" s="3" t="str">
        <f t="shared" si="27"/>
        <v>P00360000</v>
      </c>
      <c r="E502" s="44">
        <v>46358.662499999999</v>
      </c>
      <c r="F502" s="13">
        <v>360</v>
      </c>
      <c r="G502" s="43">
        <v>159.82</v>
      </c>
      <c r="H502" s="43">
        <v>157.30000000000001</v>
      </c>
      <c r="I502" s="43">
        <v>160.25</v>
      </c>
      <c r="J502" s="16">
        <v>0</v>
      </c>
      <c r="K502" s="24">
        <v>0</v>
      </c>
      <c r="L502" s="43">
        <v>1</v>
      </c>
      <c r="M502" s="43">
        <v>0</v>
      </c>
      <c r="N502" s="59">
        <v>0.67910000000000004</v>
      </c>
      <c r="O502" t="s">
        <v>65</v>
      </c>
      <c r="P502" s="9">
        <v>46070</v>
      </c>
      <c r="Q502">
        <v>201.15</v>
      </c>
    </row>
    <row r="503" spans="1:17" x14ac:dyDescent="0.25">
      <c r="A503" s="12" t="s">
        <v>116</v>
      </c>
      <c r="B503" s="3" t="str">
        <f t="shared" si="25"/>
        <v>AMZN</v>
      </c>
      <c r="C503" s="3" t="str">
        <f t="shared" si="26"/>
        <v>260515</v>
      </c>
      <c r="D503" s="3" t="str">
        <f t="shared" si="27"/>
        <v>P00370000</v>
      </c>
      <c r="E503" s="43" t="s">
        <v>220</v>
      </c>
      <c r="F503" s="13">
        <v>370</v>
      </c>
      <c r="G503" s="43">
        <v>126.6</v>
      </c>
      <c r="H503" s="43">
        <v>167.3</v>
      </c>
      <c r="I503" s="43">
        <v>170.25</v>
      </c>
      <c r="J503" s="16">
        <v>0</v>
      </c>
      <c r="K503" s="24">
        <v>0</v>
      </c>
      <c r="L503" s="43">
        <v>1</v>
      </c>
      <c r="M503" s="43">
        <v>0</v>
      </c>
      <c r="N503" s="59">
        <v>0.70340000000000003</v>
      </c>
      <c r="O503" t="s">
        <v>65</v>
      </c>
      <c r="P503" s="9">
        <v>46070</v>
      </c>
      <c r="Q503">
        <v>201.15</v>
      </c>
    </row>
    <row r="504" spans="1:17" x14ac:dyDescent="0.25">
      <c r="A504" s="12" t="s">
        <v>117</v>
      </c>
      <c r="B504" s="3" t="str">
        <f t="shared" si="25"/>
        <v>AMZN</v>
      </c>
      <c r="C504" s="3" t="str">
        <f t="shared" si="26"/>
        <v>260515</v>
      </c>
      <c r="D504" s="3" t="str">
        <f t="shared" si="27"/>
        <v>C00105000</v>
      </c>
      <c r="E504" s="44">
        <v>46071.561805555553</v>
      </c>
      <c r="F504" s="13">
        <v>105</v>
      </c>
      <c r="G504" s="43">
        <v>102.37</v>
      </c>
      <c r="H504" s="43">
        <v>99.15</v>
      </c>
      <c r="I504" s="43">
        <v>102.1</v>
      </c>
      <c r="J504" s="16">
        <v>0</v>
      </c>
      <c r="K504" s="24">
        <v>0</v>
      </c>
      <c r="L504" s="43">
        <v>1</v>
      </c>
      <c r="M504" s="43">
        <v>24</v>
      </c>
      <c r="N504" s="59">
        <v>0.84130000000000005</v>
      </c>
      <c r="O504" t="s">
        <v>62</v>
      </c>
      <c r="P504" s="9">
        <v>46072</v>
      </c>
      <c r="Q504">
        <v>204.44</v>
      </c>
    </row>
    <row r="505" spans="1:17" x14ac:dyDescent="0.25">
      <c r="A505" s="12" t="s">
        <v>118</v>
      </c>
      <c r="B505" s="3" t="str">
        <f t="shared" si="25"/>
        <v>AMZN</v>
      </c>
      <c r="C505" s="3" t="str">
        <f t="shared" si="26"/>
        <v>260515</v>
      </c>
      <c r="D505" s="3" t="str">
        <f t="shared" si="27"/>
        <v>C00110000</v>
      </c>
      <c r="E505" s="44">
        <v>46062.460416666669</v>
      </c>
      <c r="F505" s="13">
        <v>110</v>
      </c>
      <c r="G505" s="43">
        <v>100.79</v>
      </c>
      <c r="H505" s="43">
        <v>94.05</v>
      </c>
      <c r="I505" s="43">
        <v>97.2</v>
      </c>
      <c r="J505" s="16">
        <v>0</v>
      </c>
      <c r="K505" s="24">
        <v>0</v>
      </c>
      <c r="L505" s="43">
        <v>3</v>
      </c>
      <c r="M505" s="43">
        <v>35</v>
      </c>
      <c r="N505" s="59">
        <v>0.79</v>
      </c>
      <c r="O505" t="s">
        <v>62</v>
      </c>
      <c r="P505" s="9">
        <v>46072</v>
      </c>
      <c r="Q505">
        <v>204.44</v>
      </c>
    </row>
    <row r="506" spans="1:17" x14ac:dyDescent="0.25">
      <c r="A506" s="12" t="s">
        <v>119</v>
      </c>
      <c r="B506" s="3" t="str">
        <f t="shared" si="25"/>
        <v>AMZN</v>
      </c>
      <c r="C506" s="3" t="str">
        <f t="shared" si="26"/>
        <v>260515</v>
      </c>
      <c r="D506" s="3" t="str">
        <f t="shared" si="27"/>
        <v>C00115000</v>
      </c>
      <c r="E506" s="44">
        <v>46071.532638888886</v>
      </c>
      <c r="F506" s="13">
        <v>115</v>
      </c>
      <c r="G506" s="43">
        <v>92.51</v>
      </c>
      <c r="H506" s="43">
        <v>89.05</v>
      </c>
      <c r="I506" s="43">
        <v>92.3</v>
      </c>
      <c r="J506" s="16">
        <v>0</v>
      </c>
      <c r="K506" s="24">
        <v>0</v>
      </c>
      <c r="L506" s="43">
        <v>1</v>
      </c>
      <c r="M506" s="43">
        <v>45</v>
      </c>
      <c r="N506" s="59">
        <v>0.74729999999999996</v>
      </c>
      <c r="O506" t="s">
        <v>62</v>
      </c>
      <c r="P506" s="9">
        <v>46072</v>
      </c>
      <c r="Q506">
        <v>204.44</v>
      </c>
    </row>
    <row r="507" spans="1:17" x14ac:dyDescent="0.25">
      <c r="A507" s="12" t="s">
        <v>120</v>
      </c>
      <c r="B507" s="3" t="str">
        <f t="shared" si="25"/>
        <v>AMZN</v>
      </c>
      <c r="C507" s="3" t="str">
        <f t="shared" si="26"/>
        <v>260515</v>
      </c>
      <c r="D507" s="3" t="str">
        <f t="shared" si="27"/>
        <v>C00120000</v>
      </c>
      <c r="E507" s="44">
        <v>46070.40625</v>
      </c>
      <c r="F507" s="13">
        <v>120</v>
      </c>
      <c r="G507" s="43">
        <v>78.650000000000006</v>
      </c>
      <c r="H507" s="43">
        <v>84.5</v>
      </c>
      <c r="I507" s="43">
        <v>86.75</v>
      </c>
      <c r="J507" s="16">
        <v>0</v>
      </c>
      <c r="K507" s="24">
        <v>0</v>
      </c>
      <c r="L507" s="43">
        <v>1</v>
      </c>
      <c r="M507" s="60">
        <v>2250</v>
      </c>
      <c r="N507" s="59">
        <v>0.69410000000000005</v>
      </c>
      <c r="O507" t="s">
        <v>62</v>
      </c>
      <c r="P507" s="9">
        <v>46072</v>
      </c>
      <c r="Q507">
        <v>204.44</v>
      </c>
    </row>
    <row r="508" spans="1:17" x14ac:dyDescent="0.25">
      <c r="A508" s="12" t="s">
        <v>121</v>
      </c>
      <c r="B508" s="3" t="str">
        <f t="shared" si="25"/>
        <v>AMZN</v>
      </c>
      <c r="C508" s="3" t="str">
        <f t="shared" si="26"/>
        <v>260515</v>
      </c>
      <c r="D508" s="3" t="str">
        <f t="shared" si="27"/>
        <v>C00125000</v>
      </c>
      <c r="E508" s="44">
        <v>46062.460416666669</v>
      </c>
      <c r="F508" s="13">
        <v>125</v>
      </c>
      <c r="G508" s="43">
        <v>86.69</v>
      </c>
      <c r="H508" s="43">
        <v>79.349999999999994</v>
      </c>
      <c r="I508" s="43">
        <v>82.6</v>
      </c>
      <c r="J508" s="16">
        <v>0</v>
      </c>
      <c r="K508" s="24">
        <v>0</v>
      </c>
      <c r="L508" s="43">
        <v>4</v>
      </c>
      <c r="M508" s="43">
        <v>45</v>
      </c>
      <c r="N508" s="59">
        <v>0.68530000000000002</v>
      </c>
      <c r="O508" t="s">
        <v>62</v>
      </c>
      <c r="P508" s="9">
        <v>46072</v>
      </c>
      <c r="Q508">
        <v>204.44</v>
      </c>
    </row>
    <row r="509" spans="1:17" x14ac:dyDescent="0.25">
      <c r="A509" s="12" t="s">
        <v>122</v>
      </c>
      <c r="B509" s="3" t="str">
        <f t="shared" si="25"/>
        <v>AMZN</v>
      </c>
      <c r="C509" s="3" t="str">
        <f t="shared" si="26"/>
        <v>260515</v>
      </c>
      <c r="D509" s="3" t="str">
        <f t="shared" si="27"/>
        <v>C00130000</v>
      </c>
      <c r="E509" s="44">
        <v>46066.446527777778</v>
      </c>
      <c r="F509" s="13">
        <v>130</v>
      </c>
      <c r="G509" s="43">
        <v>69.989999999999995</v>
      </c>
      <c r="H509" s="43">
        <v>75.349999999999994</v>
      </c>
      <c r="I509" s="43">
        <v>77.75</v>
      </c>
      <c r="J509" s="16">
        <v>0</v>
      </c>
      <c r="K509" s="24">
        <v>0</v>
      </c>
      <c r="L509" s="43">
        <v>6</v>
      </c>
      <c r="M509" s="43">
        <v>77</v>
      </c>
      <c r="N509" s="59">
        <v>0.68910000000000005</v>
      </c>
      <c r="O509" t="s">
        <v>62</v>
      </c>
      <c r="P509" s="9">
        <v>46072</v>
      </c>
      <c r="Q509">
        <v>204.44</v>
      </c>
    </row>
    <row r="510" spans="1:17" x14ac:dyDescent="0.25">
      <c r="A510" s="12" t="s">
        <v>123</v>
      </c>
      <c r="B510" s="3" t="str">
        <f t="shared" si="25"/>
        <v>AMZN</v>
      </c>
      <c r="C510" s="3" t="str">
        <f t="shared" si="26"/>
        <v>260515</v>
      </c>
      <c r="D510" s="3" t="str">
        <f t="shared" si="27"/>
        <v>C00135000</v>
      </c>
      <c r="E510" s="44">
        <v>46062.460416666669</v>
      </c>
      <c r="F510" s="13">
        <v>135</v>
      </c>
      <c r="G510" s="43">
        <v>77.010000000000005</v>
      </c>
      <c r="H510" s="43">
        <v>69.900000000000006</v>
      </c>
      <c r="I510" s="43">
        <v>72.95</v>
      </c>
      <c r="J510" s="16">
        <v>0</v>
      </c>
      <c r="K510" s="24">
        <v>0</v>
      </c>
      <c r="L510" s="43">
        <v>3</v>
      </c>
      <c r="M510" s="43">
        <v>31</v>
      </c>
      <c r="N510" s="59">
        <v>0.63290000000000002</v>
      </c>
      <c r="O510" t="s">
        <v>62</v>
      </c>
      <c r="P510" s="9">
        <v>46072</v>
      </c>
      <c r="Q510">
        <v>204.44</v>
      </c>
    </row>
    <row r="511" spans="1:17" x14ac:dyDescent="0.25">
      <c r="A511" s="12" t="s">
        <v>124</v>
      </c>
      <c r="B511" s="3" t="str">
        <f t="shared" si="25"/>
        <v>AMZN</v>
      </c>
      <c r="C511" s="3" t="str">
        <f t="shared" si="26"/>
        <v>260515</v>
      </c>
      <c r="D511" s="3" t="str">
        <f t="shared" si="27"/>
        <v>C00140000</v>
      </c>
      <c r="E511" s="44">
        <v>46072.4375</v>
      </c>
      <c r="F511" s="13">
        <v>140</v>
      </c>
      <c r="G511" s="43">
        <v>66.77</v>
      </c>
      <c r="H511" s="43">
        <v>65.95</v>
      </c>
      <c r="I511" s="43">
        <v>68.05</v>
      </c>
      <c r="J511" s="16">
        <v>3.57</v>
      </c>
      <c r="K511" s="24">
        <v>5.6500000000000002E-2</v>
      </c>
      <c r="L511" s="43">
        <v>1</v>
      </c>
      <c r="M511" s="43">
        <v>26</v>
      </c>
      <c r="N511" s="59">
        <v>0.62849999999999995</v>
      </c>
      <c r="O511" t="s">
        <v>62</v>
      </c>
      <c r="P511" s="9">
        <v>46072</v>
      </c>
      <c r="Q511">
        <v>204.44</v>
      </c>
    </row>
    <row r="512" spans="1:17" x14ac:dyDescent="0.25">
      <c r="A512" s="12" t="s">
        <v>125</v>
      </c>
      <c r="B512" s="3" t="str">
        <f t="shared" si="25"/>
        <v>AMZN</v>
      </c>
      <c r="C512" s="3" t="str">
        <f t="shared" si="26"/>
        <v>260515</v>
      </c>
      <c r="D512" s="3" t="str">
        <f t="shared" si="27"/>
        <v>C00145000</v>
      </c>
      <c r="E512" s="44">
        <v>46071.570833333331</v>
      </c>
      <c r="F512" s="13">
        <v>145</v>
      </c>
      <c r="G512" s="43">
        <v>63</v>
      </c>
      <c r="H512" s="43">
        <v>60.45</v>
      </c>
      <c r="I512" s="43">
        <v>63.45</v>
      </c>
      <c r="J512" s="16">
        <v>0</v>
      </c>
      <c r="K512" s="24">
        <v>0</v>
      </c>
      <c r="L512" s="43">
        <v>10</v>
      </c>
      <c r="M512" s="43">
        <v>16</v>
      </c>
      <c r="N512" s="59">
        <v>0.57979999999999998</v>
      </c>
      <c r="O512" t="s">
        <v>62</v>
      </c>
      <c r="P512" s="9">
        <v>46072</v>
      </c>
      <c r="Q512">
        <v>204.44</v>
      </c>
    </row>
    <row r="513" spans="1:17" x14ac:dyDescent="0.25">
      <c r="A513" s="12" t="s">
        <v>126</v>
      </c>
      <c r="B513" s="3" t="str">
        <f t="shared" si="25"/>
        <v>AMZN</v>
      </c>
      <c r="C513" s="3" t="str">
        <f t="shared" si="26"/>
        <v>260515</v>
      </c>
      <c r="D513" s="3" t="str">
        <f t="shared" si="27"/>
        <v>C00150000</v>
      </c>
      <c r="E513" s="44">
        <v>46072.42291666667</v>
      </c>
      <c r="F513" s="13">
        <v>150</v>
      </c>
      <c r="G513" s="43">
        <v>57.8</v>
      </c>
      <c r="H513" s="43">
        <v>56.85</v>
      </c>
      <c r="I513" s="43">
        <v>58.05</v>
      </c>
      <c r="J513" s="16">
        <v>3.3</v>
      </c>
      <c r="K513" s="24">
        <v>6.0600000000000001E-2</v>
      </c>
      <c r="L513" s="43">
        <v>15</v>
      </c>
      <c r="M513" s="43">
        <v>108</v>
      </c>
      <c r="N513" s="59">
        <v>0.56479999999999997</v>
      </c>
      <c r="O513" t="s">
        <v>62</v>
      </c>
      <c r="P513" s="9">
        <v>46072</v>
      </c>
      <c r="Q513">
        <v>204.44</v>
      </c>
    </row>
    <row r="514" spans="1:17" x14ac:dyDescent="0.25">
      <c r="A514" s="12" t="s">
        <v>127</v>
      </c>
      <c r="B514" s="3" t="str">
        <f t="shared" si="25"/>
        <v>AMZN</v>
      </c>
      <c r="C514" s="3" t="str">
        <f t="shared" si="26"/>
        <v>260515</v>
      </c>
      <c r="D514" s="3" t="str">
        <f t="shared" si="27"/>
        <v>C00155000</v>
      </c>
      <c r="E514" s="44">
        <v>46072.529861111114</v>
      </c>
      <c r="F514" s="13">
        <v>155</v>
      </c>
      <c r="G514" s="43">
        <v>52.7</v>
      </c>
      <c r="H514" s="43">
        <v>51.85</v>
      </c>
      <c r="I514" s="43">
        <v>53.55</v>
      </c>
      <c r="J514" s="16">
        <v>2.7</v>
      </c>
      <c r="K514" s="24">
        <v>5.3999999999999999E-2</v>
      </c>
      <c r="L514" s="43">
        <v>3</v>
      </c>
      <c r="M514" s="43">
        <v>90</v>
      </c>
      <c r="N514" s="59">
        <v>0.53320000000000001</v>
      </c>
      <c r="O514" t="s">
        <v>62</v>
      </c>
      <c r="P514" s="9">
        <v>46072</v>
      </c>
      <c r="Q514">
        <v>204.44</v>
      </c>
    </row>
    <row r="515" spans="1:17" x14ac:dyDescent="0.25">
      <c r="A515" s="12" t="s">
        <v>128</v>
      </c>
      <c r="B515" s="3" t="str">
        <f t="shared" ref="B515:B578" si="28">+MID(A515,1,4)</f>
        <v>AMZN</v>
      </c>
      <c r="C515" s="3" t="str">
        <f t="shared" si="26"/>
        <v>260515</v>
      </c>
      <c r="D515" s="3" t="str">
        <f t="shared" si="27"/>
        <v>C00160000</v>
      </c>
      <c r="E515" s="44">
        <v>46072.523611111108</v>
      </c>
      <c r="F515" s="13">
        <v>160</v>
      </c>
      <c r="G515" s="43">
        <v>48.44</v>
      </c>
      <c r="H515" s="43">
        <v>47.45</v>
      </c>
      <c r="I515" s="43">
        <v>48.85</v>
      </c>
      <c r="J515" s="16">
        <v>-0.91</v>
      </c>
      <c r="K515" s="24">
        <v>-1.84E-2</v>
      </c>
      <c r="L515" s="43">
        <v>2</v>
      </c>
      <c r="M515" s="43">
        <v>208</v>
      </c>
      <c r="N515" s="59">
        <v>0.5101</v>
      </c>
      <c r="O515" t="s">
        <v>62</v>
      </c>
      <c r="P515" s="9">
        <v>46072</v>
      </c>
      <c r="Q515">
        <v>204.44</v>
      </c>
    </row>
    <row r="516" spans="1:17" x14ac:dyDescent="0.25">
      <c r="A516" s="12" t="s">
        <v>129</v>
      </c>
      <c r="B516" s="3" t="str">
        <f t="shared" si="28"/>
        <v>AMZN</v>
      </c>
      <c r="C516" s="3" t="str">
        <f t="shared" si="26"/>
        <v>260515</v>
      </c>
      <c r="D516" s="3" t="str">
        <f t="shared" si="27"/>
        <v>C00165000</v>
      </c>
      <c r="E516" s="44">
        <v>46070.580555555556</v>
      </c>
      <c r="F516" s="13">
        <v>165</v>
      </c>
      <c r="G516" s="43">
        <v>43.15</v>
      </c>
      <c r="H516" s="43">
        <v>43.4</v>
      </c>
      <c r="I516" s="43">
        <v>44.25</v>
      </c>
      <c r="J516" s="16">
        <v>1.99</v>
      </c>
      <c r="K516" s="24">
        <v>4.8300000000000003E-2</v>
      </c>
      <c r="L516" s="43">
        <v>5</v>
      </c>
      <c r="M516" s="43">
        <v>130</v>
      </c>
      <c r="N516" s="59">
        <v>0.51180000000000003</v>
      </c>
      <c r="O516" t="s">
        <v>62</v>
      </c>
      <c r="P516" s="9">
        <v>46072</v>
      </c>
      <c r="Q516">
        <v>204.44</v>
      </c>
    </row>
    <row r="517" spans="1:17" x14ac:dyDescent="0.25">
      <c r="A517" s="12" t="s">
        <v>130</v>
      </c>
      <c r="B517" s="3" t="str">
        <f t="shared" si="28"/>
        <v>AMZN</v>
      </c>
      <c r="C517" s="3" t="str">
        <f t="shared" si="26"/>
        <v>260515</v>
      </c>
      <c r="D517" s="3" t="str">
        <f t="shared" si="27"/>
        <v>C00170000</v>
      </c>
      <c r="E517" s="44">
        <v>46072.536111111112</v>
      </c>
      <c r="F517" s="13">
        <v>170</v>
      </c>
      <c r="G517" s="43">
        <v>39.25</v>
      </c>
      <c r="H517" s="43">
        <v>39.4</v>
      </c>
      <c r="I517" s="43">
        <v>39.85</v>
      </c>
      <c r="J517" s="16">
        <v>-0.55000000000000004</v>
      </c>
      <c r="K517" s="24">
        <v>-1.38E-2</v>
      </c>
      <c r="L517" s="43">
        <v>100</v>
      </c>
      <c r="M517" s="43">
        <v>322</v>
      </c>
      <c r="N517" s="59">
        <v>0.48770000000000002</v>
      </c>
      <c r="O517" t="s">
        <v>62</v>
      </c>
      <c r="P517" s="9">
        <v>46072</v>
      </c>
      <c r="Q517">
        <v>204.44</v>
      </c>
    </row>
    <row r="518" spans="1:17" x14ac:dyDescent="0.25">
      <c r="A518" s="12" t="s">
        <v>131</v>
      </c>
      <c r="B518" s="3" t="str">
        <f t="shared" si="28"/>
        <v>AMZN</v>
      </c>
      <c r="C518" s="3" t="str">
        <f t="shared" si="26"/>
        <v>260515</v>
      </c>
      <c r="D518" s="3" t="str">
        <f t="shared" si="27"/>
        <v>C00175000</v>
      </c>
      <c r="E518" s="44">
        <v>46071.645138888889</v>
      </c>
      <c r="F518" s="13">
        <v>175</v>
      </c>
      <c r="G518" s="43">
        <v>35.68</v>
      </c>
      <c r="H518" s="43">
        <v>35.299999999999997</v>
      </c>
      <c r="I518" s="43">
        <v>35.75</v>
      </c>
      <c r="J518" s="16">
        <v>0</v>
      </c>
      <c r="K518" s="24">
        <v>0</v>
      </c>
      <c r="L518" s="43">
        <v>12</v>
      </c>
      <c r="M518" s="43">
        <v>341</v>
      </c>
      <c r="N518" s="59">
        <v>0.47139999999999999</v>
      </c>
      <c r="O518" t="s">
        <v>62</v>
      </c>
      <c r="P518" s="9">
        <v>46072</v>
      </c>
      <c r="Q518">
        <v>204.44</v>
      </c>
    </row>
    <row r="519" spans="1:17" x14ac:dyDescent="0.25">
      <c r="A519" s="12" t="s">
        <v>132</v>
      </c>
      <c r="B519" s="3" t="str">
        <f t="shared" si="28"/>
        <v>AMZN</v>
      </c>
      <c r="C519" s="3" t="str">
        <f t="shared" si="26"/>
        <v>260515</v>
      </c>
      <c r="D519" s="3" t="str">
        <f t="shared" si="27"/>
        <v>C00180000</v>
      </c>
      <c r="E519" s="44">
        <v>46072.534722222219</v>
      </c>
      <c r="F519" s="13">
        <v>180</v>
      </c>
      <c r="G519" s="43">
        <v>31.4</v>
      </c>
      <c r="H519" s="43">
        <v>31.3</v>
      </c>
      <c r="I519" s="43">
        <v>31.85</v>
      </c>
      <c r="J519" s="16">
        <v>-1.3</v>
      </c>
      <c r="K519" s="24">
        <v>-3.9800000000000002E-2</v>
      </c>
      <c r="L519" s="43">
        <v>6</v>
      </c>
      <c r="M519" s="43">
        <v>757</v>
      </c>
      <c r="N519" s="59">
        <v>0.45739999999999997</v>
      </c>
      <c r="O519" t="s">
        <v>62</v>
      </c>
      <c r="P519" s="9">
        <v>46072</v>
      </c>
      <c r="Q519">
        <v>204.44</v>
      </c>
    </row>
    <row r="520" spans="1:17" x14ac:dyDescent="0.25">
      <c r="A520" s="12" t="s">
        <v>133</v>
      </c>
      <c r="B520" s="3" t="str">
        <f t="shared" si="28"/>
        <v>AMZN</v>
      </c>
      <c r="C520" s="3" t="str">
        <f t="shared" si="26"/>
        <v>260515</v>
      </c>
      <c r="D520" s="3" t="str">
        <f t="shared" si="27"/>
        <v>C00185000</v>
      </c>
      <c r="E520" s="44">
        <v>46072.518750000003</v>
      </c>
      <c r="F520" s="13">
        <v>185</v>
      </c>
      <c r="G520" s="43">
        <v>28.2</v>
      </c>
      <c r="H520" s="43">
        <v>27.55</v>
      </c>
      <c r="I520" s="43">
        <v>28.15</v>
      </c>
      <c r="J520" s="16">
        <v>0.2</v>
      </c>
      <c r="K520" s="24">
        <v>7.1000000000000004E-3</v>
      </c>
      <c r="L520" s="43">
        <v>2</v>
      </c>
      <c r="M520" s="43">
        <v>255</v>
      </c>
      <c r="N520" s="59">
        <v>0.44479999999999997</v>
      </c>
      <c r="O520" t="s">
        <v>62</v>
      </c>
      <c r="P520" s="9">
        <v>46072</v>
      </c>
      <c r="Q520">
        <v>204.44</v>
      </c>
    </row>
    <row r="521" spans="1:17" x14ac:dyDescent="0.25">
      <c r="A521" s="12" t="s">
        <v>134</v>
      </c>
      <c r="B521" s="3" t="str">
        <f t="shared" si="28"/>
        <v>AMZN</v>
      </c>
      <c r="C521" s="3" t="str">
        <f t="shared" si="26"/>
        <v>260515</v>
      </c>
      <c r="D521" s="3" t="str">
        <f t="shared" si="27"/>
        <v>C00190000</v>
      </c>
      <c r="E521" s="44">
        <v>46072.551388888889</v>
      </c>
      <c r="F521" s="13">
        <v>190</v>
      </c>
      <c r="G521" s="43">
        <v>24.5</v>
      </c>
      <c r="H521" s="43">
        <v>24.15</v>
      </c>
      <c r="I521" s="43">
        <v>24.6</v>
      </c>
      <c r="J521" s="16">
        <v>-0.32</v>
      </c>
      <c r="K521" s="24">
        <v>-1.29E-2</v>
      </c>
      <c r="L521" s="43">
        <v>48</v>
      </c>
      <c r="M521" s="60">
        <v>23063</v>
      </c>
      <c r="N521" s="59">
        <v>0.43140000000000001</v>
      </c>
      <c r="O521" t="s">
        <v>62</v>
      </c>
      <c r="P521" s="9">
        <v>46072</v>
      </c>
      <c r="Q521">
        <v>204.44</v>
      </c>
    </row>
    <row r="522" spans="1:17" x14ac:dyDescent="0.25">
      <c r="A522" s="12" t="s">
        <v>135</v>
      </c>
      <c r="B522" s="3" t="str">
        <f t="shared" si="28"/>
        <v>AMZN</v>
      </c>
      <c r="C522" s="3" t="str">
        <f t="shared" si="26"/>
        <v>260515</v>
      </c>
      <c r="D522" s="3" t="str">
        <f t="shared" si="27"/>
        <v>C00195000</v>
      </c>
      <c r="E522" s="44">
        <v>46072.535416666666</v>
      </c>
      <c r="F522" s="13">
        <v>195</v>
      </c>
      <c r="G522" s="43">
        <v>21.08</v>
      </c>
      <c r="H522" s="43">
        <v>21.15</v>
      </c>
      <c r="I522" s="43">
        <v>21.35</v>
      </c>
      <c r="J522" s="16">
        <v>-0.67</v>
      </c>
      <c r="K522" s="24">
        <v>-3.0800000000000001E-2</v>
      </c>
      <c r="L522" s="43">
        <v>36</v>
      </c>
      <c r="M522" s="60">
        <v>1427</v>
      </c>
      <c r="N522" s="59">
        <v>0.42099999999999999</v>
      </c>
      <c r="O522" t="s">
        <v>62</v>
      </c>
      <c r="P522" s="9">
        <v>46072</v>
      </c>
      <c r="Q522">
        <v>204.44</v>
      </c>
    </row>
    <row r="523" spans="1:17" x14ac:dyDescent="0.25">
      <c r="A523" s="12" t="s">
        <v>136</v>
      </c>
      <c r="B523" s="3" t="str">
        <f t="shared" si="28"/>
        <v>AMZN</v>
      </c>
      <c r="C523" s="3" t="str">
        <f t="shared" si="26"/>
        <v>260515</v>
      </c>
      <c r="D523" s="3" t="str">
        <f t="shared" si="27"/>
        <v>C00200000</v>
      </c>
      <c r="E523" s="44">
        <v>46072.54583333333</v>
      </c>
      <c r="F523" s="13">
        <v>200</v>
      </c>
      <c r="G523" s="43">
        <v>18.149999999999999</v>
      </c>
      <c r="H523" s="43">
        <v>18.149999999999999</v>
      </c>
      <c r="I523" s="43">
        <v>18.25</v>
      </c>
      <c r="J523" s="16">
        <v>-0.4</v>
      </c>
      <c r="K523" s="24">
        <v>-2.1600000000000001E-2</v>
      </c>
      <c r="L523" s="43">
        <v>192</v>
      </c>
      <c r="M523" s="60">
        <v>10343</v>
      </c>
      <c r="N523" s="59">
        <v>0.4088</v>
      </c>
      <c r="O523" t="s">
        <v>62</v>
      </c>
      <c r="P523" s="9">
        <v>46072</v>
      </c>
      <c r="Q523">
        <v>204.44</v>
      </c>
    </row>
    <row r="524" spans="1:17" x14ac:dyDescent="0.25">
      <c r="A524" s="12" t="s">
        <v>137</v>
      </c>
      <c r="B524" s="3" t="str">
        <f t="shared" si="28"/>
        <v>AMZN</v>
      </c>
      <c r="C524" s="3" t="str">
        <f t="shared" si="26"/>
        <v>260515</v>
      </c>
      <c r="D524" s="3" t="str">
        <f t="shared" si="27"/>
        <v>C00205000</v>
      </c>
      <c r="E524" s="44">
        <v>46072.55</v>
      </c>
      <c r="F524" s="13">
        <v>205</v>
      </c>
      <c r="G524" s="43">
        <v>15.58</v>
      </c>
      <c r="H524" s="43">
        <v>15.45</v>
      </c>
      <c r="I524" s="43">
        <v>15.55</v>
      </c>
      <c r="J524" s="16">
        <v>-0.4</v>
      </c>
      <c r="K524" s="24">
        <v>-2.5000000000000001E-2</v>
      </c>
      <c r="L524" s="60">
        <v>1410</v>
      </c>
      <c r="M524" s="60">
        <v>9524</v>
      </c>
      <c r="N524" s="59">
        <v>0.40110000000000001</v>
      </c>
      <c r="O524" t="s">
        <v>62</v>
      </c>
      <c r="P524" s="9">
        <v>46072</v>
      </c>
      <c r="Q524">
        <v>204.44</v>
      </c>
    </row>
    <row r="525" spans="1:17" x14ac:dyDescent="0.25">
      <c r="A525" s="12" t="s">
        <v>138</v>
      </c>
      <c r="B525" s="3" t="str">
        <f t="shared" si="28"/>
        <v>AMZN</v>
      </c>
      <c r="C525" s="3" t="str">
        <f t="shared" si="26"/>
        <v>260515</v>
      </c>
      <c r="D525" s="3" t="str">
        <f t="shared" si="27"/>
        <v>C00210000</v>
      </c>
      <c r="E525" s="44">
        <v>46072.548611111109</v>
      </c>
      <c r="F525" s="13">
        <v>210</v>
      </c>
      <c r="G525" s="43">
        <v>13.17</v>
      </c>
      <c r="H525" s="43">
        <v>13.05</v>
      </c>
      <c r="I525" s="43">
        <v>13.2</v>
      </c>
      <c r="J525" s="16">
        <v>-0.38</v>
      </c>
      <c r="K525" s="24">
        <v>-2.8000000000000001E-2</v>
      </c>
      <c r="L525" s="43">
        <v>363</v>
      </c>
      <c r="M525" s="60">
        <v>8306</v>
      </c>
      <c r="N525" s="59">
        <v>0.39600000000000002</v>
      </c>
      <c r="O525" t="s">
        <v>62</v>
      </c>
      <c r="P525" s="9">
        <v>46072</v>
      </c>
      <c r="Q525">
        <v>204.44</v>
      </c>
    </row>
    <row r="526" spans="1:17" x14ac:dyDescent="0.25">
      <c r="A526" s="12" t="s">
        <v>139</v>
      </c>
      <c r="B526" s="3" t="str">
        <f t="shared" si="28"/>
        <v>AMZN</v>
      </c>
      <c r="C526" s="3" t="str">
        <f t="shared" si="26"/>
        <v>260515</v>
      </c>
      <c r="D526" s="3" t="str">
        <f t="shared" si="27"/>
        <v>C00215000</v>
      </c>
      <c r="E526" s="44">
        <v>46072.552777777775</v>
      </c>
      <c r="F526" s="13">
        <v>215</v>
      </c>
      <c r="G526" s="43">
        <v>11.1</v>
      </c>
      <c r="H526" s="43">
        <v>11.1</v>
      </c>
      <c r="I526" s="43">
        <v>11.15</v>
      </c>
      <c r="J526" s="16">
        <v>-0.35</v>
      </c>
      <c r="K526" s="24">
        <v>-3.0800000000000001E-2</v>
      </c>
      <c r="L526" s="43">
        <v>154</v>
      </c>
      <c r="M526" s="60">
        <v>2887</v>
      </c>
      <c r="N526" s="59">
        <v>0.39250000000000002</v>
      </c>
      <c r="O526" t="s">
        <v>62</v>
      </c>
      <c r="P526" s="9">
        <v>46072</v>
      </c>
      <c r="Q526">
        <v>204.44</v>
      </c>
    </row>
    <row r="527" spans="1:17" x14ac:dyDescent="0.25">
      <c r="A527" s="12" t="s">
        <v>140</v>
      </c>
      <c r="B527" s="3" t="str">
        <f t="shared" si="28"/>
        <v>AMZN</v>
      </c>
      <c r="C527" s="3" t="str">
        <f t="shared" si="26"/>
        <v>260515</v>
      </c>
      <c r="D527" s="3" t="str">
        <f t="shared" si="27"/>
        <v>C00220000</v>
      </c>
      <c r="E527" s="44">
        <v>46072.549305555556</v>
      </c>
      <c r="F527" s="13">
        <v>220</v>
      </c>
      <c r="G527" s="43">
        <v>9.1999999999999993</v>
      </c>
      <c r="H527" s="43">
        <v>9.15</v>
      </c>
      <c r="I527" s="43">
        <v>9.25</v>
      </c>
      <c r="J527" s="16">
        <v>-0.3</v>
      </c>
      <c r="K527" s="24">
        <v>-3.1600000000000003E-2</v>
      </c>
      <c r="L527" s="60">
        <v>1065</v>
      </c>
      <c r="M527" s="60">
        <v>7341</v>
      </c>
      <c r="N527" s="59">
        <v>0.38679999999999998</v>
      </c>
      <c r="O527" t="s">
        <v>62</v>
      </c>
      <c r="P527" s="9">
        <v>46072</v>
      </c>
      <c r="Q527">
        <v>204.44</v>
      </c>
    </row>
    <row r="528" spans="1:17" x14ac:dyDescent="0.25">
      <c r="A528" s="12" t="s">
        <v>141</v>
      </c>
      <c r="B528" s="3" t="str">
        <f t="shared" si="28"/>
        <v>AMZN</v>
      </c>
      <c r="C528" s="3" t="str">
        <f t="shared" si="26"/>
        <v>260515</v>
      </c>
      <c r="D528" s="3" t="str">
        <f t="shared" si="27"/>
        <v>C00225000</v>
      </c>
      <c r="E528" s="44">
        <v>46072.513194444444</v>
      </c>
      <c r="F528" s="13">
        <v>225</v>
      </c>
      <c r="G528" s="43">
        <v>7.81</v>
      </c>
      <c r="H528" s="43">
        <v>7.55</v>
      </c>
      <c r="I528" s="43">
        <v>7.65</v>
      </c>
      <c r="J528" s="16">
        <v>-0.04</v>
      </c>
      <c r="K528" s="24">
        <v>-5.1000000000000004E-3</v>
      </c>
      <c r="L528" s="43">
        <v>163</v>
      </c>
      <c r="M528" s="60">
        <v>5994</v>
      </c>
      <c r="N528" s="59">
        <v>0.38290000000000002</v>
      </c>
      <c r="O528" t="s">
        <v>62</v>
      </c>
      <c r="P528" s="9">
        <v>46072</v>
      </c>
      <c r="Q528">
        <v>204.44</v>
      </c>
    </row>
    <row r="529" spans="1:17" x14ac:dyDescent="0.25">
      <c r="A529" s="12" t="s">
        <v>142</v>
      </c>
      <c r="B529" s="3" t="str">
        <f t="shared" si="28"/>
        <v>AMZN</v>
      </c>
      <c r="C529" s="3" t="str">
        <f t="shared" si="26"/>
        <v>260515</v>
      </c>
      <c r="D529" s="3" t="str">
        <f t="shared" si="27"/>
        <v>C00230000</v>
      </c>
      <c r="E529" s="44">
        <v>46072.550694444442</v>
      </c>
      <c r="F529" s="13">
        <v>230</v>
      </c>
      <c r="G529" s="43">
        <v>6.25</v>
      </c>
      <c r="H529" s="43">
        <v>6.25</v>
      </c>
      <c r="I529" s="43">
        <v>6.35</v>
      </c>
      <c r="J529" s="16">
        <v>-0.23</v>
      </c>
      <c r="K529" s="24">
        <v>-3.5499999999999997E-2</v>
      </c>
      <c r="L529" s="60">
        <v>1031</v>
      </c>
      <c r="M529" s="60">
        <v>13007</v>
      </c>
      <c r="N529" s="59">
        <v>0.38169999999999998</v>
      </c>
      <c r="O529" t="s">
        <v>62</v>
      </c>
      <c r="P529" s="9">
        <v>46072</v>
      </c>
      <c r="Q529">
        <v>204.44</v>
      </c>
    </row>
    <row r="530" spans="1:17" x14ac:dyDescent="0.25">
      <c r="A530" s="12" t="s">
        <v>143</v>
      </c>
      <c r="B530" s="3" t="str">
        <f t="shared" si="28"/>
        <v>AMZN</v>
      </c>
      <c r="C530" s="3" t="str">
        <f t="shared" si="26"/>
        <v>260515</v>
      </c>
      <c r="D530" s="3" t="str">
        <f t="shared" si="27"/>
        <v>C00235000</v>
      </c>
      <c r="E530" s="44">
        <v>46072.538194444445</v>
      </c>
      <c r="F530" s="13">
        <v>235</v>
      </c>
      <c r="G530" s="43">
        <v>5.07</v>
      </c>
      <c r="H530" s="43">
        <v>5.0999999999999996</v>
      </c>
      <c r="I530" s="43">
        <v>5.15</v>
      </c>
      <c r="J530" s="16">
        <v>-0.28000000000000003</v>
      </c>
      <c r="K530" s="24">
        <v>-5.2299999999999999E-2</v>
      </c>
      <c r="L530" s="43">
        <v>64</v>
      </c>
      <c r="M530" s="60">
        <v>7584</v>
      </c>
      <c r="N530" s="59">
        <v>0.37780000000000002</v>
      </c>
      <c r="O530" t="s">
        <v>62</v>
      </c>
      <c r="P530" s="9">
        <v>46072</v>
      </c>
      <c r="Q530">
        <v>204.44</v>
      </c>
    </row>
    <row r="531" spans="1:17" x14ac:dyDescent="0.25">
      <c r="A531" s="12" t="s">
        <v>144</v>
      </c>
      <c r="B531" s="3" t="str">
        <f t="shared" si="28"/>
        <v>AMZN</v>
      </c>
      <c r="C531" s="3" t="str">
        <f t="shared" si="26"/>
        <v>260515</v>
      </c>
      <c r="D531" s="3" t="str">
        <f t="shared" si="27"/>
        <v>C00240000</v>
      </c>
      <c r="E531" s="44">
        <v>46072.546527777777</v>
      </c>
      <c r="F531" s="13">
        <v>240</v>
      </c>
      <c r="G531" s="43">
        <v>4.17</v>
      </c>
      <c r="H531" s="43">
        <v>4.1500000000000004</v>
      </c>
      <c r="I531" s="43">
        <v>4.25</v>
      </c>
      <c r="J531" s="16">
        <v>-0.15</v>
      </c>
      <c r="K531" s="24">
        <v>-3.4700000000000002E-2</v>
      </c>
      <c r="L531" s="43">
        <v>380</v>
      </c>
      <c r="M531" s="60">
        <v>12767</v>
      </c>
      <c r="N531" s="59">
        <v>0.378</v>
      </c>
      <c r="O531" t="s">
        <v>62</v>
      </c>
      <c r="P531" s="9">
        <v>46072</v>
      </c>
      <c r="Q531">
        <v>204.44</v>
      </c>
    </row>
    <row r="532" spans="1:17" x14ac:dyDescent="0.25">
      <c r="A532" s="12" t="s">
        <v>145</v>
      </c>
      <c r="B532" s="3" t="str">
        <f t="shared" si="28"/>
        <v>AMZN</v>
      </c>
      <c r="C532" s="3" t="str">
        <f t="shared" si="26"/>
        <v>260515</v>
      </c>
      <c r="D532" s="3" t="str">
        <f t="shared" si="27"/>
        <v>C00245000</v>
      </c>
      <c r="E532" s="44">
        <v>46072.538888888892</v>
      </c>
      <c r="F532" s="13">
        <v>245</v>
      </c>
      <c r="G532" s="43">
        <v>3.4</v>
      </c>
      <c r="H532" s="43">
        <v>3.4</v>
      </c>
      <c r="I532" s="43">
        <v>3.45</v>
      </c>
      <c r="J532" s="16">
        <v>-0.2</v>
      </c>
      <c r="K532" s="24">
        <v>-5.5599999999999997E-2</v>
      </c>
      <c r="L532" s="43">
        <v>48</v>
      </c>
      <c r="M532" s="60">
        <v>6224</v>
      </c>
      <c r="N532" s="59">
        <v>0.37669999999999998</v>
      </c>
      <c r="O532" t="s">
        <v>62</v>
      </c>
      <c r="P532" s="9">
        <v>46072</v>
      </c>
      <c r="Q532">
        <v>204.44</v>
      </c>
    </row>
    <row r="533" spans="1:17" x14ac:dyDescent="0.25">
      <c r="A533" s="12" t="s">
        <v>146</v>
      </c>
      <c r="B533" s="3" t="str">
        <f t="shared" si="28"/>
        <v>AMZN</v>
      </c>
      <c r="C533" s="3" t="str">
        <f t="shared" si="26"/>
        <v>260515</v>
      </c>
      <c r="D533" s="3" t="str">
        <f t="shared" si="27"/>
        <v>C00250000</v>
      </c>
      <c r="E533" s="44">
        <v>46072.55</v>
      </c>
      <c r="F533" s="13">
        <v>250</v>
      </c>
      <c r="G533" s="43">
        <v>2.76</v>
      </c>
      <c r="H533" s="43">
        <v>2.76</v>
      </c>
      <c r="I533" s="43">
        <v>2.8</v>
      </c>
      <c r="J533" s="16">
        <v>-0.16</v>
      </c>
      <c r="K533" s="24">
        <v>-5.4800000000000001E-2</v>
      </c>
      <c r="L533" s="43">
        <v>818</v>
      </c>
      <c r="M533" s="60">
        <v>34896</v>
      </c>
      <c r="N533" s="59">
        <v>0.37609999999999999</v>
      </c>
      <c r="O533" t="s">
        <v>62</v>
      </c>
      <c r="P533" s="9">
        <v>46072</v>
      </c>
      <c r="Q533">
        <v>204.44</v>
      </c>
    </row>
    <row r="534" spans="1:17" x14ac:dyDescent="0.25">
      <c r="A534" s="12" t="s">
        <v>147</v>
      </c>
      <c r="B534" s="3" t="str">
        <f t="shared" si="28"/>
        <v>AMZN</v>
      </c>
      <c r="C534" s="3" t="str">
        <f t="shared" si="26"/>
        <v>260515</v>
      </c>
      <c r="D534" s="3" t="str">
        <f t="shared" si="27"/>
        <v>C00255000</v>
      </c>
      <c r="E534" s="44">
        <v>46072.511805555558</v>
      </c>
      <c r="F534" s="13">
        <v>255</v>
      </c>
      <c r="G534" s="43">
        <v>2.3199999999999998</v>
      </c>
      <c r="H534" s="43">
        <v>2.23</v>
      </c>
      <c r="I534" s="43">
        <v>2.27</v>
      </c>
      <c r="J534" s="16">
        <v>-0.08</v>
      </c>
      <c r="K534" s="24">
        <v>-3.3300000000000003E-2</v>
      </c>
      <c r="L534" s="43">
        <v>24</v>
      </c>
      <c r="M534" s="60">
        <v>2733</v>
      </c>
      <c r="N534" s="59">
        <v>0.376</v>
      </c>
      <c r="O534" t="s">
        <v>62</v>
      </c>
      <c r="P534" s="9">
        <v>46072</v>
      </c>
      <c r="Q534">
        <v>204.44</v>
      </c>
    </row>
    <row r="535" spans="1:17" x14ac:dyDescent="0.25">
      <c r="A535" s="12" t="s">
        <v>148</v>
      </c>
      <c r="B535" s="3" t="str">
        <f t="shared" si="28"/>
        <v>AMZN</v>
      </c>
      <c r="C535" s="3" t="str">
        <f t="shared" si="26"/>
        <v>260515</v>
      </c>
      <c r="D535" s="3" t="str">
        <f t="shared" si="27"/>
        <v>C00260000</v>
      </c>
      <c r="E535" s="44">
        <v>46072.534722222219</v>
      </c>
      <c r="F535" s="13">
        <v>260</v>
      </c>
      <c r="G535" s="43">
        <v>1.82</v>
      </c>
      <c r="H535" s="43">
        <v>1.83</v>
      </c>
      <c r="I535" s="43">
        <v>1.88</v>
      </c>
      <c r="J535" s="16">
        <v>-0.14000000000000001</v>
      </c>
      <c r="K535" s="24">
        <v>-7.1400000000000005E-2</v>
      </c>
      <c r="L535" s="43">
        <v>54</v>
      </c>
      <c r="M535" s="60">
        <v>30820</v>
      </c>
      <c r="N535" s="59">
        <v>0.3785</v>
      </c>
      <c r="O535" t="s">
        <v>62</v>
      </c>
      <c r="P535" s="9">
        <v>46072</v>
      </c>
      <c r="Q535">
        <v>204.44</v>
      </c>
    </row>
    <row r="536" spans="1:17" x14ac:dyDescent="0.25">
      <c r="A536" s="12" t="s">
        <v>149</v>
      </c>
      <c r="B536" s="3" t="str">
        <f t="shared" si="28"/>
        <v>AMZN</v>
      </c>
      <c r="C536" s="3" t="str">
        <f t="shared" si="26"/>
        <v>260515</v>
      </c>
      <c r="D536" s="3" t="str">
        <f t="shared" si="27"/>
        <v>C00265000</v>
      </c>
      <c r="E536" s="44">
        <v>46072.487500000003</v>
      </c>
      <c r="F536" s="13">
        <v>265</v>
      </c>
      <c r="G536" s="43">
        <v>1.56</v>
      </c>
      <c r="H536" s="43">
        <v>1.5</v>
      </c>
      <c r="I536" s="43">
        <v>1.55</v>
      </c>
      <c r="J536" s="16">
        <v>-0.06</v>
      </c>
      <c r="K536" s="24">
        <v>-3.6999999999999998E-2</v>
      </c>
      <c r="L536" s="43">
        <v>20</v>
      </c>
      <c r="M536" s="60">
        <v>2375</v>
      </c>
      <c r="N536" s="59">
        <v>0.38059999999999999</v>
      </c>
      <c r="O536" t="s">
        <v>62</v>
      </c>
      <c r="P536" s="9">
        <v>46072</v>
      </c>
      <c r="Q536">
        <v>204.44</v>
      </c>
    </row>
    <row r="537" spans="1:17" x14ac:dyDescent="0.25">
      <c r="A537" s="12" t="s">
        <v>150</v>
      </c>
      <c r="B537" s="3" t="str">
        <f t="shared" si="28"/>
        <v>AMZN</v>
      </c>
      <c r="C537" s="3" t="str">
        <f t="shared" si="26"/>
        <v>260515</v>
      </c>
      <c r="D537" s="3" t="str">
        <f t="shared" si="27"/>
        <v>C00270000</v>
      </c>
      <c r="E537" s="44">
        <v>46072.517361111109</v>
      </c>
      <c r="F537" s="13">
        <v>270</v>
      </c>
      <c r="G537" s="43">
        <v>1.26</v>
      </c>
      <c r="H537" s="43">
        <v>1.23</v>
      </c>
      <c r="I537" s="43">
        <v>1.28</v>
      </c>
      <c r="J537" s="16">
        <v>-0.06</v>
      </c>
      <c r="K537" s="24">
        <v>-4.5499999999999999E-2</v>
      </c>
      <c r="L537" s="43">
        <v>25</v>
      </c>
      <c r="M537" s="60">
        <v>4588</v>
      </c>
      <c r="N537" s="59">
        <v>0.38290000000000002</v>
      </c>
      <c r="O537" t="s">
        <v>62</v>
      </c>
      <c r="P537" s="9">
        <v>46072</v>
      </c>
      <c r="Q537">
        <v>204.44</v>
      </c>
    </row>
    <row r="538" spans="1:17" x14ac:dyDescent="0.25">
      <c r="A538" s="12" t="s">
        <v>151</v>
      </c>
      <c r="B538" s="3" t="str">
        <f t="shared" si="28"/>
        <v>AMZN</v>
      </c>
      <c r="C538" s="3" t="str">
        <f t="shared" si="26"/>
        <v>260515</v>
      </c>
      <c r="D538" s="3" t="str">
        <f t="shared" si="27"/>
        <v>C00275000</v>
      </c>
      <c r="E538" s="44">
        <v>46072.454861111109</v>
      </c>
      <c r="F538" s="13">
        <v>275</v>
      </c>
      <c r="G538" s="43">
        <v>1.02</v>
      </c>
      <c r="H538" s="43">
        <v>1.01</v>
      </c>
      <c r="I538" s="43">
        <v>1.05</v>
      </c>
      <c r="J538" s="16">
        <v>-7.0000000000000007E-2</v>
      </c>
      <c r="K538" s="24">
        <v>-6.4199999999999993E-2</v>
      </c>
      <c r="L538" s="43">
        <v>18</v>
      </c>
      <c r="M538" s="60">
        <v>7514</v>
      </c>
      <c r="N538" s="59">
        <v>0.38479999999999998</v>
      </c>
      <c r="O538" t="s">
        <v>62</v>
      </c>
      <c r="P538" s="9">
        <v>46072</v>
      </c>
      <c r="Q538">
        <v>204.44</v>
      </c>
    </row>
    <row r="539" spans="1:17" x14ac:dyDescent="0.25">
      <c r="A539" s="12" t="s">
        <v>152</v>
      </c>
      <c r="B539" s="3" t="str">
        <f t="shared" si="28"/>
        <v>AMZN</v>
      </c>
      <c r="C539" s="3" t="str">
        <f t="shared" si="26"/>
        <v>260515</v>
      </c>
      <c r="D539" s="3" t="str">
        <f t="shared" si="27"/>
        <v>C00280000</v>
      </c>
      <c r="E539" s="44">
        <v>46072.529166666667</v>
      </c>
      <c r="F539" s="13">
        <v>280</v>
      </c>
      <c r="G539" s="43">
        <v>0.85</v>
      </c>
      <c r="H539" s="43">
        <v>0.84</v>
      </c>
      <c r="I539" s="43">
        <v>0.86</v>
      </c>
      <c r="J539" s="16">
        <v>-0.08</v>
      </c>
      <c r="K539" s="24">
        <v>-8.5999999999999993E-2</v>
      </c>
      <c r="L539" s="43">
        <v>67</v>
      </c>
      <c r="M539" s="60">
        <v>8856</v>
      </c>
      <c r="N539" s="59">
        <v>0.38640000000000002</v>
      </c>
      <c r="O539" t="s">
        <v>62</v>
      </c>
      <c r="P539" s="9">
        <v>46072</v>
      </c>
      <c r="Q539">
        <v>204.44</v>
      </c>
    </row>
    <row r="540" spans="1:17" x14ac:dyDescent="0.25">
      <c r="A540" s="12" t="s">
        <v>153</v>
      </c>
      <c r="B540" s="3" t="str">
        <f t="shared" si="28"/>
        <v>AMZN</v>
      </c>
      <c r="C540" s="3" t="str">
        <f t="shared" si="26"/>
        <v>260515</v>
      </c>
      <c r="D540" s="3" t="str">
        <f t="shared" si="27"/>
        <v>C00285000</v>
      </c>
      <c r="E540" s="44">
        <v>46072.455555555556</v>
      </c>
      <c r="F540" s="13">
        <v>285</v>
      </c>
      <c r="G540" s="43">
        <v>0.73</v>
      </c>
      <c r="H540" s="43">
        <v>0.7</v>
      </c>
      <c r="I540" s="43">
        <v>0.72</v>
      </c>
      <c r="J540" s="16">
        <v>-7.0000000000000007E-2</v>
      </c>
      <c r="K540" s="24">
        <v>-8.7499999999999994E-2</v>
      </c>
      <c r="L540" s="43">
        <v>99</v>
      </c>
      <c r="M540" s="60">
        <v>16639</v>
      </c>
      <c r="N540" s="59">
        <v>0.38969999999999999</v>
      </c>
      <c r="O540" t="s">
        <v>62</v>
      </c>
      <c r="P540" s="9">
        <v>46072</v>
      </c>
      <c r="Q540">
        <v>204.44</v>
      </c>
    </row>
    <row r="541" spans="1:17" x14ac:dyDescent="0.25">
      <c r="A541" s="12" t="s">
        <v>154</v>
      </c>
      <c r="B541" s="3" t="str">
        <f t="shared" si="28"/>
        <v>AMZN</v>
      </c>
      <c r="C541" s="3" t="str">
        <f t="shared" si="26"/>
        <v>260515</v>
      </c>
      <c r="D541" s="3" t="str">
        <f t="shared" si="27"/>
        <v>C00290000</v>
      </c>
      <c r="E541" s="44">
        <v>46072.472916666666</v>
      </c>
      <c r="F541" s="13">
        <v>290</v>
      </c>
      <c r="G541" s="43">
        <v>0.63</v>
      </c>
      <c r="H541" s="43">
        <v>0.57999999999999996</v>
      </c>
      <c r="I541" s="43">
        <v>0.61</v>
      </c>
      <c r="J541" s="16">
        <v>-7.0000000000000007E-2</v>
      </c>
      <c r="K541" s="24">
        <v>-0.1</v>
      </c>
      <c r="L541" s="43">
        <v>2</v>
      </c>
      <c r="M541" s="60">
        <v>3208</v>
      </c>
      <c r="N541" s="59">
        <v>0.39360000000000001</v>
      </c>
      <c r="O541" t="s">
        <v>62</v>
      </c>
      <c r="P541" s="9">
        <v>46072</v>
      </c>
      <c r="Q541">
        <v>204.44</v>
      </c>
    </row>
    <row r="542" spans="1:17" x14ac:dyDescent="0.25">
      <c r="A542" s="12" t="s">
        <v>155</v>
      </c>
      <c r="B542" s="3" t="str">
        <f t="shared" si="28"/>
        <v>AMZN</v>
      </c>
      <c r="C542" s="3" t="str">
        <f t="shared" si="26"/>
        <v>260515</v>
      </c>
      <c r="D542" s="3" t="str">
        <f t="shared" si="27"/>
        <v>C00295000</v>
      </c>
      <c r="E542" s="44">
        <v>46071.461805555555</v>
      </c>
      <c r="F542" s="13">
        <v>295</v>
      </c>
      <c r="G542" s="43">
        <v>0.61</v>
      </c>
      <c r="H542" s="43">
        <v>0.49</v>
      </c>
      <c r="I542" s="43">
        <v>0.52</v>
      </c>
      <c r="J542" s="16">
        <v>0</v>
      </c>
      <c r="K542" s="24">
        <v>0</v>
      </c>
      <c r="L542" s="43">
        <v>2</v>
      </c>
      <c r="M542" s="43">
        <v>719</v>
      </c>
      <c r="N542" s="59">
        <v>0.3977</v>
      </c>
      <c r="O542" t="s">
        <v>62</v>
      </c>
      <c r="P542" s="9">
        <v>46072</v>
      </c>
      <c r="Q542">
        <v>204.44</v>
      </c>
    </row>
    <row r="543" spans="1:17" x14ac:dyDescent="0.25">
      <c r="A543" s="12" t="s">
        <v>156</v>
      </c>
      <c r="B543" s="3" t="str">
        <f t="shared" si="28"/>
        <v>AMZN</v>
      </c>
      <c r="C543" s="3" t="str">
        <f t="shared" si="26"/>
        <v>260515</v>
      </c>
      <c r="D543" s="3" t="str">
        <f t="shared" si="27"/>
        <v>C00300000</v>
      </c>
      <c r="E543" s="44">
        <v>46072.395833333336</v>
      </c>
      <c r="F543" s="13">
        <v>300</v>
      </c>
      <c r="G543" s="43">
        <v>0.46</v>
      </c>
      <c r="H543" s="43">
        <v>0.42</v>
      </c>
      <c r="I543" s="43">
        <v>0.44</v>
      </c>
      <c r="J543" s="16">
        <v>-0.02</v>
      </c>
      <c r="K543" s="24">
        <v>-4.1700000000000001E-2</v>
      </c>
      <c r="L543" s="43">
        <v>1</v>
      </c>
      <c r="M543" s="60">
        <v>2590</v>
      </c>
      <c r="N543" s="59">
        <v>0.40110000000000001</v>
      </c>
      <c r="O543" t="s">
        <v>62</v>
      </c>
      <c r="P543" s="9">
        <v>46072</v>
      </c>
      <c r="Q543">
        <v>204.44</v>
      </c>
    </row>
    <row r="544" spans="1:17" x14ac:dyDescent="0.25">
      <c r="A544" s="12" t="s">
        <v>157</v>
      </c>
      <c r="B544" s="3" t="str">
        <f t="shared" si="28"/>
        <v>AMZN</v>
      </c>
      <c r="C544" s="3" t="str">
        <f t="shared" si="26"/>
        <v>260515</v>
      </c>
      <c r="D544" s="3" t="str">
        <f t="shared" si="27"/>
        <v>C00305000</v>
      </c>
      <c r="E544" s="44">
        <v>46072.396527777775</v>
      </c>
      <c r="F544" s="13">
        <v>305</v>
      </c>
      <c r="G544" s="43">
        <v>0.4</v>
      </c>
      <c r="H544" s="43">
        <v>0.35</v>
      </c>
      <c r="I544" s="43">
        <v>0.37</v>
      </c>
      <c r="J544" s="16">
        <v>-0.04</v>
      </c>
      <c r="K544" s="24">
        <v>-9.0899999999999995E-2</v>
      </c>
      <c r="L544" s="43">
        <v>1</v>
      </c>
      <c r="M544" s="60">
        <v>1254</v>
      </c>
      <c r="N544" s="59">
        <v>0.40410000000000001</v>
      </c>
      <c r="O544" t="s">
        <v>62</v>
      </c>
      <c r="P544" s="9">
        <v>46072</v>
      </c>
      <c r="Q544">
        <v>204.44</v>
      </c>
    </row>
    <row r="545" spans="1:17" x14ac:dyDescent="0.25">
      <c r="A545" s="12" t="s">
        <v>158</v>
      </c>
      <c r="B545" s="3" t="str">
        <f t="shared" si="28"/>
        <v>AMZN</v>
      </c>
      <c r="C545" s="3" t="str">
        <f t="shared" si="26"/>
        <v>260515</v>
      </c>
      <c r="D545" s="3" t="str">
        <f t="shared" si="27"/>
        <v>C00310000</v>
      </c>
      <c r="E545" s="44">
        <v>46072.411111111112</v>
      </c>
      <c r="F545" s="13">
        <v>310</v>
      </c>
      <c r="G545" s="43">
        <v>0.33</v>
      </c>
      <c r="H545" s="43">
        <v>0.28999999999999998</v>
      </c>
      <c r="I545" s="43">
        <v>0.32</v>
      </c>
      <c r="J545" s="16">
        <v>0.01</v>
      </c>
      <c r="K545" s="24">
        <v>3.1300000000000001E-2</v>
      </c>
      <c r="L545" s="43">
        <v>5</v>
      </c>
      <c r="M545" s="60">
        <v>7104</v>
      </c>
      <c r="N545" s="59">
        <v>0.40849999999999997</v>
      </c>
      <c r="O545" t="s">
        <v>62</v>
      </c>
      <c r="P545" s="9">
        <v>46072</v>
      </c>
      <c r="Q545">
        <v>204.44</v>
      </c>
    </row>
    <row r="546" spans="1:17" x14ac:dyDescent="0.25">
      <c r="A546" s="12" t="s">
        <v>159</v>
      </c>
      <c r="B546" s="3" t="str">
        <f t="shared" si="28"/>
        <v>AMZN</v>
      </c>
      <c r="C546" s="3" t="str">
        <f t="shared" si="26"/>
        <v>260515</v>
      </c>
      <c r="D546" s="3" t="str">
        <f t="shared" si="27"/>
        <v>C00315000</v>
      </c>
      <c r="E546" s="44">
        <v>46072.534722222219</v>
      </c>
      <c r="F546" s="13">
        <v>315</v>
      </c>
      <c r="G546" s="43">
        <v>0.26</v>
      </c>
      <c r="H546" s="43">
        <v>0.25</v>
      </c>
      <c r="I546" s="43">
        <v>0.28000000000000003</v>
      </c>
      <c r="J546" s="16">
        <v>-0.04</v>
      </c>
      <c r="K546" s="24">
        <v>-0.1333</v>
      </c>
      <c r="L546" s="43">
        <v>1</v>
      </c>
      <c r="M546" s="60">
        <v>1068</v>
      </c>
      <c r="N546" s="59">
        <v>0.4133</v>
      </c>
      <c r="O546" t="s">
        <v>62</v>
      </c>
      <c r="P546" s="9">
        <v>46072</v>
      </c>
      <c r="Q546">
        <v>204.44</v>
      </c>
    </row>
    <row r="547" spans="1:17" x14ac:dyDescent="0.25">
      <c r="A547" s="12" t="s">
        <v>160</v>
      </c>
      <c r="B547" s="3" t="str">
        <f t="shared" si="28"/>
        <v>AMZN</v>
      </c>
      <c r="C547" s="3" t="str">
        <f t="shared" si="26"/>
        <v>260515</v>
      </c>
      <c r="D547" s="3" t="str">
        <f t="shared" si="27"/>
        <v>C00320000</v>
      </c>
      <c r="E547" s="44">
        <v>46072.410416666666</v>
      </c>
      <c r="F547" s="13">
        <v>320</v>
      </c>
      <c r="G547" s="43">
        <v>0.24</v>
      </c>
      <c r="H547" s="43">
        <v>0.22</v>
      </c>
      <c r="I547" s="43">
        <v>0.24</v>
      </c>
      <c r="J547" s="16">
        <v>-0.04</v>
      </c>
      <c r="K547" s="24">
        <v>-0.1429</v>
      </c>
      <c r="L547" s="43">
        <v>652</v>
      </c>
      <c r="M547" s="60">
        <v>1227</v>
      </c>
      <c r="N547" s="59">
        <v>0.41699999999999998</v>
      </c>
      <c r="O547" t="s">
        <v>62</v>
      </c>
      <c r="P547" s="9">
        <v>46072</v>
      </c>
      <c r="Q547">
        <v>204.44</v>
      </c>
    </row>
    <row r="548" spans="1:17" x14ac:dyDescent="0.25">
      <c r="A548" s="12" t="s">
        <v>161</v>
      </c>
      <c r="B548" s="3" t="str">
        <f t="shared" si="28"/>
        <v>AMZN</v>
      </c>
      <c r="C548" s="3" t="str">
        <f t="shared" si="26"/>
        <v>260515</v>
      </c>
      <c r="D548" s="3" t="str">
        <f t="shared" si="27"/>
        <v>C00325000</v>
      </c>
      <c r="E548" s="44">
        <v>46071.402777777781</v>
      </c>
      <c r="F548" s="13">
        <v>325</v>
      </c>
      <c r="G548" s="43">
        <v>0.28999999999999998</v>
      </c>
      <c r="H548" s="43">
        <v>0.19</v>
      </c>
      <c r="I548" s="43">
        <v>0.21</v>
      </c>
      <c r="J548" s="16">
        <v>0</v>
      </c>
      <c r="K548" s="24">
        <v>0</v>
      </c>
      <c r="L548" s="43">
        <v>1</v>
      </c>
      <c r="M548" s="60">
        <v>1352</v>
      </c>
      <c r="N548" s="59">
        <v>0.4214</v>
      </c>
      <c r="O548" t="s">
        <v>62</v>
      </c>
      <c r="P548" s="9">
        <v>46072</v>
      </c>
      <c r="Q548">
        <v>204.44</v>
      </c>
    </row>
    <row r="549" spans="1:17" x14ac:dyDescent="0.25">
      <c r="A549" s="12" t="s">
        <v>162</v>
      </c>
      <c r="B549" s="3" t="str">
        <f t="shared" si="28"/>
        <v>AMZN</v>
      </c>
      <c r="C549" s="3" t="str">
        <f t="shared" si="26"/>
        <v>260515</v>
      </c>
      <c r="D549" s="3" t="str">
        <f t="shared" si="27"/>
        <v>C00330000</v>
      </c>
      <c r="E549" s="44">
        <v>46070.627083333333</v>
      </c>
      <c r="F549" s="13">
        <v>330</v>
      </c>
      <c r="G549" s="43">
        <v>0.23</v>
      </c>
      <c r="H549" s="43">
        <v>0.16</v>
      </c>
      <c r="I549" s="43">
        <v>0.18</v>
      </c>
      <c r="J549" s="16">
        <v>0</v>
      </c>
      <c r="K549" s="24">
        <v>0</v>
      </c>
      <c r="L549" s="43">
        <v>8</v>
      </c>
      <c r="M549" s="43">
        <v>585</v>
      </c>
      <c r="N549" s="59">
        <v>0.42430000000000001</v>
      </c>
      <c r="O549" t="s">
        <v>62</v>
      </c>
      <c r="P549" s="9">
        <v>46072</v>
      </c>
      <c r="Q549">
        <v>204.44</v>
      </c>
    </row>
    <row r="550" spans="1:17" x14ac:dyDescent="0.25">
      <c r="A550" s="12" t="s">
        <v>163</v>
      </c>
      <c r="B550" s="3" t="str">
        <f t="shared" si="28"/>
        <v>AMZN</v>
      </c>
      <c r="C550" s="3" t="str">
        <f t="shared" si="26"/>
        <v>260515</v>
      </c>
      <c r="D550" s="3" t="str">
        <f t="shared" si="27"/>
        <v>C00340000</v>
      </c>
      <c r="E550" s="44">
        <v>46071.477777777778</v>
      </c>
      <c r="F550" s="13">
        <v>340</v>
      </c>
      <c r="G550" s="43">
        <v>0.18</v>
      </c>
      <c r="H550" s="43">
        <v>0.12</v>
      </c>
      <c r="I550" s="43">
        <v>0.14000000000000001</v>
      </c>
      <c r="J550" s="16">
        <v>0</v>
      </c>
      <c r="K550" s="24">
        <v>0</v>
      </c>
      <c r="L550" s="43">
        <v>1</v>
      </c>
      <c r="M550" s="43">
        <v>467</v>
      </c>
      <c r="N550" s="59">
        <v>0.43259999999999998</v>
      </c>
      <c r="O550" t="s">
        <v>62</v>
      </c>
      <c r="P550" s="9">
        <v>46072</v>
      </c>
      <c r="Q550">
        <v>204.44</v>
      </c>
    </row>
    <row r="551" spans="1:17" x14ac:dyDescent="0.25">
      <c r="A551" s="12" t="s">
        <v>164</v>
      </c>
      <c r="B551" s="3" t="str">
        <f t="shared" si="28"/>
        <v>AMZN</v>
      </c>
      <c r="C551" s="3" t="str">
        <f t="shared" si="26"/>
        <v>260515</v>
      </c>
      <c r="D551" s="3" t="str">
        <f t="shared" si="27"/>
        <v>C00350000</v>
      </c>
      <c r="E551" s="44">
        <v>46072.415972222225</v>
      </c>
      <c r="F551" s="13">
        <v>350</v>
      </c>
      <c r="G551" s="43">
        <v>0.11</v>
      </c>
      <c r="H551" s="43">
        <v>0.09</v>
      </c>
      <c r="I551" s="43">
        <v>0.11</v>
      </c>
      <c r="J551" s="16">
        <v>-0.04</v>
      </c>
      <c r="K551" s="24">
        <v>-0.26669999999999999</v>
      </c>
      <c r="L551" s="43">
        <v>6</v>
      </c>
      <c r="M551" s="60">
        <v>1645</v>
      </c>
      <c r="N551" s="59">
        <v>0.44140000000000001</v>
      </c>
      <c r="O551" t="s">
        <v>62</v>
      </c>
      <c r="P551" s="9">
        <v>46072</v>
      </c>
      <c r="Q551">
        <v>204.44</v>
      </c>
    </row>
    <row r="552" spans="1:17" x14ac:dyDescent="0.25">
      <c r="A552" s="12" t="s">
        <v>165</v>
      </c>
      <c r="B552" s="3" t="str">
        <f t="shared" si="28"/>
        <v>AMZN</v>
      </c>
      <c r="C552" s="3" t="str">
        <f t="shared" si="26"/>
        <v>260515</v>
      </c>
      <c r="D552" s="3" t="str">
        <f t="shared" si="27"/>
        <v>C00360000</v>
      </c>
      <c r="E552" s="44">
        <v>46071.620138888888</v>
      </c>
      <c r="F552" s="13">
        <v>360</v>
      </c>
      <c r="G552" s="43">
        <v>0.12</v>
      </c>
      <c r="H552" s="43">
        <v>7.0000000000000007E-2</v>
      </c>
      <c r="I552" s="43">
        <v>0.1</v>
      </c>
      <c r="J552" s="16">
        <v>0</v>
      </c>
      <c r="K552" s="24">
        <v>0</v>
      </c>
      <c r="L552" s="43">
        <v>1</v>
      </c>
      <c r="M552" s="43">
        <v>205</v>
      </c>
      <c r="N552" s="59">
        <v>0.45610000000000001</v>
      </c>
      <c r="O552" t="s">
        <v>62</v>
      </c>
      <c r="P552" s="9">
        <v>46072</v>
      </c>
      <c r="Q552">
        <v>204.44</v>
      </c>
    </row>
    <row r="553" spans="1:17" x14ac:dyDescent="0.25">
      <c r="A553" s="12" t="s">
        <v>166</v>
      </c>
      <c r="B553" s="3" t="str">
        <f t="shared" si="28"/>
        <v>AMZN</v>
      </c>
      <c r="C553" s="3" t="str">
        <f t="shared" si="26"/>
        <v>260515</v>
      </c>
      <c r="D553" s="3" t="str">
        <f t="shared" si="27"/>
        <v>C00370000</v>
      </c>
      <c r="E553" s="44">
        <v>46072.463194444441</v>
      </c>
      <c r="F553" s="13">
        <v>370</v>
      </c>
      <c r="G553" s="43">
        <v>0.08</v>
      </c>
      <c r="H553" s="43">
        <v>7.0000000000000007E-2</v>
      </c>
      <c r="I553" s="43">
        <v>0.09</v>
      </c>
      <c r="J553" s="16">
        <v>0</v>
      </c>
      <c r="K553" s="24">
        <v>0</v>
      </c>
      <c r="L553" s="43">
        <v>21</v>
      </c>
      <c r="M553" s="60">
        <v>2099</v>
      </c>
      <c r="N553" s="59">
        <v>0.46970000000000001</v>
      </c>
      <c r="O553" t="s">
        <v>62</v>
      </c>
      <c r="P553" s="9">
        <v>46072</v>
      </c>
      <c r="Q553">
        <v>204.44</v>
      </c>
    </row>
    <row r="554" spans="1:17" x14ac:dyDescent="0.25">
      <c r="A554" s="12" t="s">
        <v>167</v>
      </c>
      <c r="B554" s="3" t="str">
        <f t="shared" si="28"/>
        <v>AMZN</v>
      </c>
      <c r="C554" s="3" t="str">
        <f t="shared" si="26"/>
        <v>260515</v>
      </c>
      <c r="D554" s="3" t="str">
        <f t="shared" si="27"/>
        <v>P00105000</v>
      </c>
      <c r="E554" s="44">
        <v>46071.50277777778</v>
      </c>
      <c r="F554" s="13">
        <v>105</v>
      </c>
      <c r="G554" s="43">
        <v>0.13</v>
      </c>
      <c r="H554" s="43">
        <v>0.13</v>
      </c>
      <c r="I554" s="43">
        <v>0.15</v>
      </c>
      <c r="J554" s="16">
        <v>0</v>
      </c>
      <c r="K554" s="24">
        <v>0</v>
      </c>
      <c r="L554" s="43">
        <v>101</v>
      </c>
      <c r="M554" s="60">
        <v>1262</v>
      </c>
      <c r="N554" s="59">
        <v>0.58889999999999998</v>
      </c>
      <c r="O554" t="s">
        <v>65</v>
      </c>
      <c r="P554" s="9">
        <v>46072</v>
      </c>
      <c r="Q554">
        <v>204.44</v>
      </c>
    </row>
    <row r="555" spans="1:17" x14ac:dyDescent="0.25">
      <c r="A555" s="12" t="s">
        <v>168</v>
      </c>
      <c r="B555" s="3" t="str">
        <f t="shared" si="28"/>
        <v>AMZN</v>
      </c>
      <c r="C555" s="3" t="str">
        <f t="shared" si="26"/>
        <v>260515</v>
      </c>
      <c r="D555" s="3" t="str">
        <f t="shared" si="27"/>
        <v>P00110000</v>
      </c>
      <c r="E555" s="44">
        <v>46071.46875</v>
      </c>
      <c r="F555" s="13">
        <v>110</v>
      </c>
      <c r="G555" s="43">
        <v>0.17</v>
      </c>
      <c r="H555" s="43">
        <v>0.18</v>
      </c>
      <c r="I555" s="43">
        <v>0.21</v>
      </c>
      <c r="J555" s="16">
        <v>0</v>
      </c>
      <c r="K555" s="24">
        <v>0</v>
      </c>
      <c r="L555" s="43">
        <v>3</v>
      </c>
      <c r="M555" s="43">
        <v>158</v>
      </c>
      <c r="N555" s="59">
        <v>0.57620000000000005</v>
      </c>
      <c r="O555" t="s">
        <v>65</v>
      </c>
      <c r="P555" s="9">
        <v>46072</v>
      </c>
      <c r="Q555">
        <v>204.44</v>
      </c>
    </row>
    <row r="556" spans="1:17" x14ac:dyDescent="0.25">
      <c r="A556" s="12" t="s">
        <v>169</v>
      </c>
      <c r="B556" s="3" t="str">
        <f t="shared" si="28"/>
        <v>AMZN</v>
      </c>
      <c r="C556" s="3" t="str">
        <f t="shared" si="26"/>
        <v>260515</v>
      </c>
      <c r="D556" s="3" t="str">
        <f t="shared" si="27"/>
        <v>P00115000</v>
      </c>
      <c r="E556" s="44">
        <v>46070.597222222219</v>
      </c>
      <c r="F556" s="13">
        <v>115</v>
      </c>
      <c r="G556" s="43">
        <v>0.28999999999999998</v>
      </c>
      <c r="H556" s="43">
        <v>0.25</v>
      </c>
      <c r="I556" s="43">
        <v>0.27</v>
      </c>
      <c r="J556" s="16">
        <v>0</v>
      </c>
      <c r="K556" s="24">
        <v>0</v>
      </c>
      <c r="L556" s="43">
        <v>57</v>
      </c>
      <c r="M556" s="43">
        <v>202</v>
      </c>
      <c r="N556" s="59">
        <v>0.56100000000000005</v>
      </c>
      <c r="O556" t="s">
        <v>65</v>
      </c>
      <c r="P556" s="9">
        <v>46072</v>
      </c>
      <c r="Q556">
        <v>204.44</v>
      </c>
    </row>
    <row r="557" spans="1:17" x14ac:dyDescent="0.25">
      <c r="A557" s="12" t="s">
        <v>170</v>
      </c>
      <c r="B557" s="3" t="str">
        <f t="shared" si="28"/>
        <v>AMZN</v>
      </c>
      <c r="C557" s="3" t="str">
        <f t="shared" si="26"/>
        <v>260515</v>
      </c>
      <c r="D557" s="3" t="str">
        <f t="shared" si="27"/>
        <v>P00120000</v>
      </c>
      <c r="E557" s="44">
        <v>46071.578472222223</v>
      </c>
      <c r="F557" s="13">
        <v>120</v>
      </c>
      <c r="G557" s="43">
        <v>0.31</v>
      </c>
      <c r="H557" s="43">
        <v>0.33</v>
      </c>
      <c r="I557" s="43">
        <v>0.35</v>
      </c>
      <c r="J557" s="16">
        <v>0</v>
      </c>
      <c r="K557" s="24">
        <v>0</v>
      </c>
      <c r="L557" s="43">
        <v>6</v>
      </c>
      <c r="M557" s="43">
        <v>211</v>
      </c>
      <c r="N557" s="59">
        <v>0.5454</v>
      </c>
      <c r="O557" t="s">
        <v>65</v>
      </c>
      <c r="P557" s="9">
        <v>46072</v>
      </c>
      <c r="Q557">
        <v>204.44</v>
      </c>
    </row>
    <row r="558" spans="1:17" x14ac:dyDescent="0.25">
      <c r="A558" s="12" t="s">
        <v>171</v>
      </c>
      <c r="B558" s="3" t="str">
        <f t="shared" si="28"/>
        <v>AMZN</v>
      </c>
      <c r="C558" s="3" t="str">
        <f t="shared" si="26"/>
        <v>260515</v>
      </c>
      <c r="D558" s="3" t="str">
        <f t="shared" si="27"/>
        <v>P00125000</v>
      </c>
      <c r="E558" s="44">
        <v>46070.459027777775</v>
      </c>
      <c r="F558" s="13">
        <v>125</v>
      </c>
      <c r="G558" s="43">
        <v>0.54</v>
      </c>
      <c r="H558" s="43">
        <v>0.43</v>
      </c>
      <c r="I558" s="43">
        <v>0.46</v>
      </c>
      <c r="J558" s="16">
        <v>0</v>
      </c>
      <c r="K558" s="24">
        <v>0</v>
      </c>
      <c r="L558" s="43">
        <v>30</v>
      </c>
      <c r="M558" s="43">
        <v>222</v>
      </c>
      <c r="N558" s="59">
        <v>0.53129999999999999</v>
      </c>
      <c r="O558" t="s">
        <v>65</v>
      </c>
      <c r="P558" s="9">
        <v>46072</v>
      </c>
      <c r="Q558">
        <v>204.44</v>
      </c>
    </row>
    <row r="559" spans="1:17" x14ac:dyDescent="0.25">
      <c r="A559" s="12" t="s">
        <v>172</v>
      </c>
      <c r="B559" s="3" t="str">
        <f t="shared" si="28"/>
        <v>AMZN</v>
      </c>
      <c r="C559" s="3" t="str">
        <f t="shared" si="26"/>
        <v>260515</v>
      </c>
      <c r="D559" s="3" t="str">
        <f t="shared" si="27"/>
        <v>P00130000</v>
      </c>
      <c r="E559" s="44">
        <v>46071.606944444444</v>
      </c>
      <c r="F559" s="13">
        <v>130</v>
      </c>
      <c r="G559" s="43">
        <v>0.53</v>
      </c>
      <c r="H559" s="43">
        <v>0.56000000000000005</v>
      </c>
      <c r="I559" s="43">
        <v>0.59</v>
      </c>
      <c r="J559" s="16">
        <v>0</v>
      </c>
      <c r="K559" s="24">
        <v>0</v>
      </c>
      <c r="L559" s="43">
        <v>2</v>
      </c>
      <c r="M559" s="43">
        <v>342</v>
      </c>
      <c r="N559" s="59">
        <v>0.51659999999999995</v>
      </c>
      <c r="O559" t="s">
        <v>65</v>
      </c>
      <c r="P559" s="9">
        <v>46072</v>
      </c>
      <c r="Q559">
        <v>204.44</v>
      </c>
    </row>
    <row r="560" spans="1:17" x14ac:dyDescent="0.25">
      <c r="A560" s="12" t="s">
        <v>173</v>
      </c>
      <c r="B560" s="3" t="str">
        <f t="shared" si="28"/>
        <v>AMZN</v>
      </c>
      <c r="C560" s="3" t="str">
        <f t="shared" si="26"/>
        <v>260515</v>
      </c>
      <c r="D560" s="3" t="str">
        <f t="shared" si="27"/>
        <v>P00135000</v>
      </c>
      <c r="E560" s="44">
        <v>46072.484722222223</v>
      </c>
      <c r="F560" s="13">
        <v>135</v>
      </c>
      <c r="G560" s="43">
        <v>0.66</v>
      </c>
      <c r="H560" s="43">
        <v>0.72</v>
      </c>
      <c r="I560" s="43">
        <v>0.75</v>
      </c>
      <c r="J560" s="16">
        <v>-0.15</v>
      </c>
      <c r="K560" s="24">
        <v>-0.1852</v>
      </c>
      <c r="L560" s="43">
        <v>2</v>
      </c>
      <c r="M560" s="60">
        <v>1135</v>
      </c>
      <c r="N560" s="59">
        <v>0.50219999999999998</v>
      </c>
      <c r="O560" t="s">
        <v>65</v>
      </c>
      <c r="P560" s="9">
        <v>46072</v>
      </c>
      <c r="Q560">
        <v>204.44</v>
      </c>
    </row>
    <row r="561" spans="1:17" x14ac:dyDescent="0.25">
      <c r="A561" s="12" t="s">
        <v>174</v>
      </c>
      <c r="B561" s="3" t="str">
        <f t="shared" si="28"/>
        <v>AMZN</v>
      </c>
      <c r="C561" s="3" t="str">
        <f t="shared" si="26"/>
        <v>260515</v>
      </c>
      <c r="D561" s="3" t="str">
        <f t="shared" si="27"/>
        <v>P00140000</v>
      </c>
      <c r="E561" s="44">
        <v>46072.395833333336</v>
      </c>
      <c r="F561" s="13">
        <v>140</v>
      </c>
      <c r="G561" s="43">
        <v>0.93</v>
      </c>
      <c r="H561" s="43">
        <v>0.92</v>
      </c>
      <c r="I561" s="43">
        <v>0.95</v>
      </c>
      <c r="J561" s="16">
        <v>0.09</v>
      </c>
      <c r="K561" s="24">
        <v>0.1071</v>
      </c>
      <c r="L561" s="43">
        <v>1</v>
      </c>
      <c r="M561" s="43">
        <v>460</v>
      </c>
      <c r="N561" s="59">
        <v>0.48980000000000001</v>
      </c>
      <c r="O561" t="s">
        <v>65</v>
      </c>
      <c r="P561" s="9">
        <v>46072</v>
      </c>
      <c r="Q561">
        <v>204.44</v>
      </c>
    </row>
    <row r="562" spans="1:17" x14ac:dyDescent="0.25">
      <c r="A562" s="12" t="s">
        <v>175</v>
      </c>
      <c r="B562" s="3" t="str">
        <f t="shared" si="28"/>
        <v>AMZN</v>
      </c>
      <c r="C562" s="3" t="str">
        <f t="shared" si="26"/>
        <v>260515</v>
      </c>
      <c r="D562" s="3" t="str">
        <f t="shared" si="27"/>
        <v>P00145000</v>
      </c>
      <c r="E562" s="44">
        <v>46072.463194444441</v>
      </c>
      <c r="F562" s="13">
        <v>145</v>
      </c>
      <c r="G562" s="43">
        <v>1.1100000000000001</v>
      </c>
      <c r="H562" s="43">
        <v>1.1599999999999999</v>
      </c>
      <c r="I562" s="43">
        <v>1.2</v>
      </c>
      <c r="J562" s="16">
        <v>0</v>
      </c>
      <c r="K562" s="24">
        <v>0</v>
      </c>
      <c r="L562" s="43">
        <v>2</v>
      </c>
      <c r="M562" s="43">
        <v>982</v>
      </c>
      <c r="N562" s="59">
        <v>0.47610000000000002</v>
      </c>
      <c r="O562" t="s">
        <v>65</v>
      </c>
      <c r="P562" s="9">
        <v>46072</v>
      </c>
      <c r="Q562">
        <v>204.44</v>
      </c>
    </row>
    <row r="563" spans="1:17" x14ac:dyDescent="0.25">
      <c r="A563" s="12" t="s">
        <v>176</v>
      </c>
      <c r="B563" s="3" t="str">
        <f t="shared" si="28"/>
        <v>AMZN</v>
      </c>
      <c r="C563" s="3" t="str">
        <f t="shared" si="26"/>
        <v>260515</v>
      </c>
      <c r="D563" s="3" t="str">
        <f t="shared" si="27"/>
        <v>P00150000</v>
      </c>
      <c r="E563" s="44">
        <v>46072.529861111114</v>
      </c>
      <c r="F563" s="13">
        <v>150</v>
      </c>
      <c r="G563" s="43">
        <v>1.44</v>
      </c>
      <c r="H563" s="43">
        <v>1.48</v>
      </c>
      <c r="I563" s="43">
        <v>1.51</v>
      </c>
      <c r="J563" s="16">
        <v>0.04</v>
      </c>
      <c r="K563" s="24">
        <v>2.86E-2</v>
      </c>
      <c r="L563" s="43">
        <v>8</v>
      </c>
      <c r="M563" s="60">
        <v>11182</v>
      </c>
      <c r="N563" s="59">
        <v>0.4627</v>
      </c>
      <c r="O563" t="s">
        <v>65</v>
      </c>
      <c r="P563" s="9">
        <v>46072</v>
      </c>
      <c r="Q563">
        <v>204.44</v>
      </c>
    </row>
    <row r="564" spans="1:17" x14ac:dyDescent="0.25">
      <c r="A564" s="12" t="s">
        <v>177</v>
      </c>
      <c r="B564" s="3" t="str">
        <f t="shared" si="28"/>
        <v>AMZN</v>
      </c>
      <c r="C564" s="3" t="str">
        <f t="shared" ref="C564:C627" si="29">+MID(A564,5,6)</f>
        <v>260515</v>
      </c>
      <c r="D564" s="3" t="str">
        <f t="shared" ref="D564:D627" si="30">+MID(A564,11,10)</f>
        <v>P00155000</v>
      </c>
      <c r="E564" s="44">
        <v>46072.533333333333</v>
      </c>
      <c r="F564" s="13">
        <v>155</v>
      </c>
      <c r="G564" s="43">
        <v>1.86</v>
      </c>
      <c r="H564" s="43">
        <v>1.86</v>
      </c>
      <c r="I564" s="43">
        <v>1.91</v>
      </c>
      <c r="J564" s="16">
        <v>0.06</v>
      </c>
      <c r="K564" s="24">
        <v>3.3300000000000003E-2</v>
      </c>
      <c r="L564" s="43">
        <v>3</v>
      </c>
      <c r="M564" s="60">
        <v>1549</v>
      </c>
      <c r="N564" s="59">
        <v>0.45090000000000002</v>
      </c>
      <c r="O564" t="s">
        <v>65</v>
      </c>
      <c r="P564" s="9">
        <v>46072</v>
      </c>
      <c r="Q564">
        <v>204.44</v>
      </c>
    </row>
    <row r="565" spans="1:17" x14ac:dyDescent="0.25">
      <c r="A565" s="12" t="s">
        <v>178</v>
      </c>
      <c r="B565" s="3" t="str">
        <f t="shared" si="28"/>
        <v>AMZN</v>
      </c>
      <c r="C565" s="3" t="str">
        <f t="shared" si="29"/>
        <v>260515</v>
      </c>
      <c r="D565" s="3" t="str">
        <f t="shared" si="30"/>
        <v>P00160000</v>
      </c>
      <c r="E565" s="44">
        <v>46072.523611111108</v>
      </c>
      <c r="F565" s="13">
        <v>160</v>
      </c>
      <c r="G565" s="43">
        <v>2.2599999999999998</v>
      </c>
      <c r="H565" s="43">
        <v>2.37</v>
      </c>
      <c r="I565" s="43">
        <v>2.4</v>
      </c>
      <c r="J565" s="16">
        <v>0.03</v>
      </c>
      <c r="K565" s="24">
        <v>1.35E-2</v>
      </c>
      <c r="L565" s="43">
        <v>44</v>
      </c>
      <c r="M565" s="60">
        <v>2684</v>
      </c>
      <c r="N565" s="59">
        <v>0.4395</v>
      </c>
      <c r="O565" t="s">
        <v>65</v>
      </c>
      <c r="P565" s="9">
        <v>46072</v>
      </c>
      <c r="Q565">
        <v>204.44</v>
      </c>
    </row>
    <row r="566" spans="1:17" x14ac:dyDescent="0.25">
      <c r="A566" s="12" t="s">
        <v>179</v>
      </c>
      <c r="B566" s="3" t="str">
        <f t="shared" si="28"/>
        <v>AMZN</v>
      </c>
      <c r="C566" s="3" t="str">
        <f t="shared" si="29"/>
        <v>260515</v>
      </c>
      <c r="D566" s="3" t="str">
        <f t="shared" si="30"/>
        <v>P00165000</v>
      </c>
      <c r="E566" s="44">
        <v>46072.533333333333</v>
      </c>
      <c r="F566" s="13">
        <v>165</v>
      </c>
      <c r="G566" s="43">
        <v>2.91</v>
      </c>
      <c r="H566" s="43">
        <v>2.95</v>
      </c>
      <c r="I566" s="43">
        <v>3</v>
      </c>
      <c r="J566" s="16">
        <v>0.12</v>
      </c>
      <c r="K566" s="24">
        <v>4.2999999999999997E-2</v>
      </c>
      <c r="L566" s="43">
        <v>20</v>
      </c>
      <c r="M566" s="60">
        <v>1398</v>
      </c>
      <c r="N566" s="59">
        <v>0.4284</v>
      </c>
      <c r="O566" t="s">
        <v>65</v>
      </c>
      <c r="P566" s="9">
        <v>46072</v>
      </c>
      <c r="Q566">
        <v>204.44</v>
      </c>
    </row>
    <row r="567" spans="1:17" x14ac:dyDescent="0.25">
      <c r="A567" s="12" t="s">
        <v>180</v>
      </c>
      <c r="B567" s="3" t="str">
        <f t="shared" si="28"/>
        <v>AMZN</v>
      </c>
      <c r="C567" s="3" t="str">
        <f t="shared" si="29"/>
        <v>260515</v>
      </c>
      <c r="D567" s="3" t="str">
        <f t="shared" si="30"/>
        <v>P00170000</v>
      </c>
      <c r="E567" s="44">
        <v>46072.543055555558</v>
      </c>
      <c r="F567" s="13">
        <v>170</v>
      </c>
      <c r="G567" s="43">
        <v>3.7</v>
      </c>
      <c r="H567" s="43">
        <v>3.65</v>
      </c>
      <c r="I567" s="43">
        <v>3.7</v>
      </c>
      <c r="J567" s="16">
        <v>0.15</v>
      </c>
      <c r="K567" s="24">
        <v>4.2299999999999997E-2</v>
      </c>
      <c r="L567" s="43">
        <v>128</v>
      </c>
      <c r="M567" s="60">
        <v>4707</v>
      </c>
      <c r="N567" s="59">
        <v>0.41639999999999999</v>
      </c>
      <c r="O567" t="s">
        <v>65</v>
      </c>
      <c r="P567" s="9">
        <v>46072</v>
      </c>
      <c r="Q567">
        <v>204.44</v>
      </c>
    </row>
    <row r="568" spans="1:17" x14ac:dyDescent="0.25">
      <c r="A568" s="12" t="s">
        <v>181</v>
      </c>
      <c r="B568" s="3" t="str">
        <f t="shared" si="28"/>
        <v>AMZN</v>
      </c>
      <c r="C568" s="3" t="str">
        <f t="shared" si="29"/>
        <v>260515</v>
      </c>
      <c r="D568" s="3" t="str">
        <f t="shared" si="30"/>
        <v>P00175000</v>
      </c>
      <c r="E568" s="44">
        <v>46072.548611111109</v>
      </c>
      <c r="F568" s="13">
        <v>175</v>
      </c>
      <c r="G568" s="43">
        <v>4.55</v>
      </c>
      <c r="H568" s="43">
        <v>4.55</v>
      </c>
      <c r="I568" s="43">
        <v>4.6500000000000004</v>
      </c>
      <c r="J568" s="16">
        <v>0.25</v>
      </c>
      <c r="K568" s="24">
        <v>5.8099999999999999E-2</v>
      </c>
      <c r="L568" s="43">
        <v>45</v>
      </c>
      <c r="M568" s="60">
        <v>2721</v>
      </c>
      <c r="N568" s="59">
        <v>0.40889999999999999</v>
      </c>
      <c r="O568" t="s">
        <v>65</v>
      </c>
      <c r="P568" s="9">
        <v>46072</v>
      </c>
      <c r="Q568">
        <v>204.44</v>
      </c>
    </row>
    <row r="569" spans="1:17" x14ac:dyDescent="0.25">
      <c r="A569" s="12" t="s">
        <v>182</v>
      </c>
      <c r="B569" s="3" t="str">
        <f t="shared" si="28"/>
        <v>AMZN</v>
      </c>
      <c r="C569" s="3" t="str">
        <f t="shared" si="29"/>
        <v>260515</v>
      </c>
      <c r="D569" s="3" t="str">
        <f t="shared" si="30"/>
        <v>P00180000</v>
      </c>
      <c r="E569" s="44">
        <v>46072.536805555559</v>
      </c>
      <c r="F569" s="13">
        <v>180</v>
      </c>
      <c r="G569" s="43">
        <v>5.6</v>
      </c>
      <c r="H569" s="43">
        <v>5.6</v>
      </c>
      <c r="I569" s="43">
        <v>5.7</v>
      </c>
      <c r="J569" s="16">
        <v>0.25</v>
      </c>
      <c r="K569" s="24">
        <v>4.6699999999999998E-2</v>
      </c>
      <c r="L569" s="43">
        <v>86</v>
      </c>
      <c r="M569" s="60">
        <v>8797</v>
      </c>
      <c r="N569" s="59">
        <v>0.39879999999999999</v>
      </c>
      <c r="O569" t="s">
        <v>65</v>
      </c>
      <c r="P569" s="9">
        <v>46072</v>
      </c>
      <c r="Q569">
        <v>204.44</v>
      </c>
    </row>
    <row r="570" spans="1:17" x14ac:dyDescent="0.25">
      <c r="A570" s="12" t="s">
        <v>183</v>
      </c>
      <c r="B570" s="3" t="str">
        <f t="shared" si="28"/>
        <v>AMZN</v>
      </c>
      <c r="C570" s="3" t="str">
        <f t="shared" si="29"/>
        <v>260515</v>
      </c>
      <c r="D570" s="3" t="str">
        <f t="shared" si="30"/>
        <v>P00185000</v>
      </c>
      <c r="E570" s="44">
        <v>46072.543749999997</v>
      </c>
      <c r="F570" s="13">
        <v>185</v>
      </c>
      <c r="G570" s="43">
        <v>6.95</v>
      </c>
      <c r="H570" s="43">
        <v>6.85</v>
      </c>
      <c r="I570" s="43">
        <v>6.95</v>
      </c>
      <c r="J570" s="16">
        <v>0.4</v>
      </c>
      <c r="K570" s="24">
        <v>6.1100000000000002E-2</v>
      </c>
      <c r="L570" s="43">
        <v>311</v>
      </c>
      <c r="M570" s="60">
        <v>10680</v>
      </c>
      <c r="N570" s="59">
        <v>0.38919999999999999</v>
      </c>
      <c r="O570" t="s">
        <v>65</v>
      </c>
      <c r="P570" s="9">
        <v>46072</v>
      </c>
      <c r="Q570">
        <v>204.44</v>
      </c>
    </row>
    <row r="571" spans="1:17" x14ac:dyDescent="0.25">
      <c r="A571" s="12" t="s">
        <v>184</v>
      </c>
      <c r="B571" s="3" t="str">
        <f t="shared" si="28"/>
        <v>AMZN</v>
      </c>
      <c r="C571" s="3" t="str">
        <f t="shared" si="29"/>
        <v>260515</v>
      </c>
      <c r="D571" s="3" t="str">
        <f t="shared" si="30"/>
        <v>P00190000</v>
      </c>
      <c r="E571" s="44">
        <v>46072.543749999997</v>
      </c>
      <c r="F571" s="13">
        <v>190</v>
      </c>
      <c r="G571" s="43">
        <v>8.4499999999999993</v>
      </c>
      <c r="H571" s="43">
        <v>8.3000000000000007</v>
      </c>
      <c r="I571" s="43">
        <v>8.4</v>
      </c>
      <c r="J571" s="16">
        <v>0.48</v>
      </c>
      <c r="K571" s="24">
        <v>6.0199999999999997E-2</v>
      </c>
      <c r="L571" s="43">
        <v>161</v>
      </c>
      <c r="M571" s="60">
        <v>9033</v>
      </c>
      <c r="N571" s="59">
        <v>0.37930000000000003</v>
      </c>
      <c r="O571" t="s">
        <v>65</v>
      </c>
      <c r="P571" s="9">
        <v>46072</v>
      </c>
      <c r="Q571">
        <v>204.44</v>
      </c>
    </row>
    <row r="572" spans="1:17" x14ac:dyDescent="0.25">
      <c r="A572" s="12" t="s">
        <v>185</v>
      </c>
      <c r="B572" s="3" t="str">
        <f t="shared" si="28"/>
        <v>AMZN</v>
      </c>
      <c r="C572" s="3" t="str">
        <f t="shared" si="29"/>
        <v>260515</v>
      </c>
      <c r="D572" s="3" t="str">
        <f t="shared" si="30"/>
        <v>P00195000</v>
      </c>
      <c r="E572" s="44">
        <v>46072.553472222222</v>
      </c>
      <c r="F572" s="13">
        <v>195</v>
      </c>
      <c r="G572" s="43">
        <v>10.15</v>
      </c>
      <c r="H572" s="43">
        <v>10.1</v>
      </c>
      <c r="I572" s="43">
        <v>10.199999999999999</v>
      </c>
      <c r="J572" s="16">
        <v>0.2</v>
      </c>
      <c r="K572" s="24">
        <v>0.02</v>
      </c>
      <c r="L572" s="43">
        <v>49</v>
      </c>
      <c r="M572" s="60">
        <v>11576</v>
      </c>
      <c r="N572" s="59">
        <v>0.37290000000000001</v>
      </c>
      <c r="O572" t="s">
        <v>65</v>
      </c>
      <c r="P572" s="9">
        <v>46072</v>
      </c>
      <c r="Q572">
        <v>204.44</v>
      </c>
    </row>
    <row r="573" spans="1:17" x14ac:dyDescent="0.25">
      <c r="A573" s="12" t="s">
        <v>186</v>
      </c>
      <c r="B573" s="3" t="str">
        <f t="shared" si="28"/>
        <v>AMZN</v>
      </c>
      <c r="C573" s="3" t="str">
        <f t="shared" si="29"/>
        <v>260515</v>
      </c>
      <c r="D573" s="3" t="str">
        <f t="shared" si="30"/>
        <v>P00200000</v>
      </c>
      <c r="E573" s="44">
        <v>46072.553472222222</v>
      </c>
      <c r="F573" s="13">
        <v>200</v>
      </c>
      <c r="G573" s="43">
        <v>12.15</v>
      </c>
      <c r="H573" s="43">
        <v>12.1</v>
      </c>
      <c r="I573" s="43">
        <v>12.2</v>
      </c>
      <c r="J573" s="16">
        <v>0.4</v>
      </c>
      <c r="K573" s="24">
        <v>3.4000000000000002E-2</v>
      </c>
      <c r="L573" s="43">
        <v>331</v>
      </c>
      <c r="M573" s="60">
        <v>12324</v>
      </c>
      <c r="N573" s="59">
        <v>0.36499999999999999</v>
      </c>
      <c r="O573" t="s">
        <v>65</v>
      </c>
      <c r="P573" s="9">
        <v>46072</v>
      </c>
      <c r="Q573">
        <v>204.44</v>
      </c>
    </row>
    <row r="574" spans="1:17" x14ac:dyDescent="0.25">
      <c r="A574" s="12" t="s">
        <v>187</v>
      </c>
      <c r="B574" s="3" t="str">
        <f t="shared" si="28"/>
        <v>AMZN</v>
      </c>
      <c r="C574" s="3" t="str">
        <f t="shared" si="29"/>
        <v>260515</v>
      </c>
      <c r="D574" s="3" t="str">
        <f t="shared" si="30"/>
        <v>P00205000</v>
      </c>
      <c r="E574" s="44">
        <v>46072.552777777775</v>
      </c>
      <c r="F574" s="13">
        <v>205</v>
      </c>
      <c r="G574" s="43">
        <v>14.41</v>
      </c>
      <c r="H574" s="43">
        <v>14.4</v>
      </c>
      <c r="I574" s="43">
        <v>14.55</v>
      </c>
      <c r="J574" s="16">
        <v>0.54</v>
      </c>
      <c r="K574" s="24">
        <v>3.8899999999999997E-2</v>
      </c>
      <c r="L574" s="43">
        <v>247</v>
      </c>
      <c r="M574" s="60">
        <v>10829</v>
      </c>
      <c r="N574" s="59">
        <v>0.3594</v>
      </c>
      <c r="O574" t="s">
        <v>65</v>
      </c>
      <c r="P574" s="9">
        <v>46072</v>
      </c>
      <c r="Q574">
        <v>204.44</v>
      </c>
    </row>
    <row r="575" spans="1:17" x14ac:dyDescent="0.25">
      <c r="A575" s="12" t="s">
        <v>188</v>
      </c>
      <c r="B575" s="3" t="str">
        <f t="shared" si="28"/>
        <v>AMZN</v>
      </c>
      <c r="C575" s="3" t="str">
        <f t="shared" si="29"/>
        <v>260515</v>
      </c>
      <c r="D575" s="3" t="str">
        <f t="shared" si="30"/>
        <v>P00210000</v>
      </c>
      <c r="E575" s="44">
        <v>46072.552083333336</v>
      </c>
      <c r="F575" s="13">
        <v>210</v>
      </c>
      <c r="G575" s="43">
        <v>17</v>
      </c>
      <c r="H575" s="43">
        <v>16.95</v>
      </c>
      <c r="I575" s="43">
        <v>17.05</v>
      </c>
      <c r="J575" s="16">
        <v>0.27</v>
      </c>
      <c r="K575" s="24">
        <v>1.61E-2</v>
      </c>
      <c r="L575" s="43">
        <v>74</v>
      </c>
      <c r="M575" s="60">
        <v>8077</v>
      </c>
      <c r="N575" s="59">
        <v>0.35060000000000002</v>
      </c>
      <c r="O575" t="s">
        <v>65</v>
      </c>
      <c r="P575" s="9">
        <v>46072</v>
      </c>
      <c r="Q575">
        <v>204.44</v>
      </c>
    </row>
    <row r="576" spans="1:17" x14ac:dyDescent="0.25">
      <c r="A576" s="12" t="s">
        <v>189</v>
      </c>
      <c r="B576" s="3" t="str">
        <f t="shared" si="28"/>
        <v>AMZN</v>
      </c>
      <c r="C576" s="3" t="str">
        <f t="shared" si="29"/>
        <v>260515</v>
      </c>
      <c r="D576" s="3" t="str">
        <f t="shared" si="30"/>
        <v>P00215000</v>
      </c>
      <c r="E576" s="44">
        <v>46072.543055555558</v>
      </c>
      <c r="F576" s="13">
        <v>215</v>
      </c>
      <c r="G576" s="43">
        <v>20</v>
      </c>
      <c r="H576" s="43">
        <v>19.75</v>
      </c>
      <c r="I576" s="43">
        <v>19.850000000000001</v>
      </c>
      <c r="J576" s="16">
        <v>1.25</v>
      </c>
      <c r="K576" s="24">
        <v>6.6699999999999995E-2</v>
      </c>
      <c r="L576" s="43">
        <v>112</v>
      </c>
      <c r="M576" s="60">
        <v>3330</v>
      </c>
      <c r="N576" s="59">
        <v>0.34239999999999998</v>
      </c>
      <c r="O576" t="s">
        <v>65</v>
      </c>
      <c r="P576" s="9">
        <v>46072</v>
      </c>
      <c r="Q576">
        <v>204.44</v>
      </c>
    </row>
    <row r="577" spans="1:17" x14ac:dyDescent="0.25">
      <c r="A577" s="12" t="s">
        <v>190</v>
      </c>
      <c r="B577" s="3" t="str">
        <f t="shared" si="28"/>
        <v>AMZN</v>
      </c>
      <c r="C577" s="3" t="str">
        <f t="shared" si="29"/>
        <v>260515</v>
      </c>
      <c r="D577" s="3" t="str">
        <f t="shared" si="30"/>
        <v>P00220000</v>
      </c>
      <c r="E577" s="44">
        <v>46072.547222222223</v>
      </c>
      <c r="F577" s="13">
        <v>220</v>
      </c>
      <c r="G577" s="43">
        <v>23.1</v>
      </c>
      <c r="H577" s="43">
        <v>22.85</v>
      </c>
      <c r="I577" s="43">
        <v>23.2</v>
      </c>
      <c r="J577" s="16">
        <v>0.56999999999999995</v>
      </c>
      <c r="K577" s="24">
        <v>2.53E-2</v>
      </c>
      <c r="L577" s="43">
        <v>37</v>
      </c>
      <c r="M577" s="60">
        <v>7521</v>
      </c>
      <c r="N577" s="59">
        <v>0.34150000000000003</v>
      </c>
      <c r="O577" t="s">
        <v>65</v>
      </c>
      <c r="P577" s="9">
        <v>46072</v>
      </c>
      <c r="Q577">
        <v>204.44</v>
      </c>
    </row>
    <row r="578" spans="1:17" x14ac:dyDescent="0.25">
      <c r="A578" s="12" t="s">
        <v>191</v>
      </c>
      <c r="B578" s="3" t="str">
        <f t="shared" si="28"/>
        <v>AMZN</v>
      </c>
      <c r="C578" s="3" t="str">
        <f t="shared" si="29"/>
        <v>260515</v>
      </c>
      <c r="D578" s="3" t="str">
        <f t="shared" si="30"/>
        <v>P00225000</v>
      </c>
      <c r="E578" s="44">
        <v>46072.493055555555</v>
      </c>
      <c r="F578" s="13">
        <v>225</v>
      </c>
      <c r="G578" s="43">
        <v>25.85</v>
      </c>
      <c r="H578" s="43">
        <v>26.25</v>
      </c>
      <c r="I578" s="43">
        <v>26.6</v>
      </c>
      <c r="J578" s="16">
        <v>-0.01</v>
      </c>
      <c r="K578" s="24">
        <v>-4.0000000000000002E-4</v>
      </c>
      <c r="L578" s="43">
        <v>1</v>
      </c>
      <c r="M578" s="60">
        <v>4646</v>
      </c>
      <c r="N578" s="59">
        <v>0.3352</v>
      </c>
      <c r="O578" t="s">
        <v>65</v>
      </c>
      <c r="P578" s="9">
        <v>46072</v>
      </c>
      <c r="Q578">
        <v>204.44</v>
      </c>
    </row>
    <row r="579" spans="1:17" x14ac:dyDescent="0.25">
      <c r="A579" s="12" t="s">
        <v>192</v>
      </c>
      <c r="B579" s="3" t="str">
        <f t="shared" ref="B579:B642" si="31">+MID(A579,1,4)</f>
        <v>AMZN</v>
      </c>
      <c r="C579" s="3" t="str">
        <f t="shared" si="29"/>
        <v>260515</v>
      </c>
      <c r="D579" s="3" t="str">
        <f t="shared" si="30"/>
        <v>P00230000</v>
      </c>
      <c r="E579" s="44">
        <v>46072.529861111114</v>
      </c>
      <c r="F579" s="13">
        <v>230</v>
      </c>
      <c r="G579" s="43">
        <v>29.9</v>
      </c>
      <c r="H579" s="43">
        <v>29.75</v>
      </c>
      <c r="I579" s="43">
        <v>30.7</v>
      </c>
      <c r="J579" s="16">
        <v>0.31</v>
      </c>
      <c r="K579" s="24">
        <v>1.0500000000000001E-2</v>
      </c>
      <c r="L579" s="43">
        <v>6</v>
      </c>
      <c r="M579" s="60">
        <v>3201</v>
      </c>
      <c r="N579" s="59">
        <v>0.34279999999999999</v>
      </c>
      <c r="O579" t="s">
        <v>65</v>
      </c>
      <c r="P579" s="9">
        <v>46072</v>
      </c>
      <c r="Q579">
        <v>204.44</v>
      </c>
    </row>
    <row r="580" spans="1:17" x14ac:dyDescent="0.25">
      <c r="A580" s="12" t="s">
        <v>193</v>
      </c>
      <c r="B580" s="3" t="str">
        <f t="shared" si="31"/>
        <v>AMZN</v>
      </c>
      <c r="C580" s="3" t="str">
        <f t="shared" si="29"/>
        <v>260515</v>
      </c>
      <c r="D580" s="3" t="str">
        <f t="shared" si="30"/>
        <v>P00235000</v>
      </c>
      <c r="E580" s="44">
        <v>46070.634722222225</v>
      </c>
      <c r="F580" s="13">
        <v>235</v>
      </c>
      <c r="G580" s="43">
        <v>36.6</v>
      </c>
      <c r="H580" s="43">
        <v>33.700000000000003</v>
      </c>
      <c r="I580" s="43">
        <v>34.25</v>
      </c>
      <c r="J580" s="16">
        <v>0</v>
      </c>
      <c r="K580" s="24">
        <v>0</v>
      </c>
      <c r="L580" s="43">
        <v>14</v>
      </c>
      <c r="M580" s="60">
        <v>4767</v>
      </c>
      <c r="N580" s="59">
        <v>0.32669999999999999</v>
      </c>
      <c r="O580" t="s">
        <v>65</v>
      </c>
      <c r="P580" s="9">
        <v>46072</v>
      </c>
      <c r="Q580">
        <v>204.44</v>
      </c>
    </row>
    <row r="581" spans="1:17" x14ac:dyDescent="0.25">
      <c r="A581" s="12" t="s">
        <v>194</v>
      </c>
      <c r="B581" s="3" t="str">
        <f t="shared" si="31"/>
        <v>AMZN</v>
      </c>
      <c r="C581" s="3" t="str">
        <f t="shared" si="29"/>
        <v>260515</v>
      </c>
      <c r="D581" s="3" t="str">
        <f t="shared" si="30"/>
        <v>P00240000</v>
      </c>
      <c r="E581" s="44">
        <v>46071.544444444444</v>
      </c>
      <c r="F581" s="13">
        <v>240</v>
      </c>
      <c r="G581" s="43">
        <v>36.26</v>
      </c>
      <c r="H581" s="43">
        <v>37.9</v>
      </c>
      <c r="I581" s="43">
        <v>38.299999999999997</v>
      </c>
      <c r="J581" s="16">
        <v>0</v>
      </c>
      <c r="K581" s="24">
        <v>0</v>
      </c>
      <c r="L581" s="43">
        <v>8</v>
      </c>
      <c r="M581" s="60">
        <v>2038</v>
      </c>
      <c r="N581" s="59">
        <v>0.31919999999999998</v>
      </c>
      <c r="O581" t="s">
        <v>65</v>
      </c>
      <c r="P581" s="9">
        <v>46072</v>
      </c>
      <c r="Q581">
        <v>204.44</v>
      </c>
    </row>
    <row r="582" spans="1:17" x14ac:dyDescent="0.25">
      <c r="A582" s="12" t="s">
        <v>195</v>
      </c>
      <c r="B582" s="3" t="str">
        <f t="shared" si="31"/>
        <v>AMZN</v>
      </c>
      <c r="C582" s="3" t="str">
        <f t="shared" si="29"/>
        <v>260515</v>
      </c>
      <c r="D582" s="3" t="str">
        <f t="shared" si="30"/>
        <v>P00245000</v>
      </c>
      <c r="E582" s="44">
        <v>46071.421527777777</v>
      </c>
      <c r="F582" s="13">
        <v>245</v>
      </c>
      <c r="G582" s="43">
        <v>41.65</v>
      </c>
      <c r="H582" s="43">
        <v>42</v>
      </c>
      <c r="I582" s="43">
        <v>43.05</v>
      </c>
      <c r="J582" s="16">
        <v>0.51</v>
      </c>
      <c r="K582" s="24">
        <v>1.24E-2</v>
      </c>
      <c r="L582" s="43">
        <v>2</v>
      </c>
      <c r="M582" s="60">
        <v>1049</v>
      </c>
      <c r="N582" s="59">
        <v>0.33460000000000001</v>
      </c>
      <c r="O582" t="s">
        <v>65</v>
      </c>
      <c r="P582" s="9">
        <v>46072</v>
      </c>
      <c r="Q582">
        <v>204.44</v>
      </c>
    </row>
    <row r="583" spans="1:17" x14ac:dyDescent="0.25">
      <c r="A583" s="12" t="s">
        <v>196</v>
      </c>
      <c r="B583" s="3" t="str">
        <f t="shared" si="31"/>
        <v>AMZN</v>
      </c>
      <c r="C583" s="3" t="str">
        <f t="shared" si="29"/>
        <v>260515</v>
      </c>
      <c r="D583" s="3" t="str">
        <f t="shared" si="30"/>
        <v>P00250000</v>
      </c>
      <c r="E583" s="44">
        <v>46072.546527777777</v>
      </c>
      <c r="F583" s="13">
        <v>250</v>
      </c>
      <c r="G583" s="43">
        <v>47</v>
      </c>
      <c r="H583" s="43">
        <v>46.6</v>
      </c>
      <c r="I583" s="43">
        <v>47.35</v>
      </c>
      <c r="J583" s="16">
        <v>0.85</v>
      </c>
      <c r="K583" s="24">
        <v>1.84E-2</v>
      </c>
      <c r="L583" s="43">
        <v>4</v>
      </c>
      <c r="M583" s="60">
        <v>2838</v>
      </c>
      <c r="N583" s="59">
        <v>0.32540000000000002</v>
      </c>
      <c r="O583" t="s">
        <v>65</v>
      </c>
      <c r="P583" s="9">
        <v>46072</v>
      </c>
      <c r="Q583">
        <v>204.44</v>
      </c>
    </row>
    <row r="584" spans="1:17" x14ac:dyDescent="0.25">
      <c r="A584" s="12" t="s">
        <v>197</v>
      </c>
      <c r="B584" s="3" t="str">
        <f t="shared" si="31"/>
        <v>AMZN</v>
      </c>
      <c r="C584" s="3" t="str">
        <f t="shared" si="29"/>
        <v>260515</v>
      </c>
      <c r="D584" s="3" t="str">
        <f t="shared" si="30"/>
        <v>P00255000</v>
      </c>
      <c r="E584" s="44">
        <v>46072.474305555559</v>
      </c>
      <c r="F584" s="13">
        <v>255</v>
      </c>
      <c r="G584" s="43">
        <v>50.15</v>
      </c>
      <c r="H584" s="43">
        <v>51.15</v>
      </c>
      <c r="I584" s="43">
        <v>51.75</v>
      </c>
      <c r="J584" s="16">
        <v>-6.15</v>
      </c>
      <c r="K584" s="24">
        <v>-0.10920000000000001</v>
      </c>
      <c r="L584" s="43">
        <v>7</v>
      </c>
      <c r="M584" s="60">
        <v>1198</v>
      </c>
      <c r="N584" s="59">
        <v>0.31230000000000002</v>
      </c>
      <c r="O584" t="s">
        <v>65</v>
      </c>
      <c r="P584" s="9">
        <v>46072</v>
      </c>
      <c r="Q584">
        <v>204.44</v>
      </c>
    </row>
    <row r="585" spans="1:17" x14ac:dyDescent="0.25">
      <c r="A585" s="12" t="s">
        <v>198</v>
      </c>
      <c r="B585" s="3" t="str">
        <f t="shared" si="31"/>
        <v>AMZN</v>
      </c>
      <c r="C585" s="3" t="str">
        <f t="shared" si="29"/>
        <v>260515</v>
      </c>
      <c r="D585" s="3" t="str">
        <f t="shared" si="30"/>
        <v>P00260000</v>
      </c>
      <c r="E585" s="44">
        <v>46071.509027777778</v>
      </c>
      <c r="F585" s="13">
        <v>260</v>
      </c>
      <c r="G585" s="43">
        <v>54.47</v>
      </c>
      <c r="H585" s="43">
        <v>55.95</v>
      </c>
      <c r="I585" s="43">
        <v>56.45</v>
      </c>
      <c r="J585" s="16">
        <v>0</v>
      </c>
      <c r="K585" s="24">
        <v>0</v>
      </c>
      <c r="L585" s="43">
        <v>5</v>
      </c>
      <c r="M585" s="60">
        <v>1453</v>
      </c>
      <c r="N585" s="59">
        <v>0.31019999999999998</v>
      </c>
      <c r="O585" t="s">
        <v>65</v>
      </c>
      <c r="P585" s="9">
        <v>46072</v>
      </c>
      <c r="Q585">
        <v>204.44</v>
      </c>
    </row>
    <row r="586" spans="1:17" x14ac:dyDescent="0.25">
      <c r="A586" s="12" t="s">
        <v>199</v>
      </c>
      <c r="B586" s="3" t="str">
        <f t="shared" si="31"/>
        <v>AMZN</v>
      </c>
      <c r="C586" s="3" t="str">
        <f t="shared" si="29"/>
        <v>260515</v>
      </c>
      <c r="D586" s="3" t="str">
        <f t="shared" si="30"/>
        <v>P00265000</v>
      </c>
      <c r="E586" s="44">
        <v>46065.464583333334</v>
      </c>
      <c r="F586" s="13">
        <v>265</v>
      </c>
      <c r="G586" s="43">
        <v>67.38</v>
      </c>
      <c r="H586" s="43">
        <v>60.2</v>
      </c>
      <c r="I586" s="43">
        <v>62</v>
      </c>
      <c r="J586" s="16">
        <v>0</v>
      </c>
      <c r="K586" s="24">
        <v>0</v>
      </c>
      <c r="L586" s="43">
        <v>4</v>
      </c>
      <c r="M586" s="43">
        <v>125</v>
      </c>
      <c r="N586" s="59">
        <v>0.36870000000000003</v>
      </c>
      <c r="O586" t="s">
        <v>65</v>
      </c>
      <c r="P586" s="9">
        <v>46072</v>
      </c>
      <c r="Q586">
        <v>204.44</v>
      </c>
    </row>
    <row r="587" spans="1:17" x14ac:dyDescent="0.25">
      <c r="A587" s="12" t="s">
        <v>200</v>
      </c>
      <c r="B587" s="3" t="str">
        <f t="shared" si="31"/>
        <v>AMZN</v>
      </c>
      <c r="C587" s="3" t="str">
        <f t="shared" si="29"/>
        <v>260515</v>
      </c>
      <c r="D587" s="3" t="str">
        <f t="shared" si="30"/>
        <v>P00270000</v>
      </c>
      <c r="E587" s="44">
        <v>46064.447222222225</v>
      </c>
      <c r="F587" s="13">
        <v>270</v>
      </c>
      <c r="G587" s="43">
        <v>64.180000000000007</v>
      </c>
      <c r="H587" s="43">
        <v>65</v>
      </c>
      <c r="I587" s="43">
        <v>67.05</v>
      </c>
      <c r="J587" s="16">
        <v>0</v>
      </c>
      <c r="K587" s="24">
        <v>0</v>
      </c>
      <c r="L587" s="43">
        <v>4</v>
      </c>
      <c r="M587" s="43">
        <v>136</v>
      </c>
      <c r="N587" s="59">
        <v>0.39140000000000003</v>
      </c>
      <c r="O587" t="s">
        <v>65</v>
      </c>
      <c r="P587" s="9">
        <v>46072</v>
      </c>
      <c r="Q587">
        <v>204.44</v>
      </c>
    </row>
    <row r="588" spans="1:17" x14ac:dyDescent="0.25">
      <c r="A588" s="12" t="s">
        <v>201</v>
      </c>
      <c r="B588" s="3" t="str">
        <f t="shared" si="31"/>
        <v>AMZN</v>
      </c>
      <c r="C588" s="3" t="str">
        <f t="shared" si="29"/>
        <v>260515</v>
      </c>
      <c r="D588" s="3" t="str">
        <f t="shared" si="30"/>
        <v>P00275000</v>
      </c>
      <c r="E588" s="44">
        <v>46063.456944444442</v>
      </c>
      <c r="F588" s="13">
        <v>275</v>
      </c>
      <c r="G588" s="43">
        <v>64.05</v>
      </c>
      <c r="H588" s="43">
        <v>69.650000000000006</v>
      </c>
      <c r="I588" s="43">
        <v>72.099999999999994</v>
      </c>
      <c r="J588" s="16">
        <v>0</v>
      </c>
      <c r="K588" s="24">
        <v>0</v>
      </c>
      <c r="L588" s="43">
        <v>2</v>
      </c>
      <c r="M588" s="43">
        <v>8</v>
      </c>
      <c r="N588" s="59">
        <v>0.41349999999999998</v>
      </c>
      <c r="O588" t="s">
        <v>65</v>
      </c>
      <c r="P588" s="9">
        <v>46072</v>
      </c>
      <c r="Q588">
        <v>204.44</v>
      </c>
    </row>
    <row r="589" spans="1:17" x14ac:dyDescent="0.25">
      <c r="A589" s="12" t="s">
        <v>202</v>
      </c>
      <c r="B589" s="3" t="str">
        <f t="shared" si="31"/>
        <v>AMZN</v>
      </c>
      <c r="C589" s="3" t="str">
        <f t="shared" si="29"/>
        <v>260515</v>
      </c>
      <c r="D589" s="3" t="str">
        <f t="shared" si="30"/>
        <v>P00280000</v>
      </c>
      <c r="E589" s="44">
        <v>46059.581944444442</v>
      </c>
      <c r="F589" s="13">
        <v>280</v>
      </c>
      <c r="G589" s="43">
        <v>73.39</v>
      </c>
      <c r="H589" s="43">
        <v>74.7</v>
      </c>
      <c r="I589" s="43">
        <v>77.099999999999994</v>
      </c>
      <c r="J589" s="16">
        <v>0</v>
      </c>
      <c r="K589" s="24">
        <v>0</v>
      </c>
      <c r="L589" s="43">
        <v>253</v>
      </c>
      <c r="M589" s="43">
        <v>0</v>
      </c>
      <c r="N589" s="59">
        <v>0.43190000000000001</v>
      </c>
      <c r="O589" t="s">
        <v>65</v>
      </c>
      <c r="P589" s="9">
        <v>46072</v>
      </c>
      <c r="Q589">
        <v>204.44</v>
      </c>
    </row>
    <row r="590" spans="1:17" x14ac:dyDescent="0.25">
      <c r="A590" s="12" t="s">
        <v>203</v>
      </c>
      <c r="B590" s="3" t="str">
        <f t="shared" si="31"/>
        <v>AMZN</v>
      </c>
      <c r="C590" s="3" t="str">
        <f t="shared" si="29"/>
        <v>260515</v>
      </c>
      <c r="D590" s="3" t="str">
        <f t="shared" si="30"/>
        <v>P00285000</v>
      </c>
      <c r="E590" s="44">
        <v>46057.581250000003</v>
      </c>
      <c r="F590" s="13">
        <v>285</v>
      </c>
      <c r="G590" s="43">
        <v>54.58</v>
      </c>
      <c r="H590" s="43">
        <v>79.7</v>
      </c>
      <c r="I590" s="43">
        <v>82.05</v>
      </c>
      <c r="J590" s="16">
        <v>0</v>
      </c>
      <c r="K590" s="24">
        <v>0</v>
      </c>
      <c r="L590" s="43">
        <v>8</v>
      </c>
      <c r="M590" s="43">
        <v>0</v>
      </c>
      <c r="N590" s="59">
        <v>0.44629999999999997</v>
      </c>
      <c r="O590" t="s">
        <v>65</v>
      </c>
      <c r="P590" s="9">
        <v>46072</v>
      </c>
      <c r="Q590">
        <v>204.44</v>
      </c>
    </row>
    <row r="591" spans="1:17" x14ac:dyDescent="0.25">
      <c r="A591" s="12" t="s">
        <v>204</v>
      </c>
      <c r="B591" s="3" t="str">
        <f t="shared" si="31"/>
        <v>AMZN</v>
      </c>
      <c r="C591" s="3" t="str">
        <f t="shared" si="29"/>
        <v>260515</v>
      </c>
      <c r="D591" s="3" t="str">
        <f t="shared" si="30"/>
        <v>P00290000</v>
      </c>
      <c r="E591" s="44">
        <v>46066.51666666667</v>
      </c>
      <c r="F591" s="13">
        <v>290</v>
      </c>
      <c r="G591" s="43">
        <v>89.3</v>
      </c>
      <c r="H591" s="43">
        <v>84.9</v>
      </c>
      <c r="I591" s="43">
        <v>87</v>
      </c>
      <c r="J591" s="16">
        <v>0</v>
      </c>
      <c r="K591" s="24">
        <v>0</v>
      </c>
      <c r="L591" s="43">
        <v>2</v>
      </c>
      <c r="M591" s="43">
        <v>0</v>
      </c>
      <c r="N591" s="59">
        <v>0.46</v>
      </c>
      <c r="O591" t="s">
        <v>65</v>
      </c>
      <c r="P591" s="9">
        <v>46072</v>
      </c>
      <c r="Q591">
        <v>204.44</v>
      </c>
    </row>
    <row r="592" spans="1:17" x14ac:dyDescent="0.25">
      <c r="A592" s="12" t="s">
        <v>205</v>
      </c>
      <c r="B592" s="3" t="str">
        <f t="shared" si="31"/>
        <v>AMZN</v>
      </c>
      <c r="C592" s="3" t="str">
        <f t="shared" si="29"/>
        <v>260515</v>
      </c>
      <c r="D592" s="3" t="str">
        <f t="shared" si="30"/>
        <v>P00295000</v>
      </c>
      <c r="E592" s="44">
        <v>46059.633333333331</v>
      </c>
      <c r="F592" s="13">
        <v>295</v>
      </c>
      <c r="G592" s="43">
        <v>87.1</v>
      </c>
      <c r="H592" s="43">
        <v>89.65</v>
      </c>
      <c r="I592" s="43">
        <v>92.05</v>
      </c>
      <c r="J592" s="16">
        <v>0</v>
      </c>
      <c r="K592" s="24">
        <v>0</v>
      </c>
      <c r="L592" s="43">
        <v>111</v>
      </c>
      <c r="M592" s="43">
        <v>0</v>
      </c>
      <c r="N592" s="59">
        <v>0.48049999999999998</v>
      </c>
      <c r="O592" t="s">
        <v>65</v>
      </c>
      <c r="P592" s="9">
        <v>46072</v>
      </c>
      <c r="Q592">
        <v>204.44</v>
      </c>
    </row>
    <row r="593" spans="1:17" x14ac:dyDescent="0.25">
      <c r="A593" s="12" t="s">
        <v>206</v>
      </c>
      <c r="B593" s="3" t="str">
        <f t="shared" si="31"/>
        <v>AMZN</v>
      </c>
      <c r="C593" s="3" t="str">
        <f t="shared" si="29"/>
        <v>260515</v>
      </c>
      <c r="D593" s="3" t="str">
        <f t="shared" si="30"/>
        <v>P00300000</v>
      </c>
      <c r="E593" s="44">
        <v>46059.633333333331</v>
      </c>
      <c r="F593" s="13">
        <v>300</v>
      </c>
      <c r="G593" s="43">
        <v>92.2</v>
      </c>
      <c r="H593" s="43">
        <v>94.7</v>
      </c>
      <c r="I593" s="43">
        <v>97</v>
      </c>
      <c r="J593" s="16">
        <v>0</v>
      </c>
      <c r="K593" s="24">
        <v>0</v>
      </c>
      <c r="L593" s="43">
        <v>250</v>
      </c>
      <c r="M593" s="43">
        <v>0</v>
      </c>
      <c r="N593" s="59">
        <v>0.49299999999999999</v>
      </c>
      <c r="O593" t="s">
        <v>65</v>
      </c>
      <c r="P593" s="9">
        <v>46072</v>
      </c>
      <c r="Q593">
        <v>204.44</v>
      </c>
    </row>
    <row r="594" spans="1:17" x14ac:dyDescent="0.25">
      <c r="A594" s="12" t="s">
        <v>207</v>
      </c>
      <c r="B594" s="3" t="str">
        <f t="shared" si="31"/>
        <v>AMZN</v>
      </c>
      <c r="C594" s="3" t="str">
        <f t="shared" si="29"/>
        <v>260515</v>
      </c>
      <c r="D594" s="3" t="str">
        <f t="shared" si="30"/>
        <v>P00305000</v>
      </c>
      <c r="E594" s="44">
        <v>46002.415277777778</v>
      </c>
      <c r="F594" s="13">
        <v>305</v>
      </c>
      <c r="G594" s="43">
        <v>75.2</v>
      </c>
      <c r="H594" s="43">
        <v>65.150000000000006</v>
      </c>
      <c r="I594" s="43">
        <v>66.25</v>
      </c>
      <c r="J594" s="16">
        <v>0</v>
      </c>
      <c r="K594" s="24">
        <v>0</v>
      </c>
      <c r="L594" s="43">
        <v>5</v>
      </c>
      <c r="M594" s="43">
        <v>0</v>
      </c>
      <c r="N594" s="59">
        <v>0</v>
      </c>
      <c r="O594" t="s">
        <v>65</v>
      </c>
      <c r="P594" s="9">
        <v>46072</v>
      </c>
      <c r="Q594">
        <v>204.44</v>
      </c>
    </row>
    <row r="595" spans="1:17" x14ac:dyDescent="0.25">
      <c r="A595" s="12" t="s">
        <v>208</v>
      </c>
      <c r="B595" s="3" t="str">
        <f t="shared" si="31"/>
        <v>AMZN</v>
      </c>
      <c r="C595" s="3" t="str">
        <f t="shared" si="29"/>
        <v>260515</v>
      </c>
      <c r="D595" s="3" t="str">
        <f t="shared" si="30"/>
        <v>P00310000</v>
      </c>
      <c r="E595" s="44">
        <v>46065.4375</v>
      </c>
      <c r="F595" s="13">
        <v>310</v>
      </c>
      <c r="G595" s="43">
        <v>107.67</v>
      </c>
      <c r="H595" s="43">
        <v>104.9</v>
      </c>
      <c r="I595" s="43">
        <v>107</v>
      </c>
      <c r="J595" s="16">
        <v>0</v>
      </c>
      <c r="K595" s="24">
        <v>0</v>
      </c>
      <c r="L595" s="43">
        <v>1</v>
      </c>
      <c r="M595" s="43">
        <v>0</v>
      </c>
      <c r="N595" s="59">
        <v>0.52449999999999997</v>
      </c>
      <c r="O595" t="s">
        <v>65</v>
      </c>
      <c r="P595" s="9">
        <v>46072</v>
      </c>
      <c r="Q595">
        <v>204.44</v>
      </c>
    </row>
    <row r="596" spans="1:17" x14ac:dyDescent="0.25">
      <c r="A596" s="12" t="s">
        <v>209</v>
      </c>
      <c r="B596" s="3" t="str">
        <f t="shared" si="31"/>
        <v>AMZN</v>
      </c>
      <c r="C596" s="3" t="str">
        <f t="shared" si="29"/>
        <v>260515</v>
      </c>
      <c r="D596" s="3" t="str">
        <f t="shared" si="30"/>
        <v>P00315000</v>
      </c>
      <c r="E596" s="44">
        <v>46028.548611111109</v>
      </c>
      <c r="F596" s="13">
        <v>315</v>
      </c>
      <c r="G596" s="43">
        <v>73.739999999999995</v>
      </c>
      <c r="H596" s="43">
        <v>115.6</v>
      </c>
      <c r="I596" s="43">
        <v>118.05</v>
      </c>
      <c r="J596" s="16">
        <v>0</v>
      </c>
      <c r="K596" s="24">
        <v>0</v>
      </c>
      <c r="L596" s="43">
        <v>1</v>
      </c>
      <c r="M596" s="43">
        <v>0</v>
      </c>
      <c r="N596" s="59">
        <v>0.78800000000000003</v>
      </c>
      <c r="O596" t="s">
        <v>65</v>
      </c>
      <c r="P596" s="9">
        <v>46072</v>
      </c>
      <c r="Q596">
        <v>204.44</v>
      </c>
    </row>
    <row r="597" spans="1:17" x14ac:dyDescent="0.25">
      <c r="A597" s="12" t="s">
        <v>210</v>
      </c>
      <c r="B597" s="3" t="str">
        <f t="shared" si="31"/>
        <v>AMZN</v>
      </c>
      <c r="C597" s="3" t="str">
        <f t="shared" si="29"/>
        <v>260515</v>
      </c>
      <c r="D597" s="3" t="str">
        <f t="shared" si="30"/>
        <v>P00320000</v>
      </c>
      <c r="E597" s="44">
        <v>46034.511111111111</v>
      </c>
      <c r="F597" s="13">
        <v>320</v>
      </c>
      <c r="G597" s="43">
        <v>72.3</v>
      </c>
      <c r="H597" s="43">
        <v>120.5</v>
      </c>
      <c r="I597" s="43">
        <v>123.05</v>
      </c>
      <c r="J597" s="16">
        <v>0</v>
      </c>
      <c r="K597" s="24">
        <v>0</v>
      </c>
      <c r="L597" s="43">
        <v>10</v>
      </c>
      <c r="M597" s="43">
        <v>0</v>
      </c>
      <c r="N597" s="59">
        <v>0.80410000000000004</v>
      </c>
      <c r="O597" t="s">
        <v>65</v>
      </c>
      <c r="P597" s="9">
        <v>46072</v>
      </c>
      <c r="Q597">
        <v>204.44</v>
      </c>
    </row>
    <row r="598" spans="1:17" x14ac:dyDescent="0.25">
      <c r="A598" s="12" t="s">
        <v>211</v>
      </c>
      <c r="B598" s="3" t="str">
        <f t="shared" si="31"/>
        <v>AMZN</v>
      </c>
      <c r="C598" s="3" t="str">
        <f t="shared" si="29"/>
        <v>260515</v>
      </c>
      <c r="D598" s="3" t="str">
        <f t="shared" si="30"/>
        <v>P00325000</v>
      </c>
      <c r="E598" s="44">
        <v>45972.587500000001</v>
      </c>
      <c r="F598" s="13">
        <v>325</v>
      </c>
      <c r="G598" s="43">
        <v>76.680000000000007</v>
      </c>
      <c r="H598" s="43">
        <v>86.8</v>
      </c>
      <c r="I598" s="43">
        <v>89.35</v>
      </c>
      <c r="J598" s="16">
        <v>0</v>
      </c>
      <c r="K598" s="24">
        <v>0</v>
      </c>
      <c r="L598" s="43">
        <v>12</v>
      </c>
      <c r="M598" s="43">
        <v>0</v>
      </c>
      <c r="N598" s="59">
        <v>0</v>
      </c>
      <c r="O598" t="s">
        <v>65</v>
      </c>
      <c r="P598" s="9">
        <v>46072</v>
      </c>
      <c r="Q598">
        <v>204.44</v>
      </c>
    </row>
    <row r="599" spans="1:17" x14ac:dyDescent="0.25">
      <c r="A599" s="12" t="s">
        <v>212</v>
      </c>
      <c r="B599" s="3" t="str">
        <f t="shared" si="31"/>
        <v>AMZN</v>
      </c>
      <c r="C599" s="3" t="str">
        <f t="shared" si="29"/>
        <v>260515</v>
      </c>
      <c r="D599" s="3" t="str">
        <f t="shared" si="30"/>
        <v>P00330000</v>
      </c>
      <c r="E599" s="44">
        <v>46059.400694444441</v>
      </c>
      <c r="F599" s="13">
        <v>330</v>
      </c>
      <c r="G599" s="43">
        <v>128.12</v>
      </c>
      <c r="H599" s="43">
        <v>124.75</v>
      </c>
      <c r="I599" s="43">
        <v>127</v>
      </c>
      <c r="J599" s="16">
        <v>0</v>
      </c>
      <c r="K599" s="24">
        <v>0</v>
      </c>
      <c r="L599" s="43">
        <v>1</v>
      </c>
      <c r="M599" s="43">
        <v>0</v>
      </c>
      <c r="N599" s="59">
        <v>0.58330000000000004</v>
      </c>
      <c r="O599" t="s">
        <v>65</v>
      </c>
      <c r="P599" s="9">
        <v>46072</v>
      </c>
      <c r="Q599">
        <v>204.44</v>
      </c>
    </row>
    <row r="600" spans="1:17" x14ac:dyDescent="0.25">
      <c r="A600" s="12" t="s">
        <v>112</v>
      </c>
      <c r="B600" s="3" t="str">
        <f t="shared" si="31"/>
        <v>AMZN</v>
      </c>
      <c r="C600" s="3" t="str">
        <f t="shared" si="29"/>
        <v>260515</v>
      </c>
      <c r="D600" s="3" t="str">
        <f t="shared" si="30"/>
        <v>P00340000</v>
      </c>
      <c r="E600" s="44">
        <v>45964.46875</v>
      </c>
      <c r="F600" s="13">
        <v>340</v>
      </c>
      <c r="G600" s="43">
        <v>85.25</v>
      </c>
      <c r="H600" s="43">
        <v>102.15</v>
      </c>
      <c r="I600" s="43">
        <v>104.05</v>
      </c>
      <c r="J600" s="16">
        <v>0</v>
      </c>
      <c r="K600" s="24">
        <v>0</v>
      </c>
      <c r="L600" s="43" t="s">
        <v>113</v>
      </c>
      <c r="M600" s="43">
        <v>0</v>
      </c>
      <c r="N600" s="59">
        <v>0</v>
      </c>
      <c r="O600" t="s">
        <v>65</v>
      </c>
      <c r="P600" s="9">
        <v>46072</v>
      </c>
      <c r="Q600">
        <v>204.44</v>
      </c>
    </row>
    <row r="601" spans="1:17" x14ac:dyDescent="0.25">
      <c r="A601" s="12" t="s">
        <v>114</v>
      </c>
      <c r="B601" s="3" t="str">
        <f t="shared" si="31"/>
        <v>AMZN</v>
      </c>
      <c r="C601" s="3" t="str">
        <f t="shared" si="29"/>
        <v>260515</v>
      </c>
      <c r="D601" s="3" t="str">
        <f t="shared" si="30"/>
        <v>P00350000</v>
      </c>
      <c r="E601" s="44">
        <v>46071.490277777775</v>
      </c>
      <c r="F601" s="13">
        <v>350</v>
      </c>
      <c r="G601" s="43">
        <v>144.09</v>
      </c>
      <c r="H601" s="43">
        <v>145</v>
      </c>
      <c r="I601" s="43">
        <v>147.25</v>
      </c>
      <c r="J601" s="16">
        <v>0</v>
      </c>
      <c r="K601" s="24">
        <v>0</v>
      </c>
      <c r="L601" s="43">
        <v>1</v>
      </c>
      <c r="M601" s="43">
        <v>1</v>
      </c>
      <c r="N601" s="59">
        <v>0.53520000000000001</v>
      </c>
      <c r="O601" t="s">
        <v>65</v>
      </c>
      <c r="P601" s="9">
        <v>46072</v>
      </c>
      <c r="Q601">
        <v>204.44</v>
      </c>
    </row>
    <row r="602" spans="1:17" x14ac:dyDescent="0.25">
      <c r="A602" s="12" t="s">
        <v>115</v>
      </c>
      <c r="B602" s="3" t="str">
        <f t="shared" si="31"/>
        <v>AMZN</v>
      </c>
      <c r="C602" s="3" t="str">
        <f t="shared" si="29"/>
        <v>260515</v>
      </c>
      <c r="D602" s="3" t="str">
        <f t="shared" si="30"/>
        <v>P00360000</v>
      </c>
      <c r="E602" s="44">
        <v>46065.662499999999</v>
      </c>
      <c r="F602" s="13">
        <v>360</v>
      </c>
      <c r="G602" s="43">
        <v>159.82</v>
      </c>
      <c r="H602" s="43">
        <v>154.69999999999999</v>
      </c>
      <c r="I602" s="43">
        <v>157.1</v>
      </c>
      <c r="J602" s="16">
        <v>0</v>
      </c>
      <c r="K602" s="24">
        <v>0</v>
      </c>
      <c r="L602" s="43">
        <v>1</v>
      </c>
      <c r="M602" s="43">
        <v>0</v>
      </c>
      <c r="N602" s="59">
        <v>0.51119999999999999</v>
      </c>
      <c r="O602" t="s">
        <v>65</v>
      </c>
      <c r="P602" s="9">
        <v>46072</v>
      </c>
      <c r="Q602">
        <v>204.44</v>
      </c>
    </row>
    <row r="603" spans="1:17" x14ac:dyDescent="0.25">
      <c r="A603" s="12" t="s">
        <v>116</v>
      </c>
      <c r="B603" s="3" t="str">
        <f t="shared" si="31"/>
        <v>AMZN</v>
      </c>
      <c r="C603" s="3" t="str">
        <f t="shared" si="29"/>
        <v>260515</v>
      </c>
      <c r="D603" s="3" t="str">
        <f t="shared" si="30"/>
        <v>P00370000</v>
      </c>
      <c r="E603" s="44">
        <v>46051.662499999999</v>
      </c>
      <c r="F603" s="13">
        <v>370</v>
      </c>
      <c r="G603" s="43">
        <v>126.6</v>
      </c>
      <c r="H603" s="43">
        <v>164.75</v>
      </c>
      <c r="I603" s="43">
        <v>167</v>
      </c>
      <c r="J603" s="16">
        <v>0</v>
      </c>
      <c r="K603" s="24">
        <v>0</v>
      </c>
      <c r="L603" s="43">
        <v>1</v>
      </c>
      <c r="M603" s="43">
        <v>0</v>
      </c>
      <c r="N603" s="59">
        <v>0.52490000000000003</v>
      </c>
      <c r="O603" t="s">
        <v>65</v>
      </c>
      <c r="P603" s="9">
        <v>46072</v>
      </c>
      <c r="Q603">
        <v>204.44</v>
      </c>
    </row>
    <row r="604" spans="1:17" x14ac:dyDescent="0.25">
      <c r="A604" s="10" t="s">
        <v>117</v>
      </c>
      <c r="B604" s="3" t="str">
        <f t="shared" si="31"/>
        <v>AMZN</v>
      </c>
      <c r="C604" s="3" t="str">
        <f t="shared" si="29"/>
        <v>260515</v>
      </c>
      <c r="D604" s="3" t="str">
        <f t="shared" si="30"/>
        <v>C00105000</v>
      </c>
      <c r="E604" s="44" t="s">
        <v>269</v>
      </c>
      <c r="F604" s="10">
        <v>105</v>
      </c>
      <c r="G604" s="43">
        <v>105.68</v>
      </c>
      <c r="H604" s="43">
        <v>103.1</v>
      </c>
      <c r="I604" s="43">
        <v>106.4</v>
      </c>
      <c r="J604" s="25">
        <v>-0.32</v>
      </c>
      <c r="K604" s="26">
        <v>-3.0000000000000001E-3</v>
      </c>
      <c r="L604" s="41">
        <v>1</v>
      </c>
      <c r="M604" s="41">
        <v>27</v>
      </c>
      <c r="N604" s="57">
        <v>0.87939999999999996</v>
      </c>
      <c r="O604" t="s">
        <v>62</v>
      </c>
      <c r="P604" s="9">
        <v>46077</v>
      </c>
      <c r="Q604">
        <v>208.56</v>
      </c>
    </row>
    <row r="605" spans="1:17" x14ac:dyDescent="0.25">
      <c r="A605" s="10" t="s">
        <v>118</v>
      </c>
      <c r="B605" s="3" t="str">
        <f t="shared" si="31"/>
        <v>AMZN</v>
      </c>
      <c r="C605" s="3" t="str">
        <f t="shared" si="29"/>
        <v>260515</v>
      </c>
      <c r="D605" s="3" t="str">
        <f t="shared" si="30"/>
        <v>C00110000</v>
      </c>
      <c r="E605" s="44">
        <v>46267.460416666669</v>
      </c>
      <c r="F605" s="10">
        <v>110</v>
      </c>
      <c r="G605" s="43">
        <v>100.79</v>
      </c>
      <c r="H605" s="43">
        <v>98.25</v>
      </c>
      <c r="I605" s="43">
        <v>101.55</v>
      </c>
      <c r="J605" s="27">
        <v>0</v>
      </c>
      <c r="K605" s="28">
        <v>0</v>
      </c>
      <c r="L605" s="41">
        <v>3</v>
      </c>
      <c r="M605" s="41">
        <v>35</v>
      </c>
      <c r="N605" s="57">
        <v>0.84770000000000001</v>
      </c>
      <c r="O605" t="s">
        <v>62</v>
      </c>
      <c r="P605" s="9">
        <v>46077</v>
      </c>
      <c r="Q605">
        <v>208.56</v>
      </c>
    </row>
    <row r="606" spans="1:17" x14ac:dyDescent="0.25">
      <c r="A606" s="10" t="s">
        <v>119</v>
      </c>
      <c r="B606" s="3" t="str">
        <f t="shared" si="31"/>
        <v>AMZN</v>
      </c>
      <c r="C606" s="3" t="str">
        <f t="shared" si="29"/>
        <v>260515</v>
      </c>
      <c r="D606" s="3" t="str">
        <f t="shared" si="30"/>
        <v>C00115000</v>
      </c>
      <c r="E606" s="44" t="s">
        <v>270</v>
      </c>
      <c r="F606" s="10">
        <v>115</v>
      </c>
      <c r="G606" s="43">
        <v>92.51</v>
      </c>
      <c r="H606" s="43">
        <v>93.3</v>
      </c>
      <c r="I606" s="43">
        <v>96.8</v>
      </c>
      <c r="J606" s="27">
        <v>0</v>
      </c>
      <c r="K606" s="28">
        <v>0</v>
      </c>
      <c r="L606" s="41">
        <v>1</v>
      </c>
      <c r="M606" s="41">
        <v>45</v>
      </c>
      <c r="N606" s="57">
        <v>0.81489999999999996</v>
      </c>
      <c r="O606" t="s">
        <v>62</v>
      </c>
      <c r="P606" s="9">
        <v>46077</v>
      </c>
      <c r="Q606">
        <v>208.56</v>
      </c>
    </row>
    <row r="607" spans="1:17" x14ac:dyDescent="0.25">
      <c r="A607" s="10" t="s">
        <v>120</v>
      </c>
      <c r="B607" s="3" t="str">
        <f t="shared" si="31"/>
        <v>AMZN</v>
      </c>
      <c r="C607" s="3" t="str">
        <f t="shared" si="29"/>
        <v>260515</v>
      </c>
      <c r="D607" s="3" t="str">
        <f t="shared" si="30"/>
        <v>C00120000</v>
      </c>
      <c r="E607" s="44" t="s">
        <v>271</v>
      </c>
      <c r="F607" s="10">
        <v>120</v>
      </c>
      <c r="G607" s="43">
        <v>78.650000000000006</v>
      </c>
      <c r="H607" s="43">
        <v>88.45</v>
      </c>
      <c r="I607" s="43">
        <v>91.65</v>
      </c>
      <c r="J607" s="27">
        <v>0</v>
      </c>
      <c r="K607" s="28">
        <v>0</v>
      </c>
      <c r="L607" s="41">
        <v>1</v>
      </c>
      <c r="M607" s="58">
        <v>2250</v>
      </c>
      <c r="N607" s="57">
        <v>0.7651</v>
      </c>
      <c r="O607" t="s">
        <v>62</v>
      </c>
      <c r="P607" s="9">
        <v>46077</v>
      </c>
      <c r="Q607">
        <v>208.56</v>
      </c>
    </row>
    <row r="608" spans="1:17" x14ac:dyDescent="0.25">
      <c r="A608" s="10" t="s">
        <v>121</v>
      </c>
      <c r="B608" s="3" t="str">
        <f t="shared" si="31"/>
        <v>AMZN</v>
      </c>
      <c r="C608" s="3" t="str">
        <f t="shared" si="29"/>
        <v>260515</v>
      </c>
      <c r="D608" s="3" t="str">
        <f t="shared" si="30"/>
        <v>C00125000</v>
      </c>
      <c r="E608" s="44" t="s">
        <v>272</v>
      </c>
      <c r="F608" s="10">
        <v>125</v>
      </c>
      <c r="G608" s="43">
        <v>80.78</v>
      </c>
      <c r="H608" s="43">
        <v>83.75</v>
      </c>
      <c r="I608" s="43">
        <v>86.35</v>
      </c>
      <c r="J608" s="27">
        <v>0</v>
      </c>
      <c r="K608" s="28">
        <v>0</v>
      </c>
      <c r="L608" s="41">
        <v>1</v>
      </c>
      <c r="M608" s="41">
        <v>46</v>
      </c>
      <c r="N608" s="57">
        <v>0.71730000000000005</v>
      </c>
      <c r="O608" t="s">
        <v>62</v>
      </c>
      <c r="P608" s="9">
        <v>46077</v>
      </c>
      <c r="Q608">
        <v>208.56</v>
      </c>
    </row>
    <row r="609" spans="1:17" x14ac:dyDescent="0.25">
      <c r="A609" s="10" t="s">
        <v>122</v>
      </c>
      <c r="B609" s="3" t="str">
        <f t="shared" si="31"/>
        <v>AMZN</v>
      </c>
      <c r="C609" s="3" t="str">
        <f t="shared" si="29"/>
        <v>260515</v>
      </c>
      <c r="D609" s="3" t="str">
        <f t="shared" si="30"/>
        <v>C00130000</v>
      </c>
      <c r="E609" s="44" t="s">
        <v>273</v>
      </c>
      <c r="F609" s="10">
        <v>130</v>
      </c>
      <c r="G609" s="43">
        <v>81</v>
      </c>
      <c r="H609" s="43">
        <v>78.7</v>
      </c>
      <c r="I609" s="43">
        <v>82.25</v>
      </c>
      <c r="J609" s="25">
        <v>0</v>
      </c>
      <c r="K609" s="26">
        <v>0</v>
      </c>
      <c r="L609" s="41">
        <v>5</v>
      </c>
      <c r="M609" s="41">
        <v>72</v>
      </c>
      <c r="N609" s="57">
        <v>0.71179999999999999</v>
      </c>
      <c r="O609" t="s">
        <v>62</v>
      </c>
      <c r="P609" s="9">
        <v>46077</v>
      </c>
      <c r="Q609">
        <v>208.56</v>
      </c>
    </row>
    <row r="610" spans="1:17" x14ac:dyDescent="0.25">
      <c r="A610" s="10" t="s">
        <v>123</v>
      </c>
      <c r="B610" s="3" t="str">
        <f t="shared" si="31"/>
        <v>AMZN</v>
      </c>
      <c r="C610" s="3" t="str">
        <f t="shared" si="29"/>
        <v>260515</v>
      </c>
      <c r="D610" s="3" t="str">
        <f t="shared" si="30"/>
        <v>C00135000</v>
      </c>
      <c r="E610" s="44" t="s">
        <v>274</v>
      </c>
      <c r="F610" s="10">
        <v>135</v>
      </c>
      <c r="G610" s="43">
        <v>73.55</v>
      </c>
      <c r="H610" s="43">
        <v>73.900000000000006</v>
      </c>
      <c r="I610" s="43">
        <v>77.400000000000006</v>
      </c>
      <c r="J610" s="25">
        <v>0</v>
      </c>
      <c r="K610" s="26">
        <v>0</v>
      </c>
      <c r="L610" s="41">
        <v>2</v>
      </c>
      <c r="M610" s="41">
        <v>32</v>
      </c>
      <c r="N610" s="57">
        <v>0.67969999999999997</v>
      </c>
      <c r="O610" t="s">
        <v>62</v>
      </c>
      <c r="P610" s="9">
        <v>46077</v>
      </c>
      <c r="Q610">
        <v>208.56</v>
      </c>
    </row>
    <row r="611" spans="1:17" x14ac:dyDescent="0.25">
      <c r="A611" s="10" t="s">
        <v>124</v>
      </c>
      <c r="B611" s="3" t="str">
        <f t="shared" si="31"/>
        <v>AMZN</v>
      </c>
      <c r="C611" s="3" t="str">
        <f t="shared" si="29"/>
        <v>260515</v>
      </c>
      <c r="D611" s="3" t="str">
        <f t="shared" si="30"/>
        <v>C00140000</v>
      </c>
      <c r="E611" s="44" t="s">
        <v>275</v>
      </c>
      <c r="F611" s="10">
        <v>140</v>
      </c>
      <c r="G611" s="43">
        <v>66.77</v>
      </c>
      <c r="H611" s="43">
        <v>69.5</v>
      </c>
      <c r="I611" s="43">
        <v>72.599999999999994</v>
      </c>
      <c r="J611" s="27">
        <v>0</v>
      </c>
      <c r="K611" s="28">
        <v>0</v>
      </c>
      <c r="L611" s="41">
        <v>1</v>
      </c>
      <c r="M611" s="41">
        <v>26</v>
      </c>
      <c r="N611" s="57">
        <v>0.66379999999999995</v>
      </c>
      <c r="O611" t="s">
        <v>62</v>
      </c>
      <c r="P611" s="9">
        <v>46077</v>
      </c>
      <c r="Q611">
        <v>208.56</v>
      </c>
    </row>
    <row r="612" spans="1:17" x14ac:dyDescent="0.25">
      <c r="A612" s="10" t="s">
        <v>125</v>
      </c>
      <c r="B612" s="3" t="str">
        <f t="shared" si="31"/>
        <v>AMZN</v>
      </c>
      <c r="C612" s="3" t="str">
        <f t="shared" si="29"/>
        <v>260515</v>
      </c>
      <c r="D612" s="3" t="str">
        <f t="shared" si="30"/>
        <v>C00145000</v>
      </c>
      <c r="E612" s="44" t="s">
        <v>276</v>
      </c>
      <c r="F612" s="10">
        <v>145</v>
      </c>
      <c r="G612" s="43">
        <v>63</v>
      </c>
      <c r="H612" s="43">
        <v>64.349999999999994</v>
      </c>
      <c r="I612" s="43">
        <v>67.150000000000006</v>
      </c>
      <c r="J612" s="27">
        <v>0</v>
      </c>
      <c r="K612" s="28">
        <v>0</v>
      </c>
      <c r="L612" s="41">
        <v>10</v>
      </c>
      <c r="M612" s="41">
        <v>16</v>
      </c>
      <c r="N612" s="57">
        <v>0.59640000000000004</v>
      </c>
      <c r="O612" t="s">
        <v>62</v>
      </c>
      <c r="P612" s="9">
        <v>46077</v>
      </c>
      <c r="Q612">
        <v>208.56</v>
      </c>
    </row>
    <row r="613" spans="1:17" x14ac:dyDescent="0.25">
      <c r="A613" s="10" t="s">
        <v>126</v>
      </c>
      <c r="B613" s="3" t="str">
        <f t="shared" si="31"/>
        <v>AMZN</v>
      </c>
      <c r="C613" s="3" t="str">
        <f t="shared" si="29"/>
        <v>260515</v>
      </c>
      <c r="D613" s="3" t="str">
        <f t="shared" si="30"/>
        <v>C00150000</v>
      </c>
      <c r="E613" s="44" t="s">
        <v>277</v>
      </c>
      <c r="F613" s="10">
        <v>150</v>
      </c>
      <c r="G613" s="43">
        <v>61.05</v>
      </c>
      <c r="H613" s="43">
        <v>59.95</v>
      </c>
      <c r="I613" s="43">
        <v>62.45</v>
      </c>
      <c r="J613" s="25">
        <v>3.65</v>
      </c>
      <c r="K613" s="26">
        <v>6.3600000000000004E-2</v>
      </c>
      <c r="L613" s="41">
        <v>12</v>
      </c>
      <c r="M613" s="41">
        <v>109</v>
      </c>
      <c r="N613" s="57">
        <v>0.58220000000000005</v>
      </c>
      <c r="O613" t="s">
        <v>62</v>
      </c>
      <c r="P613" s="9">
        <v>46077</v>
      </c>
      <c r="Q613">
        <v>208.56</v>
      </c>
    </row>
    <row r="614" spans="1:17" x14ac:dyDescent="0.25">
      <c r="A614" s="10" t="s">
        <v>127</v>
      </c>
      <c r="B614" s="3" t="str">
        <f t="shared" si="31"/>
        <v>AMZN</v>
      </c>
      <c r="C614" s="3" t="str">
        <f t="shared" si="29"/>
        <v>260515</v>
      </c>
      <c r="D614" s="3" t="str">
        <f t="shared" si="30"/>
        <v>C00155000</v>
      </c>
      <c r="E614" s="44" t="s">
        <v>278</v>
      </c>
      <c r="F614" s="10">
        <v>155</v>
      </c>
      <c r="G614" s="43">
        <v>57.3</v>
      </c>
      <c r="H614" s="43">
        <v>56.15</v>
      </c>
      <c r="I614" s="43">
        <v>58.1</v>
      </c>
      <c r="J614" s="25">
        <v>4.5</v>
      </c>
      <c r="K614" s="26">
        <v>8.5199999999999998E-2</v>
      </c>
      <c r="L614" s="41">
        <v>1</v>
      </c>
      <c r="M614" s="41">
        <v>92</v>
      </c>
      <c r="N614" s="57">
        <v>0.59009999999999996</v>
      </c>
      <c r="O614" t="s">
        <v>62</v>
      </c>
      <c r="P614" s="9">
        <v>46077</v>
      </c>
      <c r="Q614">
        <v>208.56</v>
      </c>
    </row>
    <row r="615" spans="1:17" x14ac:dyDescent="0.25">
      <c r="A615" s="10" t="s">
        <v>128</v>
      </c>
      <c r="B615" s="3" t="str">
        <f t="shared" si="31"/>
        <v>AMZN</v>
      </c>
      <c r="C615" s="3" t="str">
        <f t="shared" si="29"/>
        <v>260515</v>
      </c>
      <c r="D615" s="3" t="str">
        <f t="shared" si="30"/>
        <v>C00160000</v>
      </c>
      <c r="E615" s="44" t="s">
        <v>279</v>
      </c>
      <c r="F615" s="10">
        <v>160</v>
      </c>
      <c r="G615" s="43">
        <v>51.9</v>
      </c>
      <c r="H615" s="43">
        <v>50.6</v>
      </c>
      <c r="I615" s="43">
        <v>53.45</v>
      </c>
      <c r="J615" s="25">
        <v>-1.9</v>
      </c>
      <c r="K615" s="26">
        <v>-3.5299999999999998E-2</v>
      </c>
      <c r="L615" s="41">
        <v>39</v>
      </c>
      <c r="M615" s="41">
        <v>209</v>
      </c>
      <c r="N615" s="57">
        <v>0.53869999999999996</v>
      </c>
      <c r="O615" t="s">
        <v>62</v>
      </c>
      <c r="P615" s="9">
        <v>46077</v>
      </c>
      <c r="Q615">
        <v>208.56</v>
      </c>
    </row>
    <row r="616" spans="1:17" x14ac:dyDescent="0.25">
      <c r="A616" s="10" t="s">
        <v>129</v>
      </c>
      <c r="B616" s="3" t="str">
        <f t="shared" si="31"/>
        <v>AMZN</v>
      </c>
      <c r="C616" s="3" t="str">
        <f t="shared" si="29"/>
        <v>260515</v>
      </c>
      <c r="D616" s="3" t="str">
        <f t="shared" si="30"/>
        <v>C00165000</v>
      </c>
      <c r="E616" s="44" t="s">
        <v>280</v>
      </c>
      <c r="F616" s="10">
        <v>165</v>
      </c>
      <c r="G616" s="43">
        <v>47.96</v>
      </c>
      <c r="H616" s="43">
        <v>46.1</v>
      </c>
      <c r="I616" s="43">
        <v>47.85</v>
      </c>
      <c r="J616" s="25">
        <v>2.76</v>
      </c>
      <c r="K616" s="26">
        <v>6.1100000000000002E-2</v>
      </c>
      <c r="L616" s="41">
        <v>6</v>
      </c>
      <c r="M616" s="41">
        <v>135</v>
      </c>
      <c r="N616" s="57">
        <v>0.53210000000000002</v>
      </c>
      <c r="O616" t="s">
        <v>62</v>
      </c>
      <c r="P616" s="9">
        <v>46077</v>
      </c>
      <c r="Q616">
        <v>208.56</v>
      </c>
    </row>
    <row r="617" spans="1:17" x14ac:dyDescent="0.25">
      <c r="A617" s="10" t="s">
        <v>130</v>
      </c>
      <c r="B617" s="3" t="str">
        <f t="shared" si="31"/>
        <v>AMZN</v>
      </c>
      <c r="C617" s="3" t="str">
        <f t="shared" si="29"/>
        <v>260515</v>
      </c>
      <c r="D617" s="3" t="str">
        <f t="shared" si="30"/>
        <v>C00170000</v>
      </c>
      <c r="E617" s="44" t="s">
        <v>281</v>
      </c>
      <c r="F617" s="10">
        <v>170</v>
      </c>
      <c r="G617" s="43">
        <v>44.37</v>
      </c>
      <c r="H617" s="43">
        <v>41.85</v>
      </c>
      <c r="I617" s="43">
        <v>44.3</v>
      </c>
      <c r="J617" s="25">
        <v>4.2699999999999996</v>
      </c>
      <c r="K617" s="26">
        <v>0.1065</v>
      </c>
      <c r="L617" s="41">
        <v>47</v>
      </c>
      <c r="M617" s="41">
        <v>279</v>
      </c>
      <c r="N617" s="57">
        <v>0.54500000000000004</v>
      </c>
      <c r="O617" t="s">
        <v>62</v>
      </c>
      <c r="P617" s="9">
        <v>46077</v>
      </c>
      <c r="Q617">
        <v>208.56</v>
      </c>
    </row>
    <row r="618" spans="1:17" x14ac:dyDescent="0.25">
      <c r="A618" s="10" t="s">
        <v>131</v>
      </c>
      <c r="B618" s="3" t="str">
        <f t="shared" si="31"/>
        <v>AMZN</v>
      </c>
      <c r="C618" s="3" t="str">
        <f t="shared" si="29"/>
        <v>260515</v>
      </c>
      <c r="D618" s="3" t="str">
        <f t="shared" si="30"/>
        <v>C00175000</v>
      </c>
      <c r="E618" s="44" t="s">
        <v>282</v>
      </c>
      <c r="F618" s="10">
        <v>175</v>
      </c>
      <c r="G618" s="43">
        <v>38.799999999999997</v>
      </c>
      <c r="H618" s="43">
        <v>38.549999999999997</v>
      </c>
      <c r="I618" s="43">
        <v>40.299999999999997</v>
      </c>
      <c r="J618" s="25">
        <v>3.3</v>
      </c>
      <c r="K618" s="26">
        <v>9.2999999999999999E-2</v>
      </c>
      <c r="L618" s="41">
        <v>15</v>
      </c>
      <c r="M618" s="41">
        <v>341</v>
      </c>
      <c r="N618" s="57">
        <v>0.50060000000000004</v>
      </c>
      <c r="O618" t="s">
        <v>62</v>
      </c>
      <c r="P618" s="9">
        <v>46077</v>
      </c>
      <c r="Q618">
        <v>208.56</v>
      </c>
    </row>
    <row r="619" spans="1:17" x14ac:dyDescent="0.25">
      <c r="A619" s="10" t="s">
        <v>132</v>
      </c>
      <c r="B619" s="3" t="str">
        <f t="shared" si="31"/>
        <v>AMZN</v>
      </c>
      <c r="C619" s="3" t="str">
        <f t="shared" si="29"/>
        <v>260515</v>
      </c>
      <c r="D619" s="3" t="str">
        <f t="shared" si="30"/>
        <v>C00180000</v>
      </c>
      <c r="E619" s="44" t="s">
        <v>283</v>
      </c>
      <c r="F619" s="10">
        <v>180</v>
      </c>
      <c r="G619" s="43">
        <v>34.950000000000003</v>
      </c>
      <c r="H619" s="43">
        <v>34.450000000000003</v>
      </c>
      <c r="I619" s="43">
        <v>35.049999999999997</v>
      </c>
      <c r="J619" s="25">
        <v>2.75</v>
      </c>
      <c r="K619" s="26">
        <v>8.5400000000000004E-2</v>
      </c>
      <c r="L619" s="41">
        <v>13</v>
      </c>
      <c r="M619" s="41">
        <v>805</v>
      </c>
      <c r="N619" s="57">
        <v>0.4733</v>
      </c>
      <c r="O619" t="s">
        <v>62</v>
      </c>
      <c r="P619" s="9">
        <v>46077</v>
      </c>
      <c r="Q619">
        <v>208.56</v>
      </c>
    </row>
    <row r="620" spans="1:17" x14ac:dyDescent="0.25">
      <c r="A620" s="10" t="s">
        <v>133</v>
      </c>
      <c r="B620" s="3" t="str">
        <f t="shared" si="31"/>
        <v>AMZN</v>
      </c>
      <c r="C620" s="3" t="str">
        <f t="shared" si="29"/>
        <v>260515</v>
      </c>
      <c r="D620" s="3" t="str">
        <f t="shared" si="30"/>
        <v>C00185000</v>
      </c>
      <c r="E620" s="44" t="s">
        <v>284</v>
      </c>
      <c r="F620" s="10">
        <v>185</v>
      </c>
      <c r="G620" s="43">
        <v>31.55</v>
      </c>
      <c r="H620" s="43">
        <v>29.75</v>
      </c>
      <c r="I620" s="43">
        <v>32.200000000000003</v>
      </c>
      <c r="J620" s="25">
        <v>3.55</v>
      </c>
      <c r="K620" s="26">
        <v>0.1268</v>
      </c>
      <c r="L620" s="41">
        <v>101</v>
      </c>
      <c r="M620" s="41">
        <v>357</v>
      </c>
      <c r="N620" s="57">
        <v>0.49199999999999999</v>
      </c>
      <c r="O620" t="s">
        <v>62</v>
      </c>
      <c r="P620" s="9">
        <v>46077</v>
      </c>
      <c r="Q620">
        <v>208.56</v>
      </c>
    </row>
    <row r="621" spans="1:17" x14ac:dyDescent="0.25">
      <c r="A621" s="10" t="s">
        <v>134</v>
      </c>
      <c r="B621" s="3" t="str">
        <f t="shared" si="31"/>
        <v>AMZN</v>
      </c>
      <c r="C621" s="3" t="str">
        <f t="shared" si="29"/>
        <v>260515</v>
      </c>
      <c r="D621" s="3" t="str">
        <f t="shared" si="30"/>
        <v>C00190000</v>
      </c>
      <c r="E621" s="44" t="s">
        <v>285</v>
      </c>
      <c r="F621" s="10">
        <v>190</v>
      </c>
      <c r="G621" s="43">
        <v>27.32</v>
      </c>
      <c r="H621" s="43">
        <v>26.55</v>
      </c>
      <c r="I621" s="43">
        <v>27.5</v>
      </c>
      <c r="J621" s="25">
        <v>2.3199999999999998</v>
      </c>
      <c r="K621" s="26">
        <v>9.2799999999999994E-2</v>
      </c>
      <c r="L621" s="41">
        <v>63</v>
      </c>
      <c r="M621" s="58">
        <v>23096</v>
      </c>
      <c r="N621" s="57">
        <v>0.44690000000000002</v>
      </c>
      <c r="O621" t="s">
        <v>62</v>
      </c>
      <c r="P621" s="9">
        <v>46077</v>
      </c>
      <c r="Q621">
        <v>208.56</v>
      </c>
    </row>
    <row r="622" spans="1:17" x14ac:dyDescent="0.25">
      <c r="A622" s="10" t="s">
        <v>135</v>
      </c>
      <c r="B622" s="3" t="str">
        <f t="shared" si="31"/>
        <v>AMZN</v>
      </c>
      <c r="C622" s="3" t="str">
        <f t="shared" si="29"/>
        <v>260515</v>
      </c>
      <c r="D622" s="3" t="str">
        <f t="shared" si="30"/>
        <v>C00195000</v>
      </c>
      <c r="E622" s="44" t="s">
        <v>286</v>
      </c>
      <c r="F622" s="10">
        <v>195</v>
      </c>
      <c r="G622" s="43">
        <v>24.65</v>
      </c>
      <c r="H622" s="43">
        <v>23</v>
      </c>
      <c r="I622" s="43">
        <v>24.75</v>
      </c>
      <c r="J622" s="25">
        <v>2.79</v>
      </c>
      <c r="K622" s="26">
        <v>0.12759999999999999</v>
      </c>
      <c r="L622" s="41">
        <v>29</v>
      </c>
      <c r="M622" s="58">
        <v>1458</v>
      </c>
      <c r="N622" s="57">
        <v>0.45529999999999998</v>
      </c>
      <c r="O622" t="s">
        <v>62</v>
      </c>
      <c r="P622" s="9">
        <v>46077</v>
      </c>
      <c r="Q622">
        <v>208.56</v>
      </c>
    </row>
    <row r="623" spans="1:17" x14ac:dyDescent="0.25">
      <c r="A623" s="10" t="s">
        <v>136</v>
      </c>
      <c r="B623" s="3" t="str">
        <f t="shared" si="31"/>
        <v>AMZN</v>
      </c>
      <c r="C623" s="3" t="str">
        <f t="shared" si="29"/>
        <v>260515</v>
      </c>
      <c r="D623" s="3" t="str">
        <f t="shared" si="30"/>
        <v>C00200000</v>
      </c>
      <c r="E623" s="44" t="s">
        <v>287</v>
      </c>
      <c r="F623" s="10">
        <v>200</v>
      </c>
      <c r="G623" s="43">
        <v>20.75</v>
      </c>
      <c r="H623" s="43">
        <v>20.65</v>
      </c>
      <c r="I623" s="43">
        <v>20.9</v>
      </c>
      <c r="J623" s="29">
        <v>1.85</v>
      </c>
      <c r="K623" s="30">
        <v>9.7900000000000001E-2</v>
      </c>
      <c r="L623" s="58">
        <v>3150</v>
      </c>
      <c r="M623" s="58">
        <v>15767</v>
      </c>
      <c r="N623" s="57">
        <v>0.4269</v>
      </c>
      <c r="O623" t="s">
        <v>62</v>
      </c>
      <c r="P623" s="9">
        <v>46077</v>
      </c>
      <c r="Q623">
        <v>208.56</v>
      </c>
    </row>
    <row r="624" spans="1:17" x14ac:dyDescent="0.25">
      <c r="A624" s="10" t="s">
        <v>137</v>
      </c>
      <c r="B624" s="3" t="str">
        <f t="shared" si="31"/>
        <v>AMZN</v>
      </c>
      <c r="C624" s="3" t="str">
        <f t="shared" si="29"/>
        <v>260515</v>
      </c>
      <c r="D624" s="3" t="str">
        <f t="shared" si="30"/>
        <v>C00205000</v>
      </c>
      <c r="E624" s="44" t="s">
        <v>279</v>
      </c>
      <c r="F624" s="10">
        <v>205</v>
      </c>
      <c r="G624" s="43">
        <v>17.75</v>
      </c>
      <c r="H624" s="43">
        <v>17.8</v>
      </c>
      <c r="I624" s="43">
        <v>18</v>
      </c>
      <c r="J624" s="29">
        <v>1.55</v>
      </c>
      <c r="K624" s="30">
        <v>9.5699999999999993E-2</v>
      </c>
      <c r="L624" s="58">
        <v>1310</v>
      </c>
      <c r="M624" s="58">
        <v>9941</v>
      </c>
      <c r="N624" s="57">
        <v>0.41899999999999998</v>
      </c>
      <c r="O624" t="s">
        <v>62</v>
      </c>
      <c r="P624" s="9">
        <v>46077</v>
      </c>
      <c r="Q624">
        <v>208.56</v>
      </c>
    </row>
    <row r="625" spans="1:17" x14ac:dyDescent="0.25">
      <c r="A625" s="10" t="s">
        <v>138</v>
      </c>
      <c r="B625" s="3" t="str">
        <f t="shared" si="31"/>
        <v>AMZN</v>
      </c>
      <c r="C625" s="3" t="str">
        <f t="shared" si="29"/>
        <v>260515</v>
      </c>
      <c r="D625" s="3" t="str">
        <f t="shared" si="30"/>
        <v>C00210000</v>
      </c>
      <c r="E625" s="44" t="s">
        <v>283</v>
      </c>
      <c r="F625" s="10">
        <v>210</v>
      </c>
      <c r="G625" s="43">
        <v>15.2</v>
      </c>
      <c r="H625" s="43">
        <v>15.2</v>
      </c>
      <c r="I625" s="43">
        <v>16</v>
      </c>
      <c r="J625" s="29">
        <v>1.5</v>
      </c>
      <c r="K625" s="30">
        <v>0.1095</v>
      </c>
      <c r="L625" s="41">
        <v>933</v>
      </c>
      <c r="M625" s="58">
        <v>8600</v>
      </c>
      <c r="N625" s="57">
        <v>0.42820000000000003</v>
      </c>
      <c r="O625" t="s">
        <v>62</v>
      </c>
      <c r="P625" s="9">
        <v>46077</v>
      </c>
      <c r="Q625">
        <v>208.56</v>
      </c>
    </row>
    <row r="626" spans="1:17" x14ac:dyDescent="0.25">
      <c r="A626" s="10" t="s">
        <v>139</v>
      </c>
      <c r="B626" s="3" t="str">
        <f t="shared" si="31"/>
        <v>AMZN</v>
      </c>
      <c r="C626" s="3" t="str">
        <f t="shared" si="29"/>
        <v>260515</v>
      </c>
      <c r="D626" s="3" t="str">
        <f t="shared" si="30"/>
        <v>C00215000</v>
      </c>
      <c r="E626" s="44" t="s">
        <v>288</v>
      </c>
      <c r="F626" s="10">
        <v>215</v>
      </c>
      <c r="G626" s="43">
        <v>12.8</v>
      </c>
      <c r="H626" s="43">
        <v>12.85</v>
      </c>
      <c r="I626" s="43">
        <v>13</v>
      </c>
      <c r="J626" s="27">
        <v>1.37</v>
      </c>
      <c r="K626" s="28">
        <v>0.11990000000000001</v>
      </c>
      <c r="L626" s="41">
        <v>424</v>
      </c>
      <c r="M626" s="58">
        <v>3090</v>
      </c>
      <c r="N626" s="57">
        <v>0.40550000000000003</v>
      </c>
      <c r="O626" t="s">
        <v>62</v>
      </c>
      <c r="P626" s="9">
        <v>46077</v>
      </c>
      <c r="Q626">
        <v>208.56</v>
      </c>
    </row>
    <row r="627" spans="1:17" x14ac:dyDescent="0.25">
      <c r="A627" s="10" t="s">
        <v>140</v>
      </c>
      <c r="B627" s="3" t="str">
        <f t="shared" si="31"/>
        <v>AMZN</v>
      </c>
      <c r="C627" s="3" t="str">
        <f t="shared" si="29"/>
        <v>260515</v>
      </c>
      <c r="D627" s="3" t="str">
        <f t="shared" si="30"/>
        <v>C00220000</v>
      </c>
      <c r="E627" s="44" t="s">
        <v>283</v>
      </c>
      <c r="F627" s="10">
        <v>220</v>
      </c>
      <c r="G627" s="43">
        <v>10.85</v>
      </c>
      <c r="H627" s="43">
        <v>10.75</v>
      </c>
      <c r="I627" s="43">
        <v>10.9</v>
      </c>
      <c r="J627" s="29">
        <v>1.35</v>
      </c>
      <c r="K627" s="30">
        <v>0.1421</v>
      </c>
      <c r="L627" s="58">
        <v>1135</v>
      </c>
      <c r="M627" s="58">
        <v>7820</v>
      </c>
      <c r="N627" s="57">
        <v>0.3997</v>
      </c>
      <c r="O627" t="s">
        <v>62</v>
      </c>
      <c r="P627" s="9">
        <v>46077</v>
      </c>
      <c r="Q627">
        <v>208.56</v>
      </c>
    </row>
    <row r="628" spans="1:17" x14ac:dyDescent="0.25">
      <c r="A628" s="10" t="s">
        <v>141</v>
      </c>
      <c r="B628" s="3" t="str">
        <f t="shared" si="31"/>
        <v>AMZN</v>
      </c>
      <c r="C628" s="3" t="str">
        <f t="shared" ref="C628:C691" si="32">+MID(A628,5,6)</f>
        <v>260515</v>
      </c>
      <c r="D628" s="3" t="str">
        <f t="shared" ref="D628:D691" si="33">+MID(A628,11,10)</f>
        <v>C00225000</v>
      </c>
      <c r="E628" s="44" t="s">
        <v>289</v>
      </c>
      <c r="F628" s="10">
        <v>225</v>
      </c>
      <c r="G628" s="43">
        <v>9.0500000000000007</v>
      </c>
      <c r="H628" s="43">
        <v>9</v>
      </c>
      <c r="I628" s="43">
        <v>9.1</v>
      </c>
      <c r="J628" s="29">
        <v>1.1499999999999999</v>
      </c>
      <c r="K628" s="30">
        <v>0.14560000000000001</v>
      </c>
      <c r="L628" s="41">
        <v>287</v>
      </c>
      <c r="M628" s="58">
        <v>6253</v>
      </c>
      <c r="N628" s="57">
        <v>0.39579999999999999</v>
      </c>
      <c r="O628" t="s">
        <v>62</v>
      </c>
      <c r="P628" s="9">
        <v>46077</v>
      </c>
      <c r="Q628">
        <v>208.56</v>
      </c>
    </row>
    <row r="629" spans="1:17" x14ac:dyDescent="0.25">
      <c r="A629" s="10" t="s">
        <v>142</v>
      </c>
      <c r="B629" s="3" t="str">
        <f t="shared" si="31"/>
        <v>AMZN</v>
      </c>
      <c r="C629" s="3" t="str">
        <f t="shared" si="32"/>
        <v>260515</v>
      </c>
      <c r="D629" s="3" t="str">
        <f t="shared" si="33"/>
        <v>C00230000</v>
      </c>
      <c r="E629" s="44" t="s">
        <v>289</v>
      </c>
      <c r="F629" s="10">
        <v>230</v>
      </c>
      <c r="G629" s="43">
        <v>7.47</v>
      </c>
      <c r="H629" s="43">
        <v>7.4</v>
      </c>
      <c r="I629" s="43">
        <v>7.55</v>
      </c>
      <c r="J629" s="27">
        <v>0.92</v>
      </c>
      <c r="K629" s="28">
        <v>0.14050000000000001</v>
      </c>
      <c r="L629" s="58">
        <v>3967</v>
      </c>
      <c r="M629" s="58">
        <v>13414</v>
      </c>
      <c r="N629" s="57">
        <v>0.39250000000000002</v>
      </c>
      <c r="O629" t="s">
        <v>62</v>
      </c>
      <c r="P629" s="9">
        <v>46077</v>
      </c>
      <c r="Q629">
        <v>208.56</v>
      </c>
    </row>
    <row r="630" spans="1:17" x14ac:dyDescent="0.25">
      <c r="A630" s="10" t="s">
        <v>143</v>
      </c>
      <c r="B630" s="3" t="str">
        <f t="shared" si="31"/>
        <v>AMZN</v>
      </c>
      <c r="C630" s="3" t="str">
        <f t="shared" si="32"/>
        <v>260515</v>
      </c>
      <c r="D630" s="3" t="str">
        <f t="shared" si="33"/>
        <v>C00235000</v>
      </c>
      <c r="E630" s="44" t="s">
        <v>289</v>
      </c>
      <c r="F630" s="10">
        <v>235</v>
      </c>
      <c r="G630" s="43">
        <v>6.14</v>
      </c>
      <c r="H630" s="43">
        <v>6.1</v>
      </c>
      <c r="I630" s="43">
        <v>6.2</v>
      </c>
      <c r="J630" s="27">
        <v>0.84</v>
      </c>
      <c r="K630" s="28">
        <v>0.1585</v>
      </c>
      <c r="L630" s="58">
        <v>1992</v>
      </c>
      <c r="M630" s="58">
        <v>7751</v>
      </c>
      <c r="N630" s="57">
        <v>0.38919999999999999</v>
      </c>
      <c r="O630" t="s">
        <v>62</v>
      </c>
      <c r="P630" s="9">
        <v>46077</v>
      </c>
      <c r="Q630">
        <v>208.56</v>
      </c>
    </row>
    <row r="631" spans="1:17" x14ac:dyDescent="0.25">
      <c r="A631" s="10" t="s">
        <v>144</v>
      </c>
      <c r="B631" s="3" t="str">
        <f t="shared" si="31"/>
        <v>AMZN</v>
      </c>
      <c r="C631" s="3" t="str">
        <f t="shared" si="32"/>
        <v>260515</v>
      </c>
      <c r="D631" s="3" t="str">
        <f t="shared" si="33"/>
        <v>C00240000</v>
      </c>
      <c r="E631" s="44" t="s">
        <v>287</v>
      </c>
      <c r="F631" s="10">
        <v>240</v>
      </c>
      <c r="G631" s="43">
        <v>5.0199999999999996</v>
      </c>
      <c r="H631" s="43">
        <v>5</v>
      </c>
      <c r="I631" s="43">
        <v>5.0999999999999996</v>
      </c>
      <c r="J631" s="25">
        <v>0.67</v>
      </c>
      <c r="K631" s="26">
        <v>0.154</v>
      </c>
      <c r="L631" s="58">
        <v>1031</v>
      </c>
      <c r="M631" s="58">
        <v>12036</v>
      </c>
      <c r="N631" s="57">
        <v>0.3876</v>
      </c>
      <c r="O631" t="s">
        <v>62</v>
      </c>
      <c r="P631" s="9">
        <v>46077</v>
      </c>
      <c r="Q631">
        <v>208.56</v>
      </c>
    </row>
    <row r="632" spans="1:17" x14ac:dyDescent="0.25">
      <c r="A632" s="10" t="s">
        <v>145</v>
      </c>
      <c r="B632" s="3" t="str">
        <f t="shared" si="31"/>
        <v>AMZN</v>
      </c>
      <c r="C632" s="3" t="str">
        <f t="shared" si="32"/>
        <v>260515</v>
      </c>
      <c r="D632" s="3" t="str">
        <f t="shared" si="33"/>
        <v>C00245000</v>
      </c>
      <c r="E632" s="44" t="s">
        <v>290</v>
      </c>
      <c r="F632" s="10">
        <v>245</v>
      </c>
      <c r="G632" s="43">
        <v>4.0999999999999996</v>
      </c>
      <c r="H632" s="43">
        <v>4.05</v>
      </c>
      <c r="I632" s="43">
        <v>4.1500000000000004</v>
      </c>
      <c r="J632" s="27">
        <v>0.6</v>
      </c>
      <c r="K632" s="28">
        <v>0.1714</v>
      </c>
      <c r="L632" s="41">
        <v>467</v>
      </c>
      <c r="M632" s="58">
        <v>6656</v>
      </c>
      <c r="N632" s="57">
        <v>0.3856</v>
      </c>
      <c r="O632" t="s">
        <v>62</v>
      </c>
      <c r="P632" s="9">
        <v>46077</v>
      </c>
      <c r="Q632">
        <v>208.56</v>
      </c>
    </row>
    <row r="633" spans="1:17" x14ac:dyDescent="0.25">
      <c r="A633" s="10" t="s">
        <v>146</v>
      </c>
      <c r="B633" s="3" t="str">
        <f t="shared" si="31"/>
        <v>AMZN</v>
      </c>
      <c r="C633" s="3" t="str">
        <f t="shared" si="32"/>
        <v>260515</v>
      </c>
      <c r="D633" s="3" t="str">
        <f t="shared" si="33"/>
        <v>C00250000</v>
      </c>
      <c r="E633" s="44" t="s">
        <v>289</v>
      </c>
      <c r="F633" s="10">
        <v>250</v>
      </c>
      <c r="G633" s="43">
        <v>3.34</v>
      </c>
      <c r="H633" s="43">
        <v>3.3</v>
      </c>
      <c r="I633" s="43">
        <v>3.4</v>
      </c>
      <c r="J633" s="27">
        <v>0.52</v>
      </c>
      <c r="K633" s="28">
        <v>0.18440000000000001</v>
      </c>
      <c r="L633" s="58">
        <v>3802</v>
      </c>
      <c r="M633" s="58">
        <v>34833</v>
      </c>
      <c r="N633" s="57">
        <v>0.3856</v>
      </c>
      <c r="O633" t="s">
        <v>62</v>
      </c>
      <c r="P633" s="9">
        <v>46077</v>
      </c>
      <c r="Q633">
        <v>208.56</v>
      </c>
    </row>
    <row r="634" spans="1:17" x14ac:dyDescent="0.25">
      <c r="A634" s="10" t="s">
        <v>147</v>
      </c>
      <c r="B634" s="3" t="str">
        <f t="shared" si="31"/>
        <v>AMZN</v>
      </c>
      <c r="C634" s="3" t="str">
        <f t="shared" si="32"/>
        <v>260515</v>
      </c>
      <c r="D634" s="3" t="str">
        <f t="shared" si="33"/>
        <v>C00255000</v>
      </c>
      <c r="E634" s="44" t="s">
        <v>291</v>
      </c>
      <c r="F634" s="10">
        <v>255</v>
      </c>
      <c r="G634" s="43">
        <v>2.68</v>
      </c>
      <c r="H634" s="43">
        <v>2.68</v>
      </c>
      <c r="I634" s="43">
        <v>2.73</v>
      </c>
      <c r="J634" s="27">
        <v>0.42</v>
      </c>
      <c r="K634" s="28">
        <v>0.18579999999999999</v>
      </c>
      <c r="L634" s="41">
        <v>219</v>
      </c>
      <c r="M634" s="58">
        <v>2891</v>
      </c>
      <c r="N634" s="57">
        <v>0.38369999999999999</v>
      </c>
      <c r="O634" t="s">
        <v>62</v>
      </c>
      <c r="P634" s="9">
        <v>46077</v>
      </c>
      <c r="Q634">
        <v>208.56</v>
      </c>
    </row>
    <row r="635" spans="1:17" x14ac:dyDescent="0.25">
      <c r="A635" s="10" t="s">
        <v>148</v>
      </c>
      <c r="B635" s="3" t="str">
        <f t="shared" si="31"/>
        <v>AMZN</v>
      </c>
      <c r="C635" s="3" t="str">
        <f t="shared" si="32"/>
        <v>260515</v>
      </c>
      <c r="D635" s="3" t="str">
        <f t="shared" si="33"/>
        <v>C00260000</v>
      </c>
      <c r="E635" s="44" t="s">
        <v>285</v>
      </c>
      <c r="F635" s="10">
        <v>260</v>
      </c>
      <c r="G635" s="43">
        <v>2.1800000000000002</v>
      </c>
      <c r="H635" s="43">
        <v>2.1800000000000002</v>
      </c>
      <c r="I635" s="43">
        <v>2.2200000000000002</v>
      </c>
      <c r="J635" s="27">
        <v>0.33</v>
      </c>
      <c r="K635" s="28">
        <v>0.1784</v>
      </c>
      <c r="L635" s="41">
        <v>479</v>
      </c>
      <c r="M635" s="58">
        <v>30758</v>
      </c>
      <c r="N635" s="57">
        <v>0.38400000000000001</v>
      </c>
      <c r="O635" t="s">
        <v>62</v>
      </c>
      <c r="P635" s="9">
        <v>46077</v>
      </c>
      <c r="Q635">
        <v>208.56</v>
      </c>
    </row>
    <row r="636" spans="1:17" x14ac:dyDescent="0.25">
      <c r="A636" s="10" t="s">
        <v>149</v>
      </c>
      <c r="B636" s="3" t="str">
        <f t="shared" si="31"/>
        <v>AMZN</v>
      </c>
      <c r="C636" s="3" t="str">
        <f t="shared" si="32"/>
        <v>260515</v>
      </c>
      <c r="D636" s="3" t="str">
        <f t="shared" si="33"/>
        <v>C00265000</v>
      </c>
      <c r="E636" s="44" t="s">
        <v>279</v>
      </c>
      <c r="F636" s="10">
        <v>265</v>
      </c>
      <c r="G636" s="43">
        <v>1.77</v>
      </c>
      <c r="H636" s="43">
        <v>1.77</v>
      </c>
      <c r="I636" s="43">
        <v>1.81</v>
      </c>
      <c r="J636" s="27">
        <v>0.26</v>
      </c>
      <c r="K636" s="28">
        <v>0.17219999999999999</v>
      </c>
      <c r="L636" s="41">
        <v>236</v>
      </c>
      <c r="M636" s="58">
        <v>2499</v>
      </c>
      <c r="N636" s="57">
        <v>0.38500000000000001</v>
      </c>
      <c r="O636" t="s">
        <v>62</v>
      </c>
      <c r="P636" s="9">
        <v>46077</v>
      </c>
      <c r="Q636">
        <v>208.56</v>
      </c>
    </row>
    <row r="637" spans="1:17" x14ac:dyDescent="0.25">
      <c r="A637" s="10" t="s">
        <v>150</v>
      </c>
      <c r="B637" s="3" t="str">
        <f t="shared" si="31"/>
        <v>AMZN</v>
      </c>
      <c r="C637" s="3" t="str">
        <f t="shared" si="32"/>
        <v>260515</v>
      </c>
      <c r="D637" s="3" t="str">
        <f t="shared" si="33"/>
        <v>C00270000</v>
      </c>
      <c r="E637" s="44" t="s">
        <v>292</v>
      </c>
      <c r="F637" s="10">
        <v>270</v>
      </c>
      <c r="G637" s="43">
        <v>1.44</v>
      </c>
      <c r="H637" s="43">
        <v>1.43</v>
      </c>
      <c r="I637" s="43">
        <v>1.48</v>
      </c>
      <c r="J637" s="25">
        <v>0.23</v>
      </c>
      <c r="K637" s="26">
        <v>0.19009999999999999</v>
      </c>
      <c r="L637" s="41">
        <v>221</v>
      </c>
      <c r="M637" s="58">
        <v>4691</v>
      </c>
      <c r="N637" s="57">
        <v>0.38650000000000001</v>
      </c>
      <c r="O637" t="s">
        <v>62</v>
      </c>
      <c r="P637" s="9">
        <v>46077</v>
      </c>
      <c r="Q637">
        <v>208.56</v>
      </c>
    </row>
    <row r="638" spans="1:17" x14ac:dyDescent="0.25">
      <c r="A638" s="10" t="s">
        <v>151</v>
      </c>
      <c r="B638" s="3" t="str">
        <f t="shared" si="31"/>
        <v>AMZN</v>
      </c>
      <c r="C638" s="3" t="str">
        <f t="shared" si="32"/>
        <v>260515</v>
      </c>
      <c r="D638" s="3" t="str">
        <f t="shared" si="33"/>
        <v>C00275000</v>
      </c>
      <c r="E638" s="44" t="s">
        <v>293</v>
      </c>
      <c r="F638" s="10">
        <v>275</v>
      </c>
      <c r="G638" s="43">
        <v>1.19</v>
      </c>
      <c r="H638" s="43">
        <v>1.17</v>
      </c>
      <c r="I638" s="43">
        <v>1.21</v>
      </c>
      <c r="J638" s="25">
        <v>0.19</v>
      </c>
      <c r="K638" s="26">
        <v>0.19</v>
      </c>
      <c r="L638" s="41">
        <v>120</v>
      </c>
      <c r="M638" s="58">
        <v>7750</v>
      </c>
      <c r="N638" s="57">
        <v>0.38819999999999999</v>
      </c>
      <c r="O638" t="s">
        <v>62</v>
      </c>
      <c r="P638" s="9">
        <v>46077</v>
      </c>
      <c r="Q638">
        <v>208.56</v>
      </c>
    </row>
    <row r="639" spans="1:17" x14ac:dyDescent="0.25">
      <c r="A639" s="10" t="s">
        <v>152</v>
      </c>
      <c r="B639" s="3" t="str">
        <f t="shared" si="31"/>
        <v>AMZN</v>
      </c>
      <c r="C639" s="3" t="str">
        <f t="shared" si="32"/>
        <v>260515</v>
      </c>
      <c r="D639" s="3" t="str">
        <f t="shared" si="33"/>
        <v>C00280000</v>
      </c>
      <c r="E639" s="44" t="s">
        <v>294</v>
      </c>
      <c r="F639" s="10">
        <v>280</v>
      </c>
      <c r="G639" s="43">
        <v>1.03</v>
      </c>
      <c r="H639" s="43">
        <v>0.96</v>
      </c>
      <c r="I639" s="43">
        <v>1</v>
      </c>
      <c r="J639" s="25">
        <v>0.22</v>
      </c>
      <c r="K639" s="26">
        <v>0.27160000000000001</v>
      </c>
      <c r="L639" s="41">
        <v>95</v>
      </c>
      <c r="M639" s="58">
        <v>8879</v>
      </c>
      <c r="N639" s="57">
        <v>0.39079999999999998</v>
      </c>
      <c r="O639" t="s">
        <v>62</v>
      </c>
      <c r="P639" s="9">
        <v>46077</v>
      </c>
      <c r="Q639">
        <v>208.56</v>
      </c>
    </row>
    <row r="640" spans="1:17" x14ac:dyDescent="0.25">
      <c r="A640" s="10" t="s">
        <v>153</v>
      </c>
      <c r="B640" s="3" t="str">
        <f t="shared" si="31"/>
        <v>AMZN</v>
      </c>
      <c r="C640" s="3" t="str">
        <f t="shared" si="32"/>
        <v>260515</v>
      </c>
      <c r="D640" s="3" t="str">
        <f t="shared" si="33"/>
        <v>C00285000</v>
      </c>
      <c r="E640" s="44" t="s">
        <v>295</v>
      </c>
      <c r="F640" s="10">
        <v>285</v>
      </c>
      <c r="G640" s="43">
        <v>0.8</v>
      </c>
      <c r="H640" s="43">
        <v>0.79</v>
      </c>
      <c r="I640" s="43">
        <v>0.82</v>
      </c>
      <c r="J640" s="25">
        <v>0.12</v>
      </c>
      <c r="K640" s="26">
        <v>0.17649999999999999</v>
      </c>
      <c r="L640" s="58">
        <v>12638</v>
      </c>
      <c r="M640" s="58">
        <v>17095</v>
      </c>
      <c r="N640" s="57">
        <v>0.3926</v>
      </c>
      <c r="O640" t="s">
        <v>62</v>
      </c>
      <c r="P640" s="9">
        <v>46077</v>
      </c>
      <c r="Q640">
        <v>208.56</v>
      </c>
    </row>
    <row r="641" spans="1:17" x14ac:dyDescent="0.25">
      <c r="A641" s="10" t="s">
        <v>154</v>
      </c>
      <c r="B641" s="3" t="str">
        <f t="shared" si="31"/>
        <v>AMZN</v>
      </c>
      <c r="C641" s="3" t="str">
        <f t="shared" si="32"/>
        <v>260515</v>
      </c>
      <c r="D641" s="3" t="str">
        <f t="shared" si="33"/>
        <v>C00290000</v>
      </c>
      <c r="E641" s="44" t="s">
        <v>286</v>
      </c>
      <c r="F641" s="10">
        <v>290</v>
      </c>
      <c r="G641" s="43">
        <v>0.7</v>
      </c>
      <c r="H641" s="43">
        <v>0.65</v>
      </c>
      <c r="I641" s="43">
        <v>0.83</v>
      </c>
      <c r="J641" s="25">
        <v>0.17</v>
      </c>
      <c r="K641" s="26">
        <v>0.32079999999999997</v>
      </c>
      <c r="L641" s="41">
        <v>20</v>
      </c>
      <c r="M641" s="58">
        <v>3492</v>
      </c>
      <c r="N641" s="57">
        <v>0.41049999999999998</v>
      </c>
      <c r="O641" t="s">
        <v>62</v>
      </c>
      <c r="P641" s="9">
        <v>46077</v>
      </c>
      <c r="Q641">
        <v>208.56</v>
      </c>
    </row>
    <row r="642" spans="1:17" x14ac:dyDescent="0.25">
      <c r="A642" s="10" t="s">
        <v>155</v>
      </c>
      <c r="B642" s="3" t="str">
        <f t="shared" si="31"/>
        <v>AMZN</v>
      </c>
      <c r="C642" s="3" t="str">
        <f t="shared" si="32"/>
        <v>260515</v>
      </c>
      <c r="D642" s="3" t="str">
        <f t="shared" si="33"/>
        <v>C00295000</v>
      </c>
      <c r="E642" s="44" t="s">
        <v>296</v>
      </c>
      <c r="F642" s="10">
        <v>295</v>
      </c>
      <c r="G642" s="43">
        <v>0.56999999999999995</v>
      </c>
      <c r="H642" s="43">
        <v>0.53</v>
      </c>
      <c r="I642" s="43">
        <v>0.56999999999999995</v>
      </c>
      <c r="J642" s="25">
        <v>0.14000000000000001</v>
      </c>
      <c r="K642" s="26">
        <v>0.3256</v>
      </c>
      <c r="L642" s="41">
        <v>43</v>
      </c>
      <c r="M642" s="58">
        <v>1175</v>
      </c>
      <c r="N642" s="57">
        <v>0.3987</v>
      </c>
      <c r="O642" t="s">
        <v>62</v>
      </c>
      <c r="P642" s="9">
        <v>46077</v>
      </c>
      <c r="Q642">
        <v>208.56</v>
      </c>
    </row>
    <row r="643" spans="1:17" x14ac:dyDescent="0.25">
      <c r="A643" s="10" t="s">
        <v>156</v>
      </c>
      <c r="B643" s="3" t="str">
        <f t="shared" ref="B643:B706" si="34">+MID(A643,1,4)</f>
        <v>AMZN</v>
      </c>
      <c r="C643" s="3" t="str">
        <f t="shared" si="32"/>
        <v>260515</v>
      </c>
      <c r="D643" s="3" t="str">
        <f t="shared" si="33"/>
        <v>C00300000</v>
      </c>
      <c r="E643" s="44" t="s">
        <v>297</v>
      </c>
      <c r="F643" s="10">
        <v>300</v>
      </c>
      <c r="G643" s="43">
        <v>0.47</v>
      </c>
      <c r="H643" s="43">
        <v>0.44</v>
      </c>
      <c r="I643" s="43">
        <v>0.48</v>
      </c>
      <c r="J643" s="25">
        <v>7.0000000000000007E-2</v>
      </c>
      <c r="K643" s="26">
        <v>0.17499999999999999</v>
      </c>
      <c r="L643" s="41">
        <v>211</v>
      </c>
      <c r="M643" s="58">
        <v>3234</v>
      </c>
      <c r="N643" s="57">
        <v>0.40229999999999999</v>
      </c>
      <c r="O643" t="s">
        <v>62</v>
      </c>
      <c r="P643" s="9">
        <v>46077</v>
      </c>
      <c r="Q643">
        <v>208.56</v>
      </c>
    </row>
    <row r="644" spans="1:17" x14ac:dyDescent="0.25">
      <c r="A644" s="10" t="s">
        <v>157</v>
      </c>
      <c r="B644" s="3" t="str">
        <f t="shared" si="34"/>
        <v>AMZN</v>
      </c>
      <c r="C644" s="3" t="str">
        <f t="shared" si="32"/>
        <v>260515</v>
      </c>
      <c r="D644" s="3" t="str">
        <f t="shared" si="33"/>
        <v>C00305000</v>
      </c>
      <c r="E644" s="44" t="s">
        <v>286</v>
      </c>
      <c r="F644" s="10">
        <v>305</v>
      </c>
      <c r="G644" s="43">
        <v>0.41</v>
      </c>
      <c r="H644" s="43">
        <v>0.17</v>
      </c>
      <c r="I644" s="43">
        <v>0.41</v>
      </c>
      <c r="J644" s="25">
        <v>0.09</v>
      </c>
      <c r="K644" s="26">
        <v>0.28120000000000001</v>
      </c>
      <c r="L644" s="41">
        <v>18</v>
      </c>
      <c r="M644" s="58">
        <v>1757</v>
      </c>
      <c r="N644" s="57">
        <v>0.40670000000000001</v>
      </c>
      <c r="O644" t="s">
        <v>62</v>
      </c>
      <c r="P644" s="9">
        <v>46077</v>
      </c>
      <c r="Q644">
        <v>208.56</v>
      </c>
    </row>
    <row r="645" spans="1:17" x14ac:dyDescent="0.25">
      <c r="A645" s="10" t="s">
        <v>158</v>
      </c>
      <c r="B645" s="3" t="str">
        <f t="shared" si="34"/>
        <v>AMZN</v>
      </c>
      <c r="C645" s="3" t="str">
        <f t="shared" si="32"/>
        <v>260515</v>
      </c>
      <c r="D645" s="3" t="str">
        <f t="shared" si="33"/>
        <v>C00310000</v>
      </c>
      <c r="E645" s="44" t="s">
        <v>295</v>
      </c>
      <c r="F645" s="10">
        <v>310</v>
      </c>
      <c r="G645" s="43">
        <v>0.34</v>
      </c>
      <c r="H645" s="43">
        <v>0.31</v>
      </c>
      <c r="I645" s="43">
        <v>0.34</v>
      </c>
      <c r="J645" s="25">
        <v>0.08</v>
      </c>
      <c r="K645" s="26">
        <v>0.30769999999999997</v>
      </c>
      <c r="L645" s="41">
        <v>7</v>
      </c>
      <c r="M645" s="58">
        <v>7111</v>
      </c>
      <c r="N645" s="57">
        <v>0.40870000000000001</v>
      </c>
      <c r="O645" t="s">
        <v>62</v>
      </c>
      <c r="P645" s="9">
        <v>46077</v>
      </c>
      <c r="Q645">
        <v>208.56</v>
      </c>
    </row>
    <row r="646" spans="1:17" x14ac:dyDescent="0.25">
      <c r="A646" s="10" t="s">
        <v>159</v>
      </c>
      <c r="B646" s="3" t="str">
        <f t="shared" si="34"/>
        <v>AMZN</v>
      </c>
      <c r="C646" s="3" t="str">
        <f t="shared" si="32"/>
        <v>260515</v>
      </c>
      <c r="D646" s="3" t="str">
        <f t="shared" si="33"/>
        <v>C00315000</v>
      </c>
      <c r="E646" s="44" t="s">
        <v>298</v>
      </c>
      <c r="F646" s="10">
        <v>315</v>
      </c>
      <c r="G646" s="43">
        <v>0.28999999999999998</v>
      </c>
      <c r="H646" s="43">
        <v>0.26</v>
      </c>
      <c r="I646" s="43">
        <v>0.28999999999999998</v>
      </c>
      <c r="J646" s="25">
        <v>0.04</v>
      </c>
      <c r="K646" s="26">
        <v>0.16</v>
      </c>
      <c r="L646" s="41">
        <v>6</v>
      </c>
      <c r="M646" s="58">
        <v>1072</v>
      </c>
      <c r="N646" s="57">
        <v>0.41260000000000002</v>
      </c>
      <c r="O646" t="s">
        <v>62</v>
      </c>
      <c r="P646" s="9">
        <v>46077</v>
      </c>
      <c r="Q646">
        <v>208.56</v>
      </c>
    </row>
    <row r="647" spans="1:17" x14ac:dyDescent="0.25">
      <c r="A647" s="10" t="s">
        <v>160</v>
      </c>
      <c r="B647" s="3" t="str">
        <f t="shared" si="34"/>
        <v>AMZN</v>
      </c>
      <c r="C647" s="3" t="str">
        <f t="shared" si="32"/>
        <v>260515</v>
      </c>
      <c r="D647" s="3" t="str">
        <f t="shared" si="33"/>
        <v>C00320000</v>
      </c>
      <c r="E647" s="44" t="s">
        <v>299</v>
      </c>
      <c r="F647" s="10">
        <v>320</v>
      </c>
      <c r="G647" s="43">
        <v>0.24</v>
      </c>
      <c r="H647" s="43">
        <v>0.22</v>
      </c>
      <c r="I647" s="43">
        <v>0.25</v>
      </c>
      <c r="J647" s="25">
        <v>0.03</v>
      </c>
      <c r="K647" s="26">
        <v>0.1429</v>
      </c>
      <c r="L647" s="41">
        <v>3</v>
      </c>
      <c r="M647" s="58">
        <v>1027</v>
      </c>
      <c r="N647" s="57">
        <v>0.41699999999999998</v>
      </c>
      <c r="O647" t="s">
        <v>62</v>
      </c>
      <c r="P647" s="9">
        <v>46077</v>
      </c>
      <c r="Q647">
        <v>208.56</v>
      </c>
    </row>
    <row r="648" spans="1:17" x14ac:dyDescent="0.25">
      <c r="A648" s="10" t="s">
        <v>161</v>
      </c>
      <c r="B648" s="3" t="str">
        <f t="shared" si="34"/>
        <v>AMZN</v>
      </c>
      <c r="C648" s="3" t="str">
        <f t="shared" si="32"/>
        <v>260515</v>
      </c>
      <c r="D648" s="3" t="str">
        <f t="shared" si="33"/>
        <v>C00325000</v>
      </c>
      <c r="E648" s="44" t="s">
        <v>300</v>
      </c>
      <c r="F648" s="10">
        <v>325</v>
      </c>
      <c r="G648" s="43">
        <v>0.18</v>
      </c>
      <c r="H648" s="43">
        <v>0.18</v>
      </c>
      <c r="I648" s="43">
        <v>0.22</v>
      </c>
      <c r="J648" s="29">
        <v>-0.11</v>
      </c>
      <c r="K648" s="30">
        <v>-0.37930000000000003</v>
      </c>
      <c r="L648" s="41">
        <v>3</v>
      </c>
      <c r="M648" s="58">
        <v>1352</v>
      </c>
      <c r="N648" s="57">
        <v>0.4219</v>
      </c>
      <c r="O648" t="s">
        <v>62</v>
      </c>
      <c r="P648" s="9">
        <v>46077</v>
      </c>
      <c r="Q648">
        <v>208.56</v>
      </c>
    </row>
    <row r="649" spans="1:17" x14ac:dyDescent="0.25">
      <c r="A649" s="10" t="s">
        <v>162</v>
      </c>
      <c r="B649" s="3" t="str">
        <f t="shared" si="34"/>
        <v>AMZN</v>
      </c>
      <c r="C649" s="3" t="str">
        <f t="shared" si="32"/>
        <v>260515</v>
      </c>
      <c r="D649" s="3" t="str">
        <f t="shared" si="33"/>
        <v>C00330000</v>
      </c>
      <c r="E649" s="44" t="s">
        <v>301</v>
      </c>
      <c r="F649" s="10">
        <v>330</v>
      </c>
      <c r="G649" s="43">
        <v>0.16</v>
      </c>
      <c r="H649" s="43">
        <v>0.15</v>
      </c>
      <c r="I649" s="43">
        <v>0.19</v>
      </c>
      <c r="J649" s="25">
        <v>0.01</v>
      </c>
      <c r="K649" s="26">
        <v>6.6699999999999995E-2</v>
      </c>
      <c r="L649" s="41">
        <v>4</v>
      </c>
      <c r="M649" s="41">
        <v>585</v>
      </c>
      <c r="N649" s="57">
        <v>0.42580000000000001</v>
      </c>
      <c r="O649" t="s">
        <v>62</v>
      </c>
      <c r="P649" s="9">
        <v>46077</v>
      </c>
      <c r="Q649">
        <v>208.56</v>
      </c>
    </row>
    <row r="650" spans="1:17" x14ac:dyDescent="0.25">
      <c r="A650" s="10" t="s">
        <v>163</v>
      </c>
      <c r="B650" s="3" t="str">
        <f t="shared" si="34"/>
        <v>AMZN</v>
      </c>
      <c r="C650" s="3" t="str">
        <f t="shared" si="32"/>
        <v>260515</v>
      </c>
      <c r="D650" s="3" t="str">
        <f t="shared" si="33"/>
        <v>C00340000</v>
      </c>
      <c r="E650" s="44" t="s">
        <v>302</v>
      </c>
      <c r="F650" s="10">
        <v>340</v>
      </c>
      <c r="G650" s="43">
        <v>0.13</v>
      </c>
      <c r="H650" s="43">
        <v>0.11</v>
      </c>
      <c r="I650" s="43">
        <v>0.34</v>
      </c>
      <c r="J650" s="25">
        <v>0.01</v>
      </c>
      <c r="K650" s="26">
        <v>8.3299999999999999E-2</v>
      </c>
      <c r="L650" s="41">
        <v>8</v>
      </c>
      <c r="M650" s="41">
        <v>468</v>
      </c>
      <c r="N650" s="57">
        <v>0.48580000000000001</v>
      </c>
      <c r="O650" t="s">
        <v>62</v>
      </c>
      <c r="P650" s="9">
        <v>46077</v>
      </c>
      <c r="Q650">
        <v>208.56</v>
      </c>
    </row>
    <row r="651" spans="1:17" x14ac:dyDescent="0.25">
      <c r="A651" s="10" t="s">
        <v>164</v>
      </c>
      <c r="B651" s="3" t="str">
        <f t="shared" si="34"/>
        <v>AMZN</v>
      </c>
      <c r="C651" s="3" t="str">
        <f t="shared" si="32"/>
        <v>260515</v>
      </c>
      <c r="D651" s="3" t="str">
        <f t="shared" si="33"/>
        <v>C00350000</v>
      </c>
      <c r="E651" s="44" t="s">
        <v>303</v>
      </c>
      <c r="F651" s="10">
        <v>350</v>
      </c>
      <c r="G651" s="43">
        <v>0.1</v>
      </c>
      <c r="H651" s="43">
        <v>0.08</v>
      </c>
      <c r="I651" s="43">
        <v>0.12</v>
      </c>
      <c r="J651" s="25">
        <v>0.01</v>
      </c>
      <c r="K651" s="26">
        <v>0.1111</v>
      </c>
      <c r="L651" s="41">
        <v>15</v>
      </c>
      <c r="M651" s="58">
        <v>1658</v>
      </c>
      <c r="N651" s="57">
        <v>0.44629999999999997</v>
      </c>
      <c r="O651" t="s">
        <v>62</v>
      </c>
      <c r="P651" s="9">
        <v>46077</v>
      </c>
      <c r="Q651">
        <v>208.56</v>
      </c>
    </row>
    <row r="652" spans="1:17" x14ac:dyDescent="0.25">
      <c r="A652" s="10" t="s">
        <v>165</v>
      </c>
      <c r="B652" s="3" t="str">
        <f t="shared" si="34"/>
        <v>AMZN</v>
      </c>
      <c r="C652" s="3" t="str">
        <f t="shared" si="32"/>
        <v>260515</v>
      </c>
      <c r="D652" s="3" t="str">
        <f t="shared" si="33"/>
        <v>C00360000</v>
      </c>
      <c r="E652" s="44" t="s">
        <v>304</v>
      </c>
      <c r="F652" s="10">
        <v>360</v>
      </c>
      <c r="G652" s="43">
        <v>7.0000000000000007E-2</v>
      </c>
      <c r="H652" s="43">
        <v>0.06</v>
      </c>
      <c r="I652" s="43">
        <v>0.09</v>
      </c>
      <c r="J652" s="29">
        <v>-0.01</v>
      </c>
      <c r="K652" s="30">
        <v>-0.125</v>
      </c>
      <c r="L652" s="41">
        <v>10</v>
      </c>
      <c r="M652" s="41">
        <v>280</v>
      </c>
      <c r="N652" s="57">
        <v>0.45219999999999999</v>
      </c>
      <c r="O652" t="s">
        <v>62</v>
      </c>
      <c r="P652" s="9">
        <v>46077</v>
      </c>
      <c r="Q652">
        <v>208.56</v>
      </c>
    </row>
    <row r="653" spans="1:17" x14ac:dyDescent="0.25">
      <c r="A653" s="10" t="s">
        <v>166</v>
      </c>
      <c r="B653" s="3" t="str">
        <f t="shared" si="34"/>
        <v>AMZN</v>
      </c>
      <c r="C653" s="3" t="str">
        <f t="shared" si="32"/>
        <v>260515</v>
      </c>
      <c r="D653" s="3" t="str">
        <f t="shared" si="33"/>
        <v>C00370000</v>
      </c>
      <c r="E653" s="44" t="s">
        <v>305</v>
      </c>
      <c r="F653" s="10">
        <v>370</v>
      </c>
      <c r="G653" s="43">
        <v>0.06</v>
      </c>
      <c r="H653" s="43">
        <v>0.06</v>
      </c>
      <c r="I653" s="43">
        <v>7.0000000000000007E-2</v>
      </c>
      <c r="J653" s="27">
        <v>0</v>
      </c>
      <c r="K653" s="28">
        <v>0</v>
      </c>
      <c r="L653" s="41">
        <v>7</v>
      </c>
      <c r="M653" s="58">
        <v>2132</v>
      </c>
      <c r="N653" s="57">
        <v>0.45900000000000002</v>
      </c>
      <c r="O653" t="s">
        <v>62</v>
      </c>
      <c r="P653" s="9">
        <v>46077</v>
      </c>
      <c r="Q653">
        <v>208.56</v>
      </c>
    </row>
    <row r="654" spans="1:17" x14ac:dyDescent="0.25">
      <c r="A654" s="10" t="s">
        <v>167</v>
      </c>
      <c r="B654" s="3" t="str">
        <f t="shared" si="34"/>
        <v>AMZN</v>
      </c>
      <c r="C654" s="3" t="str">
        <f t="shared" si="32"/>
        <v>260515</v>
      </c>
      <c r="D654" s="3" t="str">
        <f t="shared" si="33"/>
        <v>P00105000</v>
      </c>
      <c r="E654" s="44" t="s">
        <v>306</v>
      </c>
      <c r="F654" s="10">
        <v>105</v>
      </c>
      <c r="G654" s="41">
        <v>0.12</v>
      </c>
      <c r="H654" s="41">
        <v>0.1</v>
      </c>
      <c r="I654" s="41">
        <v>0.13</v>
      </c>
      <c r="J654" s="29">
        <v>-0.03</v>
      </c>
      <c r="K654" s="30">
        <v>-0.2</v>
      </c>
      <c r="L654" s="41">
        <v>12</v>
      </c>
      <c r="M654" s="58">
        <v>1266</v>
      </c>
      <c r="N654" s="57">
        <v>0.61129999999999995</v>
      </c>
      <c r="O654" t="s">
        <v>65</v>
      </c>
      <c r="P654" s="9">
        <v>46077</v>
      </c>
      <c r="Q654">
        <v>208.56</v>
      </c>
    </row>
    <row r="655" spans="1:17" x14ac:dyDescent="0.25">
      <c r="A655" s="10" t="s">
        <v>168</v>
      </c>
      <c r="B655" s="3" t="str">
        <f t="shared" si="34"/>
        <v>AMZN</v>
      </c>
      <c r="C655" s="3" t="str">
        <f t="shared" si="32"/>
        <v>260515</v>
      </c>
      <c r="D655" s="3" t="str">
        <f t="shared" si="33"/>
        <v>P00110000</v>
      </c>
      <c r="E655" s="44" t="s">
        <v>307</v>
      </c>
      <c r="F655" s="10">
        <v>110</v>
      </c>
      <c r="G655" s="41">
        <v>0.18</v>
      </c>
      <c r="H655" s="41">
        <v>0.13</v>
      </c>
      <c r="I655" s="41">
        <v>0.17</v>
      </c>
      <c r="J655" s="29">
        <v>-0.02</v>
      </c>
      <c r="K655" s="30">
        <v>-0.1</v>
      </c>
      <c r="L655" s="41">
        <v>1</v>
      </c>
      <c r="M655" s="41">
        <v>162</v>
      </c>
      <c r="N655" s="57">
        <v>0.59279999999999999</v>
      </c>
      <c r="O655" t="s">
        <v>65</v>
      </c>
      <c r="P655" s="9">
        <v>46077</v>
      </c>
      <c r="Q655">
        <v>208.56</v>
      </c>
    </row>
    <row r="656" spans="1:17" x14ac:dyDescent="0.25">
      <c r="A656" s="10" t="s">
        <v>169</v>
      </c>
      <c r="B656" s="3" t="str">
        <f t="shared" si="34"/>
        <v>AMZN</v>
      </c>
      <c r="C656" s="3" t="str">
        <f t="shared" si="32"/>
        <v>260515</v>
      </c>
      <c r="D656" s="3" t="str">
        <f t="shared" si="33"/>
        <v>P00115000</v>
      </c>
      <c r="E656" s="44" t="s">
        <v>308</v>
      </c>
      <c r="F656" s="10">
        <v>115</v>
      </c>
      <c r="G656" s="41">
        <v>0.25</v>
      </c>
      <c r="H656" s="41">
        <v>0.18</v>
      </c>
      <c r="I656" s="41">
        <v>0.21</v>
      </c>
      <c r="J656" s="29">
        <v>0</v>
      </c>
      <c r="K656" s="30">
        <v>0</v>
      </c>
      <c r="L656" s="41">
        <v>6</v>
      </c>
      <c r="M656" s="41">
        <v>209</v>
      </c>
      <c r="N656" s="57">
        <v>0.57469999999999999</v>
      </c>
      <c r="O656" t="s">
        <v>65</v>
      </c>
      <c r="P656" s="9">
        <v>46077</v>
      </c>
      <c r="Q656">
        <v>208.56</v>
      </c>
    </row>
    <row r="657" spans="1:17" x14ac:dyDescent="0.25">
      <c r="A657" s="10" t="s">
        <v>170</v>
      </c>
      <c r="B657" s="3" t="str">
        <f t="shared" si="34"/>
        <v>AMZN</v>
      </c>
      <c r="C657" s="3" t="str">
        <f t="shared" si="32"/>
        <v>260515</v>
      </c>
      <c r="D657" s="3" t="str">
        <f t="shared" si="33"/>
        <v>P00120000</v>
      </c>
      <c r="E657" s="44" t="s">
        <v>309</v>
      </c>
      <c r="F657" s="10">
        <v>120</v>
      </c>
      <c r="G657" s="41">
        <v>0.28000000000000003</v>
      </c>
      <c r="H657" s="41">
        <v>0.25</v>
      </c>
      <c r="I657" s="41">
        <v>0.28000000000000003</v>
      </c>
      <c r="J657" s="29">
        <v>-0.03</v>
      </c>
      <c r="K657" s="30">
        <v>-9.6799999999999997E-2</v>
      </c>
      <c r="L657" s="41">
        <v>7</v>
      </c>
      <c r="M657" s="41">
        <v>211</v>
      </c>
      <c r="N657" s="57">
        <v>0.5615</v>
      </c>
      <c r="O657" t="s">
        <v>65</v>
      </c>
      <c r="P657" s="9">
        <v>46077</v>
      </c>
      <c r="Q657">
        <v>208.56</v>
      </c>
    </row>
    <row r="658" spans="1:17" x14ac:dyDescent="0.25">
      <c r="A658" s="10" t="s">
        <v>171</v>
      </c>
      <c r="B658" s="3" t="str">
        <f t="shared" si="34"/>
        <v>AMZN</v>
      </c>
      <c r="C658" s="3" t="str">
        <f t="shared" si="32"/>
        <v>260515</v>
      </c>
      <c r="D658" s="3" t="str">
        <f t="shared" si="33"/>
        <v>P00125000</v>
      </c>
      <c r="E658" s="44" t="s">
        <v>310</v>
      </c>
      <c r="F658" s="10">
        <v>125</v>
      </c>
      <c r="G658" s="41">
        <v>0.47</v>
      </c>
      <c r="H658" s="41">
        <v>0.33</v>
      </c>
      <c r="I658" s="41">
        <v>0.36</v>
      </c>
      <c r="J658" s="29">
        <v>0</v>
      </c>
      <c r="K658" s="30">
        <v>0</v>
      </c>
      <c r="L658" s="41">
        <v>1</v>
      </c>
      <c r="M658" s="41">
        <v>223</v>
      </c>
      <c r="N658" s="57">
        <v>0.54590000000000005</v>
      </c>
      <c r="O658" t="s">
        <v>65</v>
      </c>
      <c r="P658" s="9">
        <v>46077</v>
      </c>
      <c r="Q658">
        <v>208.56</v>
      </c>
    </row>
    <row r="659" spans="1:17" x14ac:dyDescent="0.25">
      <c r="A659" s="10" t="s">
        <v>172</v>
      </c>
      <c r="B659" s="3" t="str">
        <f t="shared" si="34"/>
        <v>AMZN</v>
      </c>
      <c r="C659" s="3" t="str">
        <f t="shared" si="32"/>
        <v>260515</v>
      </c>
      <c r="D659" s="3" t="str">
        <f t="shared" si="33"/>
        <v>P00130000</v>
      </c>
      <c r="E659" s="44" t="s">
        <v>311</v>
      </c>
      <c r="F659" s="10">
        <v>130</v>
      </c>
      <c r="G659" s="41">
        <v>0.54</v>
      </c>
      <c r="H659" s="41">
        <v>0.43</v>
      </c>
      <c r="I659" s="41">
        <v>0.46</v>
      </c>
      <c r="J659" s="29">
        <v>0</v>
      </c>
      <c r="K659" s="30">
        <v>0</v>
      </c>
      <c r="L659" s="41">
        <v>11</v>
      </c>
      <c r="M659" s="41">
        <v>367</v>
      </c>
      <c r="N659" s="57">
        <v>0.53029999999999999</v>
      </c>
      <c r="O659" t="s">
        <v>65</v>
      </c>
      <c r="P659" s="9">
        <v>46077</v>
      </c>
      <c r="Q659">
        <v>208.56</v>
      </c>
    </row>
    <row r="660" spans="1:17" x14ac:dyDescent="0.25">
      <c r="A660" s="10" t="s">
        <v>173</v>
      </c>
      <c r="B660" s="3" t="str">
        <f t="shared" si="34"/>
        <v>AMZN</v>
      </c>
      <c r="C660" s="3" t="str">
        <f t="shared" si="32"/>
        <v>260515</v>
      </c>
      <c r="D660" s="3" t="str">
        <f t="shared" si="33"/>
        <v>P00135000</v>
      </c>
      <c r="E660" s="44" t="s">
        <v>312</v>
      </c>
      <c r="F660" s="10">
        <v>135</v>
      </c>
      <c r="G660" s="41">
        <v>0.69</v>
      </c>
      <c r="H660" s="41">
        <v>0.56000000000000005</v>
      </c>
      <c r="I660" s="41">
        <v>0.59</v>
      </c>
      <c r="J660" s="29">
        <v>-0.02</v>
      </c>
      <c r="K660" s="30">
        <v>-2.8199999999999999E-2</v>
      </c>
      <c r="L660" s="41">
        <v>1</v>
      </c>
      <c r="M660" s="58">
        <v>1188</v>
      </c>
      <c r="N660" s="57">
        <v>0.5161</v>
      </c>
      <c r="O660" t="s">
        <v>65</v>
      </c>
      <c r="P660" s="9">
        <v>46077</v>
      </c>
      <c r="Q660">
        <v>208.56</v>
      </c>
    </row>
    <row r="661" spans="1:17" x14ac:dyDescent="0.25">
      <c r="A661" s="10" t="s">
        <v>174</v>
      </c>
      <c r="B661" s="3" t="str">
        <f t="shared" si="34"/>
        <v>AMZN</v>
      </c>
      <c r="C661" s="3" t="str">
        <f t="shared" si="32"/>
        <v>260515</v>
      </c>
      <c r="D661" s="3" t="str">
        <f t="shared" si="33"/>
        <v>P00140000</v>
      </c>
      <c r="E661" s="44" t="s">
        <v>313</v>
      </c>
      <c r="F661" s="10">
        <v>140</v>
      </c>
      <c r="G661" s="41">
        <v>0.99</v>
      </c>
      <c r="H661" s="41">
        <v>0.72</v>
      </c>
      <c r="I661" s="41">
        <v>0.75</v>
      </c>
      <c r="J661" s="29">
        <v>0</v>
      </c>
      <c r="K661" s="30">
        <v>0</v>
      </c>
      <c r="L661" s="41">
        <v>6</v>
      </c>
      <c r="M661" s="41">
        <v>473</v>
      </c>
      <c r="N661" s="57">
        <v>0.50170000000000003</v>
      </c>
      <c r="O661" t="s">
        <v>65</v>
      </c>
      <c r="P661" s="9">
        <v>46077</v>
      </c>
      <c r="Q661">
        <v>208.56</v>
      </c>
    </row>
    <row r="662" spans="1:17" x14ac:dyDescent="0.25">
      <c r="A662" s="10" t="s">
        <v>175</v>
      </c>
      <c r="B662" s="3" t="str">
        <f t="shared" si="34"/>
        <v>AMZN</v>
      </c>
      <c r="C662" s="3" t="str">
        <f t="shared" si="32"/>
        <v>260515</v>
      </c>
      <c r="D662" s="3" t="str">
        <f t="shared" si="33"/>
        <v>P00145000</v>
      </c>
      <c r="E662" s="44" t="s">
        <v>314</v>
      </c>
      <c r="F662" s="10">
        <v>145</v>
      </c>
      <c r="G662" s="41">
        <v>0.93</v>
      </c>
      <c r="H662" s="41">
        <v>0.92</v>
      </c>
      <c r="I662" s="41">
        <v>0.95</v>
      </c>
      <c r="J662" s="29">
        <v>-0.32</v>
      </c>
      <c r="K662" s="30">
        <v>-0.25600000000000001</v>
      </c>
      <c r="L662" s="41">
        <v>3</v>
      </c>
      <c r="M662" s="41">
        <v>967</v>
      </c>
      <c r="N662" s="57">
        <v>0.48930000000000001</v>
      </c>
      <c r="O662" t="s">
        <v>65</v>
      </c>
      <c r="P662" s="9">
        <v>46077</v>
      </c>
      <c r="Q662">
        <v>208.56</v>
      </c>
    </row>
    <row r="663" spans="1:17" x14ac:dyDescent="0.25">
      <c r="A663" s="10" t="s">
        <v>176</v>
      </c>
      <c r="B663" s="3" t="str">
        <f t="shared" si="34"/>
        <v>AMZN</v>
      </c>
      <c r="C663" s="3" t="str">
        <f t="shared" si="32"/>
        <v>260515</v>
      </c>
      <c r="D663" s="3" t="str">
        <f t="shared" si="33"/>
        <v>P00150000</v>
      </c>
      <c r="E663" s="44" t="s">
        <v>315</v>
      </c>
      <c r="F663" s="10">
        <v>150</v>
      </c>
      <c r="G663" s="41">
        <v>1.2</v>
      </c>
      <c r="H663" s="41">
        <v>1.17</v>
      </c>
      <c r="I663" s="41">
        <v>1.21</v>
      </c>
      <c r="J663" s="29">
        <v>-0.25</v>
      </c>
      <c r="K663" s="30">
        <v>-0.1724</v>
      </c>
      <c r="L663" s="41">
        <v>36</v>
      </c>
      <c r="M663" s="58">
        <v>11202</v>
      </c>
      <c r="N663" s="57">
        <v>0.4763</v>
      </c>
      <c r="O663" t="s">
        <v>65</v>
      </c>
      <c r="P663" s="9">
        <v>46077</v>
      </c>
      <c r="Q663">
        <v>208.56</v>
      </c>
    </row>
    <row r="664" spans="1:17" x14ac:dyDescent="0.25">
      <c r="A664" s="10" t="s">
        <v>177</v>
      </c>
      <c r="B664" s="3" t="str">
        <f t="shared" si="34"/>
        <v>AMZN</v>
      </c>
      <c r="C664" s="3" t="str">
        <f t="shared" si="32"/>
        <v>260515</v>
      </c>
      <c r="D664" s="3" t="str">
        <f t="shared" si="33"/>
        <v>P00155000</v>
      </c>
      <c r="E664" s="44" t="s">
        <v>316</v>
      </c>
      <c r="F664" s="10">
        <v>155</v>
      </c>
      <c r="G664" s="41">
        <v>1.54</v>
      </c>
      <c r="H664" s="41">
        <v>1.49</v>
      </c>
      <c r="I664" s="41">
        <v>1.52</v>
      </c>
      <c r="J664" s="29">
        <v>-0.34</v>
      </c>
      <c r="K664" s="30">
        <v>-0.18090000000000001</v>
      </c>
      <c r="L664" s="41">
        <v>102</v>
      </c>
      <c r="M664" s="58">
        <v>1872</v>
      </c>
      <c r="N664" s="57">
        <v>0.46289999999999998</v>
      </c>
      <c r="O664" t="s">
        <v>65</v>
      </c>
      <c r="P664" s="9">
        <v>46077</v>
      </c>
      <c r="Q664">
        <v>208.56</v>
      </c>
    </row>
    <row r="665" spans="1:17" x14ac:dyDescent="0.25">
      <c r="A665" s="10" t="s">
        <v>178</v>
      </c>
      <c r="B665" s="3" t="str">
        <f t="shared" si="34"/>
        <v>AMZN</v>
      </c>
      <c r="C665" s="3" t="str">
        <f t="shared" si="32"/>
        <v>260515</v>
      </c>
      <c r="D665" s="3" t="str">
        <f t="shared" si="33"/>
        <v>P00160000</v>
      </c>
      <c r="E665" s="44" t="s">
        <v>317</v>
      </c>
      <c r="F665" s="10">
        <v>160</v>
      </c>
      <c r="G665" s="41">
        <v>1.92</v>
      </c>
      <c r="H665" s="41">
        <v>1.88</v>
      </c>
      <c r="I665" s="41">
        <v>1.92</v>
      </c>
      <c r="J665" s="29">
        <v>-0.38</v>
      </c>
      <c r="K665" s="30">
        <v>-0.16520000000000001</v>
      </c>
      <c r="L665" s="41">
        <v>132</v>
      </c>
      <c r="M665" s="58">
        <v>2682</v>
      </c>
      <c r="N665" s="57">
        <v>0.45090000000000002</v>
      </c>
      <c r="O665" t="s">
        <v>65</v>
      </c>
      <c r="P665" s="9">
        <v>46077</v>
      </c>
      <c r="Q665">
        <v>208.56</v>
      </c>
    </row>
    <row r="666" spans="1:17" x14ac:dyDescent="0.25">
      <c r="A666" s="10" t="s">
        <v>179</v>
      </c>
      <c r="B666" s="3" t="str">
        <f t="shared" si="34"/>
        <v>AMZN</v>
      </c>
      <c r="C666" s="3" t="str">
        <f t="shared" si="32"/>
        <v>260515</v>
      </c>
      <c r="D666" s="3" t="str">
        <f t="shared" si="33"/>
        <v>P00165000</v>
      </c>
      <c r="E666" s="44" t="s">
        <v>318</v>
      </c>
      <c r="F666" s="10">
        <v>165</v>
      </c>
      <c r="G666" s="41">
        <v>2.4300000000000002</v>
      </c>
      <c r="H666" s="41">
        <v>2.19</v>
      </c>
      <c r="I666" s="41">
        <v>2.41</v>
      </c>
      <c r="J666" s="29">
        <v>-0.44</v>
      </c>
      <c r="K666" s="30">
        <v>-0.15329999999999999</v>
      </c>
      <c r="L666" s="41">
        <v>178</v>
      </c>
      <c r="M666" s="58">
        <v>1950</v>
      </c>
      <c r="N666" s="57">
        <v>0.43919999999999998</v>
      </c>
      <c r="O666" t="s">
        <v>65</v>
      </c>
      <c r="P666" s="9">
        <v>46077</v>
      </c>
      <c r="Q666">
        <v>208.56</v>
      </c>
    </row>
    <row r="667" spans="1:17" x14ac:dyDescent="0.25">
      <c r="A667" s="10" t="s">
        <v>180</v>
      </c>
      <c r="B667" s="3" t="str">
        <f t="shared" si="34"/>
        <v>AMZN</v>
      </c>
      <c r="C667" s="3" t="str">
        <f t="shared" si="32"/>
        <v>260515</v>
      </c>
      <c r="D667" s="3" t="str">
        <f t="shared" si="33"/>
        <v>P00170000</v>
      </c>
      <c r="E667" s="44" t="s">
        <v>319</v>
      </c>
      <c r="F667" s="10">
        <v>170</v>
      </c>
      <c r="G667" s="41">
        <v>3.05</v>
      </c>
      <c r="H667" s="41">
        <v>2.96</v>
      </c>
      <c r="I667" s="41">
        <v>3.05</v>
      </c>
      <c r="J667" s="29">
        <v>-0.55000000000000004</v>
      </c>
      <c r="K667" s="30">
        <v>-0.15279999999999999</v>
      </c>
      <c r="L667" s="41">
        <v>135</v>
      </c>
      <c r="M667" s="58">
        <v>4902</v>
      </c>
      <c r="N667" s="57">
        <v>0.42970000000000003</v>
      </c>
      <c r="O667" t="s">
        <v>65</v>
      </c>
      <c r="P667" s="9">
        <v>46077</v>
      </c>
      <c r="Q667">
        <v>208.56</v>
      </c>
    </row>
    <row r="668" spans="1:17" x14ac:dyDescent="0.25">
      <c r="A668" s="10" t="s">
        <v>181</v>
      </c>
      <c r="B668" s="3" t="str">
        <f t="shared" si="34"/>
        <v>AMZN</v>
      </c>
      <c r="C668" s="3" t="str">
        <f t="shared" si="32"/>
        <v>260515</v>
      </c>
      <c r="D668" s="3" t="str">
        <f t="shared" si="33"/>
        <v>P00175000</v>
      </c>
      <c r="E668" s="44" t="s">
        <v>318</v>
      </c>
      <c r="F668" s="10">
        <v>175</v>
      </c>
      <c r="G668" s="41">
        <v>3.79</v>
      </c>
      <c r="H668" s="41">
        <v>3.65</v>
      </c>
      <c r="I668" s="41">
        <v>3.75</v>
      </c>
      <c r="J668" s="29">
        <v>-0.71</v>
      </c>
      <c r="K668" s="30">
        <v>-0.1578</v>
      </c>
      <c r="L668" s="41">
        <v>156</v>
      </c>
      <c r="M668" s="58">
        <v>4257</v>
      </c>
      <c r="N668" s="57">
        <v>0.4173</v>
      </c>
      <c r="O668" t="s">
        <v>65</v>
      </c>
      <c r="P668" s="9">
        <v>46077</v>
      </c>
      <c r="Q668">
        <v>208.56</v>
      </c>
    </row>
    <row r="669" spans="1:17" x14ac:dyDescent="0.25">
      <c r="A669" s="10" t="s">
        <v>182</v>
      </c>
      <c r="B669" s="3" t="str">
        <f t="shared" si="34"/>
        <v>AMZN</v>
      </c>
      <c r="C669" s="3" t="str">
        <f t="shared" si="32"/>
        <v>260515</v>
      </c>
      <c r="D669" s="3" t="str">
        <f t="shared" si="33"/>
        <v>P00180000</v>
      </c>
      <c r="E669" s="44" t="s">
        <v>290</v>
      </c>
      <c r="F669" s="10">
        <v>180</v>
      </c>
      <c r="G669" s="41">
        <v>4.6500000000000004</v>
      </c>
      <c r="H669" s="41">
        <v>4.55</v>
      </c>
      <c r="I669" s="41">
        <v>4.6500000000000004</v>
      </c>
      <c r="J669" s="29">
        <v>-0.9</v>
      </c>
      <c r="K669" s="30">
        <v>-0.16220000000000001</v>
      </c>
      <c r="L669" s="41">
        <v>374</v>
      </c>
      <c r="M669" s="58">
        <v>9468</v>
      </c>
      <c r="N669" s="57">
        <v>0.40739999999999998</v>
      </c>
      <c r="O669" t="s">
        <v>65</v>
      </c>
      <c r="P669" s="9">
        <v>46077</v>
      </c>
      <c r="Q669">
        <v>208.56</v>
      </c>
    </row>
    <row r="670" spans="1:17" x14ac:dyDescent="0.25">
      <c r="A670" s="10" t="s">
        <v>183</v>
      </c>
      <c r="B670" s="3" t="str">
        <f t="shared" si="34"/>
        <v>AMZN</v>
      </c>
      <c r="C670" s="3" t="str">
        <f t="shared" si="32"/>
        <v>260515</v>
      </c>
      <c r="D670" s="3" t="str">
        <f t="shared" si="33"/>
        <v>P00185000</v>
      </c>
      <c r="E670" s="44" t="s">
        <v>289</v>
      </c>
      <c r="F670" s="10">
        <v>185</v>
      </c>
      <c r="G670" s="41">
        <v>5.7</v>
      </c>
      <c r="H670" s="41">
        <v>5.65</v>
      </c>
      <c r="I670" s="41">
        <v>5.75</v>
      </c>
      <c r="J670" s="29">
        <v>-0.97</v>
      </c>
      <c r="K670" s="30">
        <v>-0.1454</v>
      </c>
      <c r="L670" s="41">
        <v>625</v>
      </c>
      <c r="M670" s="58">
        <v>11693</v>
      </c>
      <c r="N670" s="57">
        <v>0.39850000000000002</v>
      </c>
      <c r="O670" t="s">
        <v>65</v>
      </c>
      <c r="P670" s="9">
        <v>46077</v>
      </c>
      <c r="Q670">
        <v>208.56</v>
      </c>
    </row>
    <row r="671" spans="1:17" x14ac:dyDescent="0.25">
      <c r="A671" s="10" t="s">
        <v>184</v>
      </c>
      <c r="B671" s="3" t="str">
        <f t="shared" si="34"/>
        <v>AMZN</v>
      </c>
      <c r="C671" s="3" t="str">
        <f t="shared" si="32"/>
        <v>260515</v>
      </c>
      <c r="D671" s="3" t="str">
        <f t="shared" si="33"/>
        <v>P00190000</v>
      </c>
      <c r="E671" s="44" t="s">
        <v>289</v>
      </c>
      <c r="F671" s="10">
        <v>190</v>
      </c>
      <c r="G671" s="41">
        <v>7</v>
      </c>
      <c r="H671" s="41">
        <v>6.95</v>
      </c>
      <c r="I671" s="41">
        <v>7.05</v>
      </c>
      <c r="J671" s="29">
        <v>-1.1499999999999999</v>
      </c>
      <c r="K671" s="30">
        <v>-0.1411</v>
      </c>
      <c r="L671" s="58">
        <v>1115</v>
      </c>
      <c r="M671" s="58">
        <v>9501</v>
      </c>
      <c r="N671" s="57">
        <v>0.38979999999999998</v>
      </c>
      <c r="O671" t="s">
        <v>65</v>
      </c>
      <c r="P671" s="9">
        <v>46077</v>
      </c>
      <c r="Q671">
        <v>208.56</v>
      </c>
    </row>
    <row r="672" spans="1:17" x14ac:dyDescent="0.25">
      <c r="A672" s="10" t="s">
        <v>185</v>
      </c>
      <c r="B672" s="3" t="str">
        <f t="shared" si="34"/>
        <v>AMZN</v>
      </c>
      <c r="C672" s="3" t="str">
        <f t="shared" si="32"/>
        <v>260515</v>
      </c>
      <c r="D672" s="3" t="str">
        <f t="shared" si="33"/>
        <v>P00195000</v>
      </c>
      <c r="E672" s="44" t="s">
        <v>317</v>
      </c>
      <c r="F672" s="10">
        <v>195</v>
      </c>
      <c r="G672" s="41">
        <v>8.5500000000000007</v>
      </c>
      <c r="H672" s="41">
        <v>8.1999999999999993</v>
      </c>
      <c r="I672" s="41">
        <v>8.5500000000000007</v>
      </c>
      <c r="J672" s="29">
        <v>-1.38</v>
      </c>
      <c r="K672" s="30">
        <v>-0.13900000000000001</v>
      </c>
      <c r="L672" s="58">
        <v>1023</v>
      </c>
      <c r="M672" s="58">
        <v>11660</v>
      </c>
      <c r="N672" s="57">
        <v>0.38069999999999998</v>
      </c>
      <c r="O672" t="s">
        <v>65</v>
      </c>
      <c r="P672" s="9">
        <v>46077</v>
      </c>
      <c r="Q672">
        <v>208.56</v>
      </c>
    </row>
    <row r="673" spans="1:17" x14ac:dyDescent="0.25">
      <c r="A673" s="10" t="s">
        <v>186</v>
      </c>
      <c r="B673" s="3" t="str">
        <f t="shared" si="34"/>
        <v>AMZN</v>
      </c>
      <c r="C673" s="3" t="str">
        <f t="shared" si="32"/>
        <v>260515</v>
      </c>
      <c r="D673" s="3" t="str">
        <f t="shared" si="33"/>
        <v>P00200000</v>
      </c>
      <c r="E673" s="44" t="s">
        <v>320</v>
      </c>
      <c r="F673" s="10">
        <v>200</v>
      </c>
      <c r="G673" s="41">
        <v>10.44</v>
      </c>
      <c r="H673" s="41">
        <v>9.9499999999999993</v>
      </c>
      <c r="I673" s="41">
        <v>10.4</v>
      </c>
      <c r="J673" s="29">
        <v>-1.56</v>
      </c>
      <c r="K673" s="30">
        <v>-0.13</v>
      </c>
      <c r="L673" s="58">
        <v>2114</v>
      </c>
      <c r="M673" s="58">
        <v>16285</v>
      </c>
      <c r="N673" s="57">
        <v>0.37469999999999998</v>
      </c>
      <c r="O673" t="s">
        <v>65</v>
      </c>
      <c r="P673" s="9">
        <v>46077</v>
      </c>
      <c r="Q673">
        <v>208.56</v>
      </c>
    </row>
    <row r="674" spans="1:17" x14ac:dyDescent="0.25">
      <c r="A674" s="10" t="s">
        <v>187</v>
      </c>
      <c r="B674" s="3" t="str">
        <f t="shared" si="34"/>
        <v>AMZN</v>
      </c>
      <c r="C674" s="3" t="str">
        <f t="shared" si="32"/>
        <v>260515</v>
      </c>
      <c r="D674" s="3" t="str">
        <f t="shared" si="33"/>
        <v>P00205000</v>
      </c>
      <c r="E674" s="44" t="s">
        <v>291</v>
      </c>
      <c r="F674" s="10">
        <v>205</v>
      </c>
      <c r="G674" s="41">
        <v>12.45</v>
      </c>
      <c r="H674" s="41">
        <v>12.35</v>
      </c>
      <c r="I674" s="41">
        <v>12.5</v>
      </c>
      <c r="J674" s="29">
        <v>-1.66</v>
      </c>
      <c r="K674" s="30">
        <v>-0.1176</v>
      </c>
      <c r="L674" s="58">
        <v>1507</v>
      </c>
      <c r="M674" s="58">
        <v>11425</v>
      </c>
      <c r="N674" s="57">
        <v>0.36840000000000001</v>
      </c>
      <c r="O674" t="s">
        <v>65</v>
      </c>
      <c r="P674" s="9">
        <v>46077</v>
      </c>
      <c r="Q674">
        <v>208.56</v>
      </c>
    </row>
    <row r="675" spans="1:17" x14ac:dyDescent="0.25">
      <c r="A675" s="10" t="s">
        <v>188</v>
      </c>
      <c r="B675" s="3" t="str">
        <f t="shared" si="34"/>
        <v>AMZN</v>
      </c>
      <c r="C675" s="3" t="str">
        <f t="shared" si="32"/>
        <v>260515</v>
      </c>
      <c r="D675" s="3" t="str">
        <f t="shared" si="33"/>
        <v>P00210000</v>
      </c>
      <c r="E675" s="44" t="s">
        <v>321</v>
      </c>
      <c r="F675" s="10">
        <v>210</v>
      </c>
      <c r="G675" s="41">
        <v>14.85</v>
      </c>
      <c r="H675" s="41">
        <v>14.7</v>
      </c>
      <c r="I675" s="41">
        <v>14.85</v>
      </c>
      <c r="J675" s="29">
        <v>-2.15</v>
      </c>
      <c r="K675" s="30">
        <v>-0.1265</v>
      </c>
      <c r="L675" s="41">
        <v>328</v>
      </c>
      <c r="M675" s="58">
        <v>10142</v>
      </c>
      <c r="N675" s="57">
        <v>0.36170000000000002</v>
      </c>
      <c r="O675" t="s">
        <v>65</v>
      </c>
      <c r="P675" s="9">
        <v>46077</v>
      </c>
      <c r="Q675">
        <v>208.56</v>
      </c>
    </row>
    <row r="676" spans="1:17" x14ac:dyDescent="0.25">
      <c r="A676" s="10" t="s">
        <v>189</v>
      </c>
      <c r="B676" s="3" t="str">
        <f t="shared" si="34"/>
        <v>AMZN</v>
      </c>
      <c r="C676" s="3" t="str">
        <f t="shared" si="32"/>
        <v>260515</v>
      </c>
      <c r="D676" s="3" t="str">
        <f t="shared" si="33"/>
        <v>P00215000</v>
      </c>
      <c r="E676" s="44" t="s">
        <v>322</v>
      </c>
      <c r="F676" s="10">
        <v>215</v>
      </c>
      <c r="G676" s="41">
        <v>16.75</v>
      </c>
      <c r="H676" s="41">
        <v>17.350000000000001</v>
      </c>
      <c r="I676" s="41">
        <v>18.05</v>
      </c>
      <c r="J676" s="29">
        <v>-2.6</v>
      </c>
      <c r="K676" s="30">
        <v>-0.13439999999999999</v>
      </c>
      <c r="L676" s="41">
        <v>61</v>
      </c>
      <c r="M676" s="58">
        <v>3429</v>
      </c>
      <c r="N676" s="57">
        <v>0.36980000000000002</v>
      </c>
      <c r="O676" t="s">
        <v>65</v>
      </c>
      <c r="P676" s="9">
        <v>46077</v>
      </c>
      <c r="Q676">
        <v>208.56</v>
      </c>
    </row>
    <row r="677" spans="1:17" x14ac:dyDescent="0.25">
      <c r="A677" s="10" t="s">
        <v>190</v>
      </c>
      <c r="B677" s="3" t="str">
        <f t="shared" si="34"/>
        <v>AMZN</v>
      </c>
      <c r="C677" s="3" t="str">
        <f t="shared" si="32"/>
        <v>260515</v>
      </c>
      <c r="D677" s="3" t="str">
        <f t="shared" si="33"/>
        <v>P00220000</v>
      </c>
      <c r="E677" s="44" t="s">
        <v>323</v>
      </c>
      <c r="F677" s="10">
        <v>220</v>
      </c>
      <c r="G677" s="41">
        <v>20.55</v>
      </c>
      <c r="H677" s="41">
        <v>19.850000000000001</v>
      </c>
      <c r="I677" s="41">
        <v>20.45</v>
      </c>
      <c r="J677" s="25">
        <v>-2.34</v>
      </c>
      <c r="K677" s="26">
        <v>-0.1022</v>
      </c>
      <c r="L677" s="41">
        <v>89</v>
      </c>
      <c r="M677" s="58">
        <v>7090</v>
      </c>
      <c r="N677" s="57">
        <v>0.35020000000000001</v>
      </c>
      <c r="O677" t="s">
        <v>65</v>
      </c>
      <c r="P677" s="9">
        <v>46077</v>
      </c>
      <c r="Q677">
        <v>208.56</v>
      </c>
    </row>
    <row r="678" spans="1:17" x14ac:dyDescent="0.25">
      <c r="A678" s="10" t="s">
        <v>191</v>
      </c>
      <c r="B678" s="3" t="str">
        <f t="shared" si="34"/>
        <v>AMZN</v>
      </c>
      <c r="C678" s="3" t="str">
        <f t="shared" si="32"/>
        <v>260515</v>
      </c>
      <c r="D678" s="3" t="str">
        <f t="shared" si="33"/>
        <v>P00225000</v>
      </c>
      <c r="E678" s="44" t="s">
        <v>269</v>
      </c>
      <c r="F678" s="10">
        <v>225</v>
      </c>
      <c r="G678" s="41">
        <v>22.9</v>
      </c>
      <c r="H678" s="41">
        <v>22.55</v>
      </c>
      <c r="I678" s="41">
        <v>23.75</v>
      </c>
      <c r="J678" s="27">
        <v>-3.23</v>
      </c>
      <c r="K678" s="28">
        <v>-0.1236</v>
      </c>
      <c r="L678" s="41">
        <v>10</v>
      </c>
      <c r="M678" s="58">
        <v>4658</v>
      </c>
      <c r="N678" s="57">
        <v>0.34699999999999998</v>
      </c>
      <c r="O678" t="s">
        <v>65</v>
      </c>
      <c r="P678" s="9">
        <v>46077</v>
      </c>
      <c r="Q678">
        <v>208.56</v>
      </c>
    </row>
    <row r="679" spans="1:17" x14ac:dyDescent="0.25">
      <c r="A679" s="10" t="s">
        <v>192</v>
      </c>
      <c r="B679" s="3" t="str">
        <f t="shared" si="34"/>
        <v>AMZN</v>
      </c>
      <c r="C679" s="3" t="str">
        <f t="shared" si="32"/>
        <v>260515</v>
      </c>
      <c r="D679" s="3" t="str">
        <f t="shared" si="33"/>
        <v>P00230000</v>
      </c>
      <c r="E679" s="44" t="s">
        <v>269</v>
      </c>
      <c r="F679" s="10">
        <v>230</v>
      </c>
      <c r="G679" s="41">
        <v>26.55</v>
      </c>
      <c r="H679" s="41">
        <v>26.8</v>
      </c>
      <c r="I679" s="41">
        <v>28.1</v>
      </c>
      <c r="J679" s="27">
        <v>-3.1</v>
      </c>
      <c r="K679" s="28">
        <v>-0.1046</v>
      </c>
      <c r="L679" s="41">
        <v>16</v>
      </c>
      <c r="M679" s="58">
        <v>3210</v>
      </c>
      <c r="N679" s="57">
        <v>0.36730000000000002</v>
      </c>
      <c r="O679" t="s">
        <v>65</v>
      </c>
      <c r="P679" s="9">
        <v>46077</v>
      </c>
      <c r="Q679">
        <v>208.56</v>
      </c>
    </row>
    <row r="680" spans="1:17" x14ac:dyDescent="0.25">
      <c r="A680" s="10" t="s">
        <v>193</v>
      </c>
      <c r="B680" s="3" t="str">
        <f t="shared" si="34"/>
        <v>AMZN</v>
      </c>
      <c r="C680" s="3" t="str">
        <f t="shared" si="32"/>
        <v>260515</v>
      </c>
      <c r="D680" s="3" t="str">
        <f t="shared" si="33"/>
        <v>P00235000</v>
      </c>
      <c r="E680" s="44" t="s">
        <v>324</v>
      </c>
      <c r="F680" s="10">
        <v>235</v>
      </c>
      <c r="G680" s="41">
        <v>29.65</v>
      </c>
      <c r="H680" s="41">
        <v>30.1</v>
      </c>
      <c r="I680" s="41">
        <v>31.85</v>
      </c>
      <c r="J680" s="27">
        <v>-4.3499999999999996</v>
      </c>
      <c r="K680" s="28">
        <v>-0.12790000000000001</v>
      </c>
      <c r="L680" s="41">
        <v>32</v>
      </c>
      <c r="M680" s="58">
        <v>4783</v>
      </c>
      <c r="N680" s="57">
        <v>0.36520000000000002</v>
      </c>
      <c r="O680" t="s">
        <v>65</v>
      </c>
      <c r="P680" s="9">
        <v>46077</v>
      </c>
      <c r="Q680">
        <v>208.56</v>
      </c>
    </row>
    <row r="681" spans="1:17" x14ac:dyDescent="0.25">
      <c r="A681" s="10" t="s">
        <v>194</v>
      </c>
      <c r="B681" s="3" t="str">
        <f t="shared" si="34"/>
        <v>AMZN</v>
      </c>
      <c r="C681" s="3" t="str">
        <f t="shared" si="32"/>
        <v>260515</v>
      </c>
      <c r="D681" s="3" t="str">
        <f t="shared" si="33"/>
        <v>P00240000</v>
      </c>
      <c r="E681" s="44" t="s">
        <v>325</v>
      </c>
      <c r="F681" s="10">
        <v>240</v>
      </c>
      <c r="G681" s="41">
        <v>33.85</v>
      </c>
      <c r="H681" s="41">
        <v>34.25</v>
      </c>
      <c r="I681" s="41">
        <v>35.799999999999997</v>
      </c>
      <c r="J681" s="29">
        <v>-3.85</v>
      </c>
      <c r="K681" s="30">
        <v>-0.1021</v>
      </c>
      <c r="L681" s="41">
        <v>29</v>
      </c>
      <c r="M681" s="58">
        <v>2023</v>
      </c>
      <c r="N681" s="57">
        <v>0.36330000000000001</v>
      </c>
      <c r="O681" t="s">
        <v>65</v>
      </c>
      <c r="P681" s="9">
        <v>46077</v>
      </c>
      <c r="Q681">
        <v>208.56</v>
      </c>
    </row>
    <row r="682" spans="1:17" x14ac:dyDescent="0.25">
      <c r="A682" s="10" t="s">
        <v>195</v>
      </c>
      <c r="B682" s="3" t="str">
        <f t="shared" si="34"/>
        <v>AMZN</v>
      </c>
      <c r="C682" s="3" t="str">
        <f t="shared" si="32"/>
        <v>260515</v>
      </c>
      <c r="D682" s="3" t="str">
        <f t="shared" si="33"/>
        <v>P00245000</v>
      </c>
      <c r="E682" s="44" t="s">
        <v>326</v>
      </c>
      <c r="F682" s="10">
        <v>245</v>
      </c>
      <c r="G682" s="41">
        <v>38.15</v>
      </c>
      <c r="H682" s="41">
        <v>37.5</v>
      </c>
      <c r="I682" s="41">
        <v>40.1</v>
      </c>
      <c r="J682" s="27">
        <v>-4.2</v>
      </c>
      <c r="K682" s="28">
        <v>-9.9199999999999997E-2</v>
      </c>
      <c r="L682" s="41">
        <v>1</v>
      </c>
      <c r="M682" s="58">
        <v>1040</v>
      </c>
      <c r="N682" s="57">
        <v>0.36820000000000003</v>
      </c>
      <c r="O682" t="s">
        <v>65</v>
      </c>
      <c r="P682" s="9">
        <v>46077</v>
      </c>
      <c r="Q682">
        <v>208.56</v>
      </c>
    </row>
    <row r="683" spans="1:17" x14ac:dyDescent="0.25">
      <c r="A683" s="10" t="s">
        <v>196</v>
      </c>
      <c r="B683" s="3" t="str">
        <f t="shared" si="34"/>
        <v>AMZN</v>
      </c>
      <c r="C683" s="3" t="str">
        <f t="shared" si="32"/>
        <v>260515</v>
      </c>
      <c r="D683" s="3" t="str">
        <f t="shared" si="33"/>
        <v>P00250000</v>
      </c>
      <c r="E683" s="44" t="s">
        <v>327</v>
      </c>
      <c r="F683" s="10">
        <v>250</v>
      </c>
      <c r="G683" s="41">
        <v>42.65</v>
      </c>
      <c r="H683" s="41">
        <v>41.75</v>
      </c>
      <c r="I683" s="41">
        <v>44.65</v>
      </c>
      <c r="J683" s="29">
        <v>-4.28</v>
      </c>
      <c r="K683" s="30">
        <v>-9.1200000000000003E-2</v>
      </c>
      <c r="L683" s="41">
        <v>77</v>
      </c>
      <c r="M683" s="58">
        <v>2837</v>
      </c>
      <c r="N683" s="57">
        <v>0.37830000000000003</v>
      </c>
      <c r="O683" t="s">
        <v>65</v>
      </c>
      <c r="P683" s="9">
        <v>46077</v>
      </c>
      <c r="Q683">
        <v>208.56</v>
      </c>
    </row>
    <row r="684" spans="1:17" x14ac:dyDescent="0.25">
      <c r="A684" s="10" t="s">
        <v>197</v>
      </c>
      <c r="B684" s="3" t="str">
        <f t="shared" si="34"/>
        <v>AMZN</v>
      </c>
      <c r="C684" s="3" t="str">
        <f t="shared" si="32"/>
        <v>260515</v>
      </c>
      <c r="D684" s="3" t="str">
        <f t="shared" si="33"/>
        <v>P00255000</v>
      </c>
      <c r="E684" s="44" t="s">
        <v>328</v>
      </c>
      <c r="F684" s="10">
        <v>255</v>
      </c>
      <c r="G684" s="41">
        <v>46.3</v>
      </c>
      <c r="H684" s="41">
        <v>46.1</v>
      </c>
      <c r="I684" s="41">
        <v>49</v>
      </c>
      <c r="J684" s="29">
        <v>-5.5</v>
      </c>
      <c r="K684" s="30">
        <v>-0.1062</v>
      </c>
      <c r="L684" s="41">
        <v>20</v>
      </c>
      <c r="M684" s="58">
        <v>1199</v>
      </c>
      <c r="N684" s="57">
        <v>0.3765</v>
      </c>
      <c r="O684" t="s">
        <v>65</v>
      </c>
      <c r="P684" s="9">
        <v>46077</v>
      </c>
      <c r="Q684">
        <v>208.56</v>
      </c>
    </row>
    <row r="685" spans="1:17" x14ac:dyDescent="0.25">
      <c r="A685" s="10" t="s">
        <v>198</v>
      </c>
      <c r="B685" s="3" t="str">
        <f t="shared" si="34"/>
        <v>AMZN</v>
      </c>
      <c r="C685" s="3" t="str">
        <f t="shared" si="32"/>
        <v>260515</v>
      </c>
      <c r="D685" s="3" t="str">
        <f t="shared" si="33"/>
        <v>P00260000</v>
      </c>
      <c r="E685" s="44" t="s">
        <v>303</v>
      </c>
      <c r="F685" s="10">
        <v>260</v>
      </c>
      <c r="G685" s="41">
        <v>51.6</v>
      </c>
      <c r="H685" s="41">
        <v>51.65</v>
      </c>
      <c r="I685" s="41">
        <v>53.55</v>
      </c>
      <c r="J685" s="29">
        <v>-4.1500000000000004</v>
      </c>
      <c r="K685" s="30">
        <v>-7.4399999999999994E-2</v>
      </c>
      <c r="L685" s="41">
        <v>30</v>
      </c>
      <c r="M685" s="58">
        <v>1495</v>
      </c>
      <c r="N685" s="57">
        <v>0.37890000000000001</v>
      </c>
      <c r="O685" t="s">
        <v>65</v>
      </c>
      <c r="P685" s="9">
        <v>46077</v>
      </c>
      <c r="Q685">
        <v>208.56</v>
      </c>
    </row>
    <row r="686" spans="1:17" x14ac:dyDescent="0.25">
      <c r="A686" s="10" t="s">
        <v>199</v>
      </c>
      <c r="B686" s="3" t="str">
        <f t="shared" si="34"/>
        <v>AMZN</v>
      </c>
      <c r="C686" s="3" t="str">
        <f t="shared" si="32"/>
        <v>260515</v>
      </c>
      <c r="D686" s="3" t="str">
        <f t="shared" si="33"/>
        <v>P00265000</v>
      </c>
      <c r="E686" s="44">
        <v>46358.464583333334</v>
      </c>
      <c r="F686" s="10">
        <v>265</v>
      </c>
      <c r="G686" s="41">
        <v>67.38</v>
      </c>
      <c r="H686" s="41">
        <v>55.2</v>
      </c>
      <c r="I686" s="41">
        <v>58.4</v>
      </c>
      <c r="J686" s="27">
        <v>0</v>
      </c>
      <c r="K686" s="28">
        <v>0</v>
      </c>
      <c r="L686" s="41">
        <v>4</v>
      </c>
      <c r="M686" s="41">
        <v>125</v>
      </c>
      <c r="N686" s="57">
        <v>0.39340000000000003</v>
      </c>
      <c r="O686" t="s">
        <v>65</v>
      </c>
      <c r="P686" s="9">
        <v>46077</v>
      </c>
      <c r="Q686">
        <v>208.56</v>
      </c>
    </row>
    <row r="687" spans="1:17" x14ac:dyDescent="0.25">
      <c r="A687" s="10" t="s">
        <v>200</v>
      </c>
      <c r="B687" s="3" t="str">
        <f t="shared" si="34"/>
        <v>AMZN</v>
      </c>
      <c r="C687" s="3" t="str">
        <f t="shared" si="32"/>
        <v>260515</v>
      </c>
      <c r="D687" s="3" t="str">
        <f t="shared" si="33"/>
        <v>P00270000</v>
      </c>
      <c r="E687" s="44" t="s">
        <v>329</v>
      </c>
      <c r="F687" s="10">
        <v>270</v>
      </c>
      <c r="G687" s="41">
        <v>61.52</v>
      </c>
      <c r="H687" s="41">
        <v>60.35</v>
      </c>
      <c r="I687" s="41">
        <v>62.95</v>
      </c>
      <c r="J687" s="29">
        <v>-2.66</v>
      </c>
      <c r="K687" s="30">
        <v>-4.1399999999999999E-2</v>
      </c>
      <c r="L687" s="41">
        <v>8</v>
      </c>
      <c r="M687" s="41">
        <v>136</v>
      </c>
      <c r="N687" s="57">
        <v>0.38879999999999998</v>
      </c>
      <c r="O687" t="s">
        <v>65</v>
      </c>
      <c r="P687" s="9">
        <v>46077</v>
      </c>
      <c r="Q687">
        <v>208.56</v>
      </c>
    </row>
    <row r="688" spans="1:17" x14ac:dyDescent="0.25">
      <c r="A688" s="10" t="s">
        <v>201</v>
      </c>
      <c r="B688" s="3" t="str">
        <f t="shared" si="34"/>
        <v>AMZN</v>
      </c>
      <c r="C688" s="3" t="str">
        <f t="shared" si="32"/>
        <v>260515</v>
      </c>
      <c r="D688" s="3" t="str">
        <f t="shared" si="33"/>
        <v>P00275000</v>
      </c>
      <c r="E688" s="44">
        <v>46297.456944444442</v>
      </c>
      <c r="F688" s="10">
        <v>275</v>
      </c>
      <c r="G688" s="41">
        <v>64.05</v>
      </c>
      <c r="H688" s="41">
        <v>64.95</v>
      </c>
      <c r="I688" s="41">
        <v>68.150000000000006</v>
      </c>
      <c r="J688" s="27">
        <v>0</v>
      </c>
      <c r="K688" s="28">
        <v>0</v>
      </c>
      <c r="L688" s="41">
        <v>2</v>
      </c>
      <c r="M688" s="41">
        <v>8</v>
      </c>
      <c r="N688" s="57">
        <v>0.42109999999999997</v>
      </c>
      <c r="O688" t="s">
        <v>65</v>
      </c>
      <c r="P688" s="9">
        <v>46077</v>
      </c>
      <c r="Q688">
        <v>208.56</v>
      </c>
    </row>
    <row r="689" spans="1:17" x14ac:dyDescent="0.25">
      <c r="A689" s="10" t="s">
        <v>202</v>
      </c>
      <c r="B689" s="3" t="str">
        <f t="shared" si="34"/>
        <v>AMZN</v>
      </c>
      <c r="C689" s="3" t="str">
        <f t="shared" si="32"/>
        <v>260515</v>
      </c>
      <c r="D689" s="3" t="str">
        <f t="shared" si="33"/>
        <v>P00280000</v>
      </c>
      <c r="E689" s="44" t="s">
        <v>330</v>
      </c>
      <c r="F689" s="10">
        <v>280</v>
      </c>
      <c r="G689" s="41">
        <v>70.510000000000005</v>
      </c>
      <c r="H689" s="41">
        <v>69.55</v>
      </c>
      <c r="I689" s="41">
        <v>73.099999999999994</v>
      </c>
      <c r="J689" s="27">
        <v>0</v>
      </c>
      <c r="K689" s="28">
        <v>0</v>
      </c>
      <c r="L689" s="41">
        <v>6</v>
      </c>
      <c r="M689" s="41">
        <v>0</v>
      </c>
      <c r="N689" s="57">
        <v>0.43769999999999998</v>
      </c>
      <c r="O689" t="s">
        <v>65</v>
      </c>
      <c r="P689" s="9">
        <v>46077</v>
      </c>
      <c r="Q689">
        <v>208.56</v>
      </c>
    </row>
    <row r="690" spans="1:17" x14ac:dyDescent="0.25">
      <c r="A690" s="10" t="s">
        <v>203</v>
      </c>
      <c r="B690" s="3" t="str">
        <f t="shared" si="34"/>
        <v>AMZN</v>
      </c>
      <c r="C690" s="3" t="str">
        <f t="shared" si="32"/>
        <v>260515</v>
      </c>
      <c r="D690" s="3" t="str">
        <f t="shared" si="33"/>
        <v>P00285000</v>
      </c>
      <c r="E690" s="44">
        <v>46114.581250000003</v>
      </c>
      <c r="F690" s="10">
        <v>285</v>
      </c>
      <c r="G690" s="41">
        <v>54.58</v>
      </c>
      <c r="H690" s="41">
        <v>74.5</v>
      </c>
      <c r="I690" s="41">
        <v>78.099999999999994</v>
      </c>
      <c r="J690" s="27">
        <v>0</v>
      </c>
      <c r="K690" s="28">
        <v>0</v>
      </c>
      <c r="L690" s="41">
        <v>8</v>
      </c>
      <c r="M690" s="41">
        <v>0</v>
      </c>
      <c r="N690" s="57">
        <v>0.45679999999999998</v>
      </c>
      <c r="O690" t="s">
        <v>65</v>
      </c>
      <c r="P690" s="9">
        <v>46077</v>
      </c>
      <c r="Q690">
        <v>208.56</v>
      </c>
    </row>
    <row r="691" spans="1:17" x14ac:dyDescent="0.25">
      <c r="A691" s="10" t="s">
        <v>204</v>
      </c>
      <c r="B691" s="3" t="str">
        <f t="shared" si="34"/>
        <v>AMZN</v>
      </c>
      <c r="C691" s="3" t="str">
        <f t="shared" si="32"/>
        <v>260515</v>
      </c>
      <c r="D691" s="3" t="str">
        <f t="shared" si="33"/>
        <v>P00290000</v>
      </c>
      <c r="E691" s="44" t="s">
        <v>268</v>
      </c>
      <c r="F691" s="10">
        <v>290</v>
      </c>
      <c r="G691" s="41">
        <v>89.3</v>
      </c>
      <c r="H691" s="41">
        <v>79.5</v>
      </c>
      <c r="I691" s="41">
        <v>83.25</v>
      </c>
      <c r="J691" s="27">
        <v>0</v>
      </c>
      <c r="K691" s="28">
        <v>0</v>
      </c>
      <c r="L691" s="41">
        <v>2</v>
      </c>
      <c r="M691" s="41">
        <v>0</v>
      </c>
      <c r="N691" s="57">
        <v>0.48499999999999999</v>
      </c>
      <c r="O691" t="s">
        <v>65</v>
      </c>
      <c r="P691" s="9">
        <v>46077</v>
      </c>
      <c r="Q691">
        <v>208.56</v>
      </c>
    </row>
    <row r="692" spans="1:17" x14ac:dyDescent="0.25">
      <c r="A692" s="10" t="s">
        <v>205</v>
      </c>
      <c r="B692" s="3" t="str">
        <f t="shared" si="34"/>
        <v>AMZN</v>
      </c>
      <c r="C692" s="3" t="str">
        <f t="shared" ref="C692:C755" si="35">+MID(A692,5,6)</f>
        <v>260515</v>
      </c>
      <c r="D692" s="3" t="str">
        <f t="shared" ref="D692:D755" si="36">+MID(A692,11,10)</f>
        <v>P00295000</v>
      </c>
      <c r="E692" s="44">
        <v>46175.633333333331</v>
      </c>
      <c r="F692" s="10">
        <v>295</v>
      </c>
      <c r="G692" s="41">
        <v>87.1</v>
      </c>
      <c r="H692" s="41">
        <v>84.5</v>
      </c>
      <c r="I692" s="41">
        <v>88.25</v>
      </c>
      <c r="J692" s="27">
        <v>0</v>
      </c>
      <c r="K692" s="28">
        <v>0</v>
      </c>
      <c r="L692" s="41">
        <v>111</v>
      </c>
      <c r="M692" s="41">
        <v>0</v>
      </c>
      <c r="N692" s="57">
        <v>0.50319999999999998</v>
      </c>
      <c r="O692" t="s">
        <v>65</v>
      </c>
      <c r="P692" s="9">
        <v>46077</v>
      </c>
      <c r="Q692">
        <v>208.56</v>
      </c>
    </row>
    <row r="693" spans="1:17" x14ac:dyDescent="0.25">
      <c r="A693" s="10" t="s">
        <v>206</v>
      </c>
      <c r="B693" s="3" t="str">
        <f t="shared" si="34"/>
        <v>AMZN</v>
      </c>
      <c r="C693" s="3" t="str">
        <f t="shared" si="35"/>
        <v>260515</v>
      </c>
      <c r="D693" s="3" t="str">
        <f t="shared" si="36"/>
        <v>P00300000</v>
      </c>
      <c r="E693" s="44">
        <v>46175.633333333331</v>
      </c>
      <c r="F693" s="10">
        <v>300</v>
      </c>
      <c r="G693" s="41">
        <v>92.2</v>
      </c>
      <c r="H693" s="41">
        <v>90.25</v>
      </c>
      <c r="I693" s="41">
        <v>92.85</v>
      </c>
      <c r="J693" s="27">
        <v>0</v>
      </c>
      <c r="K693" s="28">
        <v>0</v>
      </c>
      <c r="L693" s="41">
        <v>250</v>
      </c>
      <c r="M693" s="41">
        <v>0</v>
      </c>
      <c r="N693" s="57">
        <v>0.49299999999999999</v>
      </c>
      <c r="O693" t="s">
        <v>65</v>
      </c>
      <c r="P693" s="9">
        <v>46077</v>
      </c>
      <c r="Q693">
        <v>208.56</v>
      </c>
    </row>
    <row r="694" spans="1:17" x14ac:dyDescent="0.25">
      <c r="A694" s="10" t="s">
        <v>207</v>
      </c>
      <c r="B694" s="3" t="str">
        <f t="shared" si="34"/>
        <v>AMZN</v>
      </c>
      <c r="C694" s="3" t="str">
        <f t="shared" si="35"/>
        <v>260515</v>
      </c>
      <c r="D694" s="3" t="str">
        <f t="shared" si="36"/>
        <v>P00305000</v>
      </c>
      <c r="E694" s="44">
        <v>45973.415277777778</v>
      </c>
      <c r="F694" s="10">
        <v>305</v>
      </c>
      <c r="G694" s="41">
        <v>75.2</v>
      </c>
      <c r="H694" s="41">
        <v>65.150000000000006</v>
      </c>
      <c r="I694" s="41">
        <v>66.25</v>
      </c>
      <c r="J694" s="27">
        <v>0</v>
      </c>
      <c r="K694" s="28">
        <v>0</v>
      </c>
      <c r="L694" s="41">
        <v>5</v>
      </c>
      <c r="M694" s="41">
        <v>0</v>
      </c>
      <c r="N694" s="57">
        <v>0</v>
      </c>
      <c r="O694" t="s">
        <v>65</v>
      </c>
      <c r="P694" s="9">
        <v>46077</v>
      </c>
      <c r="Q694">
        <v>208.56</v>
      </c>
    </row>
    <row r="695" spans="1:17" x14ac:dyDescent="0.25">
      <c r="A695" s="10" t="s">
        <v>208</v>
      </c>
      <c r="B695" s="3" t="str">
        <f t="shared" si="34"/>
        <v>AMZN</v>
      </c>
      <c r="C695" s="3" t="str">
        <f t="shared" si="35"/>
        <v>260515</v>
      </c>
      <c r="D695" s="3" t="str">
        <f t="shared" si="36"/>
        <v>P00310000</v>
      </c>
      <c r="E695" s="44">
        <v>46358.4375</v>
      </c>
      <c r="F695" s="10">
        <v>310</v>
      </c>
      <c r="G695" s="41">
        <v>107.67</v>
      </c>
      <c r="H695" s="41">
        <v>99.5</v>
      </c>
      <c r="I695" s="41">
        <v>103.25</v>
      </c>
      <c r="J695" s="27">
        <v>0</v>
      </c>
      <c r="K695" s="28">
        <v>0</v>
      </c>
      <c r="L695" s="41">
        <v>1</v>
      </c>
      <c r="M695" s="41">
        <v>0</v>
      </c>
      <c r="N695" s="57">
        <v>0.55510000000000004</v>
      </c>
      <c r="O695" t="s">
        <v>65</v>
      </c>
      <c r="P695" s="9">
        <v>46077</v>
      </c>
      <c r="Q695">
        <v>208.56</v>
      </c>
    </row>
    <row r="696" spans="1:17" x14ac:dyDescent="0.25">
      <c r="A696" s="10" t="s">
        <v>209</v>
      </c>
      <c r="B696" s="3" t="str">
        <f t="shared" si="34"/>
        <v>AMZN</v>
      </c>
      <c r="C696" s="3" t="str">
        <f t="shared" si="35"/>
        <v>260515</v>
      </c>
      <c r="D696" s="3" t="str">
        <f t="shared" si="36"/>
        <v>P00315000</v>
      </c>
      <c r="E696" s="44">
        <v>46174.548611111109</v>
      </c>
      <c r="F696" s="10">
        <v>315</v>
      </c>
      <c r="G696" s="41">
        <v>73.739999999999995</v>
      </c>
      <c r="H696" s="41">
        <v>115.6</v>
      </c>
      <c r="I696" s="41">
        <v>118.05</v>
      </c>
      <c r="J696" s="27">
        <v>0</v>
      </c>
      <c r="K696" s="28">
        <v>0</v>
      </c>
      <c r="L696" s="41">
        <v>1</v>
      </c>
      <c r="M696" s="41">
        <v>0</v>
      </c>
      <c r="N696" s="57">
        <v>0.93899999999999995</v>
      </c>
      <c r="O696" t="s">
        <v>65</v>
      </c>
      <c r="P696" s="9">
        <v>46077</v>
      </c>
      <c r="Q696">
        <v>208.56</v>
      </c>
    </row>
    <row r="697" spans="1:17" x14ac:dyDescent="0.25">
      <c r="A697" s="10" t="s">
        <v>210</v>
      </c>
      <c r="B697" s="3" t="str">
        <f t="shared" si="34"/>
        <v>AMZN</v>
      </c>
      <c r="C697" s="3" t="str">
        <f t="shared" si="35"/>
        <v>260515</v>
      </c>
      <c r="D697" s="3" t="str">
        <f t="shared" si="36"/>
        <v>P00320000</v>
      </c>
      <c r="E697" s="44">
        <v>46357.511111111111</v>
      </c>
      <c r="F697" s="10">
        <v>320</v>
      </c>
      <c r="G697" s="41">
        <v>72.3</v>
      </c>
      <c r="H697" s="41">
        <v>120.5</v>
      </c>
      <c r="I697" s="41">
        <v>123.05</v>
      </c>
      <c r="J697" s="27">
        <v>0</v>
      </c>
      <c r="K697" s="28">
        <v>0</v>
      </c>
      <c r="L697" s="41">
        <v>10</v>
      </c>
      <c r="M697" s="41">
        <v>0</v>
      </c>
      <c r="N697" s="57">
        <v>0.95750000000000002</v>
      </c>
      <c r="O697" t="s">
        <v>65</v>
      </c>
      <c r="P697" s="9">
        <v>46077</v>
      </c>
      <c r="Q697">
        <v>208.56</v>
      </c>
    </row>
    <row r="698" spans="1:17" x14ac:dyDescent="0.25">
      <c r="A698" s="10" t="s">
        <v>211</v>
      </c>
      <c r="B698" s="3" t="str">
        <f t="shared" si="34"/>
        <v>AMZN</v>
      </c>
      <c r="C698" s="3" t="str">
        <f t="shared" si="35"/>
        <v>260515</v>
      </c>
      <c r="D698" s="3" t="str">
        <f t="shared" si="36"/>
        <v>P00325000</v>
      </c>
      <c r="E698" s="44">
        <v>45972.587500000001</v>
      </c>
      <c r="F698" s="10">
        <v>325</v>
      </c>
      <c r="G698" s="41">
        <v>76.680000000000007</v>
      </c>
      <c r="H698" s="41">
        <v>86.8</v>
      </c>
      <c r="I698" s="41">
        <v>89.35</v>
      </c>
      <c r="J698" s="27">
        <v>0</v>
      </c>
      <c r="K698" s="28">
        <v>0</v>
      </c>
      <c r="L698" s="41">
        <v>12</v>
      </c>
      <c r="M698" s="41">
        <v>0</v>
      </c>
      <c r="N698" s="57">
        <v>0</v>
      </c>
      <c r="O698" t="s">
        <v>65</v>
      </c>
      <c r="P698" s="9">
        <v>46077</v>
      </c>
      <c r="Q698">
        <v>208.56</v>
      </c>
    </row>
    <row r="699" spans="1:17" x14ac:dyDescent="0.25">
      <c r="A699" s="10" t="s">
        <v>212</v>
      </c>
      <c r="B699" s="3" t="str">
        <f t="shared" si="34"/>
        <v>AMZN</v>
      </c>
      <c r="C699" s="3" t="str">
        <f t="shared" si="35"/>
        <v>260515</v>
      </c>
      <c r="D699" s="3" t="str">
        <f t="shared" si="36"/>
        <v>P00330000</v>
      </c>
      <c r="E699" s="44">
        <v>46175.400694444441</v>
      </c>
      <c r="F699" s="10">
        <v>330</v>
      </c>
      <c r="G699" s="41">
        <v>128.12</v>
      </c>
      <c r="H699" s="41">
        <v>119.5</v>
      </c>
      <c r="I699" s="41">
        <v>123.25</v>
      </c>
      <c r="J699" s="27">
        <v>0</v>
      </c>
      <c r="K699" s="28">
        <v>0</v>
      </c>
      <c r="L699" s="41">
        <v>1</v>
      </c>
      <c r="M699" s="41">
        <v>0</v>
      </c>
      <c r="N699" s="57">
        <v>0.61850000000000005</v>
      </c>
      <c r="O699" t="s">
        <v>65</v>
      </c>
      <c r="P699" s="9">
        <v>46077</v>
      </c>
      <c r="Q699">
        <v>208.56</v>
      </c>
    </row>
    <row r="700" spans="1:17" x14ac:dyDescent="0.25">
      <c r="A700" s="10" t="s">
        <v>112</v>
      </c>
      <c r="B700" s="3" t="str">
        <f t="shared" si="34"/>
        <v>AMZN</v>
      </c>
      <c r="C700" s="3" t="str">
        <f t="shared" si="35"/>
        <v>260515</v>
      </c>
      <c r="D700" s="3" t="str">
        <f t="shared" si="36"/>
        <v>P00340000</v>
      </c>
      <c r="E700" s="44">
        <v>45727.46875</v>
      </c>
      <c r="F700" s="10">
        <v>340</v>
      </c>
      <c r="G700" s="41">
        <v>85.25</v>
      </c>
      <c r="H700" s="41">
        <v>102.15</v>
      </c>
      <c r="I700" s="41">
        <v>104.05</v>
      </c>
      <c r="J700" s="27">
        <v>0</v>
      </c>
      <c r="K700" s="28">
        <v>0</v>
      </c>
      <c r="L700" s="41" t="s">
        <v>113</v>
      </c>
      <c r="M700" s="41">
        <v>0</v>
      </c>
      <c r="N700" s="57">
        <v>0</v>
      </c>
      <c r="O700" t="s">
        <v>65</v>
      </c>
      <c r="P700" s="9">
        <v>46077</v>
      </c>
      <c r="Q700">
        <v>208.56</v>
      </c>
    </row>
    <row r="701" spans="1:17" x14ac:dyDescent="0.25">
      <c r="A701" s="10" t="s">
        <v>114</v>
      </c>
      <c r="B701" s="3" t="str">
        <f t="shared" si="34"/>
        <v>AMZN</v>
      </c>
      <c r="C701" s="3" t="str">
        <f t="shared" si="35"/>
        <v>260515</v>
      </c>
      <c r="D701" s="3" t="str">
        <f t="shared" si="36"/>
        <v>P00350000</v>
      </c>
      <c r="E701" s="44" t="s">
        <v>331</v>
      </c>
      <c r="F701" s="10">
        <v>350</v>
      </c>
      <c r="G701" s="41">
        <v>141.56</v>
      </c>
      <c r="H701" s="41">
        <v>139.5</v>
      </c>
      <c r="I701" s="41">
        <v>143.25</v>
      </c>
      <c r="J701" s="29">
        <v>-2.14</v>
      </c>
      <c r="K701" s="30">
        <v>-1.49E-2</v>
      </c>
      <c r="L701" s="41">
        <v>1</v>
      </c>
      <c r="M701" s="41">
        <v>1</v>
      </c>
      <c r="N701" s="57">
        <v>0.67659999999999998</v>
      </c>
      <c r="O701" t="s">
        <v>65</v>
      </c>
      <c r="P701" s="9">
        <v>46077</v>
      </c>
      <c r="Q701">
        <v>208.56</v>
      </c>
    </row>
    <row r="702" spans="1:17" x14ac:dyDescent="0.25">
      <c r="A702" s="10" t="s">
        <v>115</v>
      </c>
      <c r="B702" s="3" t="str">
        <f t="shared" si="34"/>
        <v>AMZN</v>
      </c>
      <c r="C702" s="3" t="str">
        <f t="shared" si="35"/>
        <v>260515</v>
      </c>
      <c r="D702" s="3" t="str">
        <f t="shared" si="36"/>
        <v>P00360000</v>
      </c>
      <c r="E702" s="44" t="s">
        <v>332</v>
      </c>
      <c r="F702" s="10">
        <v>360</v>
      </c>
      <c r="G702" s="41">
        <v>153.72</v>
      </c>
      <c r="H702" s="41">
        <v>149.5</v>
      </c>
      <c r="I702" s="41">
        <v>153.15</v>
      </c>
      <c r="J702" s="27">
        <v>0</v>
      </c>
      <c r="K702" s="28">
        <v>0</v>
      </c>
      <c r="L702" s="41">
        <v>1</v>
      </c>
      <c r="M702" s="41">
        <v>0</v>
      </c>
      <c r="N702" s="57">
        <v>0.69599999999999995</v>
      </c>
      <c r="O702" t="s">
        <v>65</v>
      </c>
      <c r="P702" s="9">
        <v>46077</v>
      </c>
      <c r="Q702">
        <v>208.56</v>
      </c>
    </row>
    <row r="703" spans="1:17" x14ac:dyDescent="0.25">
      <c r="A703" s="10" t="s">
        <v>116</v>
      </c>
      <c r="B703" s="3" t="str">
        <f t="shared" si="34"/>
        <v>AMZN</v>
      </c>
      <c r="C703" s="3" t="str">
        <f t="shared" si="35"/>
        <v>260515</v>
      </c>
      <c r="D703" s="3" t="str">
        <f t="shared" si="36"/>
        <v>P00370000</v>
      </c>
      <c r="E703" s="44" t="s">
        <v>220</v>
      </c>
      <c r="F703" s="10">
        <v>370</v>
      </c>
      <c r="G703" s="41">
        <v>126.6</v>
      </c>
      <c r="H703" s="41">
        <v>159.6</v>
      </c>
      <c r="I703" s="41">
        <v>163.25</v>
      </c>
      <c r="J703" s="27">
        <v>0</v>
      </c>
      <c r="K703" s="28">
        <v>0</v>
      </c>
      <c r="L703" s="41">
        <v>1</v>
      </c>
      <c r="M703" s="41">
        <v>0</v>
      </c>
      <c r="N703" s="57">
        <v>0.73019999999999996</v>
      </c>
      <c r="O703" t="s">
        <v>65</v>
      </c>
      <c r="P703" s="9">
        <v>46077</v>
      </c>
      <c r="Q703">
        <v>208.56</v>
      </c>
    </row>
    <row r="704" spans="1:17" x14ac:dyDescent="0.25">
      <c r="A704" s="10" t="s">
        <v>333</v>
      </c>
      <c r="B704" s="3" t="str">
        <f t="shared" si="34"/>
        <v>AMZN</v>
      </c>
      <c r="C704" s="3" t="str">
        <f t="shared" si="35"/>
        <v>260227</v>
      </c>
      <c r="D704" s="3" t="str">
        <f t="shared" si="36"/>
        <v>C00125000</v>
      </c>
      <c r="E704" s="46" t="s">
        <v>334</v>
      </c>
      <c r="F704" s="11">
        <v>125</v>
      </c>
      <c r="G704" s="41">
        <v>83.07</v>
      </c>
      <c r="H704" s="41">
        <v>81.599999999999994</v>
      </c>
      <c r="I704" s="41">
        <v>84.85</v>
      </c>
      <c r="J704" s="29">
        <v>-2.46</v>
      </c>
      <c r="K704" s="30">
        <v>-2.8799999999999999E-2</v>
      </c>
      <c r="L704" s="41">
        <v>127</v>
      </c>
      <c r="M704" s="41">
        <v>38</v>
      </c>
      <c r="N704" s="57">
        <v>3.3711000000000002</v>
      </c>
      <c r="O704" t="s">
        <v>62</v>
      </c>
      <c r="P704" s="9">
        <v>46079</v>
      </c>
      <c r="Q704">
        <v>207.92</v>
      </c>
    </row>
    <row r="705" spans="1:17" x14ac:dyDescent="0.25">
      <c r="A705" s="10" t="s">
        <v>335</v>
      </c>
      <c r="B705" s="3" t="str">
        <f t="shared" si="34"/>
        <v>AMZN</v>
      </c>
      <c r="C705" s="3" t="str">
        <f t="shared" si="35"/>
        <v>260227</v>
      </c>
      <c r="D705" s="3" t="str">
        <f t="shared" si="36"/>
        <v>C00135000</v>
      </c>
      <c r="E705" s="46" t="s">
        <v>336</v>
      </c>
      <c r="F705" s="11">
        <v>135</v>
      </c>
      <c r="G705" s="41">
        <v>72.739999999999995</v>
      </c>
      <c r="H705" s="41">
        <v>71</v>
      </c>
      <c r="I705" s="41">
        <v>74.849999999999994</v>
      </c>
      <c r="J705" s="29">
        <v>-2.69</v>
      </c>
      <c r="K705" s="30">
        <v>-3.5700000000000003E-2</v>
      </c>
      <c r="L705" s="41">
        <v>14</v>
      </c>
      <c r="M705" s="41">
        <v>24</v>
      </c>
      <c r="N705" s="57">
        <v>1.8438000000000001</v>
      </c>
      <c r="O705" t="s">
        <v>62</v>
      </c>
      <c r="P705" s="9">
        <v>46079</v>
      </c>
      <c r="Q705">
        <v>207.92</v>
      </c>
    </row>
    <row r="706" spans="1:17" x14ac:dyDescent="0.25">
      <c r="A706" s="10" t="s">
        <v>337</v>
      </c>
      <c r="B706" s="3" t="str">
        <f t="shared" si="34"/>
        <v>AMZN</v>
      </c>
      <c r="C706" s="3" t="str">
        <f t="shared" si="35"/>
        <v>260227</v>
      </c>
      <c r="D706" s="3" t="str">
        <f t="shared" si="36"/>
        <v>C00140000</v>
      </c>
      <c r="E706" s="46" t="s">
        <v>338</v>
      </c>
      <c r="F706" s="11">
        <v>140</v>
      </c>
      <c r="G706" s="41">
        <v>68.12</v>
      </c>
      <c r="H706" s="41">
        <v>66.75</v>
      </c>
      <c r="I706" s="41">
        <v>69.150000000000006</v>
      </c>
      <c r="J706" s="29">
        <v>-0.38</v>
      </c>
      <c r="K706" s="30">
        <v>-5.4999999999999997E-3</v>
      </c>
      <c r="L706" s="41">
        <v>106</v>
      </c>
      <c r="M706" s="41">
        <v>60</v>
      </c>
      <c r="N706" s="57">
        <v>2</v>
      </c>
      <c r="O706" t="s">
        <v>62</v>
      </c>
      <c r="P706" s="9">
        <v>46079</v>
      </c>
      <c r="Q706">
        <v>207.92</v>
      </c>
    </row>
    <row r="707" spans="1:17" x14ac:dyDescent="0.25">
      <c r="A707" s="10" t="s">
        <v>339</v>
      </c>
      <c r="B707" s="3" t="str">
        <f t="shared" ref="B707:B770" si="37">+MID(A707,1,4)</f>
        <v>AMZN</v>
      </c>
      <c r="C707" s="3" t="str">
        <f t="shared" si="35"/>
        <v>260227</v>
      </c>
      <c r="D707" s="3" t="str">
        <f t="shared" si="36"/>
        <v>C00145000</v>
      </c>
      <c r="E707" s="46" t="s">
        <v>340</v>
      </c>
      <c r="F707" s="11">
        <v>145</v>
      </c>
      <c r="G707" s="41">
        <v>62.76</v>
      </c>
      <c r="H707" s="41">
        <v>61</v>
      </c>
      <c r="I707" s="41">
        <v>64.849999999999994</v>
      </c>
      <c r="J707" s="29">
        <v>-2.83</v>
      </c>
      <c r="K707" s="30">
        <v>-4.3099999999999999E-2</v>
      </c>
      <c r="L707" s="41">
        <v>4</v>
      </c>
      <c r="M707" s="41">
        <v>17</v>
      </c>
      <c r="N707" s="57">
        <v>1.5625</v>
      </c>
      <c r="O707" t="s">
        <v>62</v>
      </c>
      <c r="P707" s="9">
        <v>46079</v>
      </c>
      <c r="Q707">
        <v>207.92</v>
      </c>
    </row>
    <row r="708" spans="1:17" x14ac:dyDescent="0.25">
      <c r="A708" s="10" t="s">
        <v>341</v>
      </c>
      <c r="B708" s="3" t="str">
        <f t="shared" si="37"/>
        <v>AMZN</v>
      </c>
      <c r="C708" s="3" t="str">
        <f t="shared" si="35"/>
        <v>260227</v>
      </c>
      <c r="D708" s="3" t="str">
        <f t="shared" si="36"/>
        <v>C00150000</v>
      </c>
      <c r="E708" s="46" t="s">
        <v>342</v>
      </c>
      <c r="F708" s="11">
        <v>150</v>
      </c>
      <c r="G708" s="41">
        <v>58.06</v>
      </c>
      <c r="H708" s="41">
        <v>56</v>
      </c>
      <c r="I708" s="41">
        <v>59.85</v>
      </c>
      <c r="J708" s="29">
        <v>-2.66</v>
      </c>
      <c r="K708" s="30">
        <v>-4.3799999999999999E-2</v>
      </c>
      <c r="L708" s="41">
        <v>1</v>
      </c>
      <c r="M708" s="41">
        <v>35</v>
      </c>
      <c r="N708" s="57">
        <v>1.4375</v>
      </c>
      <c r="O708" t="s">
        <v>62</v>
      </c>
      <c r="P708" s="9">
        <v>46079</v>
      </c>
      <c r="Q708">
        <v>207.92</v>
      </c>
    </row>
    <row r="709" spans="1:17" x14ac:dyDescent="0.25">
      <c r="A709" s="10" t="s">
        <v>343</v>
      </c>
      <c r="B709" s="3" t="str">
        <f t="shared" si="37"/>
        <v>AMZN</v>
      </c>
      <c r="C709" s="3" t="str">
        <f t="shared" si="35"/>
        <v>260227</v>
      </c>
      <c r="D709" s="3" t="str">
        <f t="shared" si="36"/>
        <v>C00155000</v>
      </c>
      <c r="E709" s="46" t="s">
        <v>344</v>
      </c>
      <c r="F709" s="11">
        <v>155</v>
      </c>
      <c r="G709" s="41">
        <v>52.79</v>
      </c>
      <c r="H709" s="41">
        <v>51.05</v>
      </c>
      <c r="I709" s="41">
        <v>54.85</v>
      </c>
      <c r="J709" s="29">
        <v>-2.93</v>
      </c>
      <c r="K709" s="30">
        <v>-5.2600000000000001E-2</v>
      </c>
      <c r="L709" s="41">
        <v>30</v>
      </c>
      <c r="M709" s="41">
        <v>21</v>
      </c>
      <c r="N709" s="57">
        <v>1.5313000000000001</v>
      </c>
      <c r="O709" t="s">
        <v>62</v>
      </c>
      <c r="P709" s="9">
        <v>46079</v>
      </c>
      <c r="Q709">
        <v>207.92</v>
      </c>
    </row>
    <row r="710" spans="1:17" x14ac:dyDescent="0.25">
      <c r="A710" s="10" t="s">
        <v>345</v>
      </c>
      <c r="B710" s="3" t="str">
        <f t="shared" si="37"/>
        <v>AMZN</v>
      </c>
      <c r="C710" s="3" t="str">
        <f t="shared" si="35"/>
        <v>260227</v>
      </c>
      <c r="D710" s="3" t="str">
        <f t="shared" si="36"/>
        <v>C00160000</v>
      </c>
      <c r="E710" s="46" t="s">
        <v>346</v>
      </c>
      <c r="F710" s="11">
        <v>160</v>
      </c>
      <c r="G710" s="41">
        <v>48.33</v>
      </c>
      <c r="H710" s="41">
        <v>46.9</v>
      </c>
      <c r="I710" s="41">
        <v>49.5</v>
      </c>
      <c r="J710" s="29">
        <v>-2.12</v>
      </c>
      <c r="K710" s="30">
        <v>-4.2000000000000003E-2</v>
      </c>
      <c r="L710" s="41">
        <v>155</v>
      </c>
      <c r="M710" s="41">
        <v>104</v>
      </c>
      <c r="N710" s="57">
        <v>1.8652</v>
      </c>
      <c r="O710" t="s">
        <v>62</v>
      </c>
      <c r="P710" s="9">
        <v>46079</v>
      </c>
      <c r="Q710">
        <v>207.92</v>
      </c>
    </row>
    <row r="711" spans="1:17" x14ac:dyDescent="0.25">
      <c r="A711" s="10" t="s">
        <v>347</v>
      </c>
      <c r="B711" s="3" t="str">
        <f t="shared" si="37"/>
        <v>AMZN</v>
      </c>
      <c r="C711" s="3" t="str">
        <f t="shared" si="35"/>
        <v>260227</v>
      </c>
      <c r="D711" s="3" t="str">
        <f t="shared" si="36"/>
        <v>C00165000</v>
      </c>
      <c r="E711" s="46" t="s">
        <v>348</v>
      </c>
      <c r="F711" s="11">
        <v>165</v>
      </c>
      <c r="G711" s="41">
        <v>43.29</v>
      </c>
      <c r="H711" s="41">
        <v>41.5</v>
      </c>
      <c r="I711" s="41">
        <v>44.45</v>
      </c>
      <c r="J711" s="29">
        <v>-2.15</v>
      </c>
      <c r="K711" s="30">
        <v>-4.7300000000000002E-2</v>
      </c>
      <c r="L711" s="41">
        <v>83</v>
      </c>
      <c r="M711" s="41">
        <v>17</v>
      </c>
      <c r="N711" s="57">
        <v>1.3203</v>
      </c>
      <c r="O711" t="s">
        <v>62</v>
      </c>
      <c r="P711" s="9">
        <v>46079</v>
      </c>
      <c r="Q711">
        <v>207.92</v>
      </c>
    </row>
    <row r="712" spans="1:17" x14ac:dyDescent="0.25">
      <c r="A712" s="10" t="s">
        <v>349</v>
      </c>
      <c r="B712" s="3" t="str">
        <f t="shared" si="37"/>
        <v>AMZN</v>
      </c>
      <c r="C712" s="3" t="str">
        <f t="shared" si="35"/>
        <v>260227</v>
      </c>
      <c r="D712" s="3" t="str">
        <f t="shared" si="36"/>
        <v>C00170000</v>
      </c>
      <c r="E712" s="46" t="s">
        <v>350</v>
      </c>
      <c r="F712" s="11">
        <v>170</v>
      </c>
      <c r="G712" s="41">
        <v>40.270000000000003</v>
      </c>
      <c r="H712" s="41">
        <v>36</v>
      </c>
      <c r="I712" s="41">
        <v>39.85</v>
      </c>
      <c r="J712" s="27">
        <v>0</v>
      </c>
      <c r="K712" s="28">
        <v>0</v>
      </c>
      <c r="L712" s="41">
        <v>7</v>
      </c>
      <c r="M712" s="41">
        <v>56</v>
      </c>
      <c r="N712" s="57">
        <v>0.90629999999999999</v>
      </c>
      <c r="O712" t="s">
        <v>62</v>
      </c>
      <c r="P712" s="9">
        <v>46079</v>
      </c>
      <c r="Q712">
        <v>207.92</v>
      </c>
    </row>
    <row r="713" spans="1:17" x14ac:dyDescent="0.25">
      <c r="A713" s="10" t="s">
        <v>351</v>
      </c>
      <c r="B713" s="3" t="str">
        <f t="shared" si="37"/>
        <v>AMZN</v>
      </c>
      <c r="C713" s="3" t="str">
        <f t="shared" si="35"/>
        <v>260227</v>
      </c>
      <c r="D713" s="3" t="str">
        <f t="shared" si="36"/>
        <v>C00175000</v>
      </c>
      <c r="E713" s="46" t="s">
        <v>352</v>
      </c>
      <c r="F713" s="11">
        <v>175</v>
      </c>
      <c r="G713" s="41">
        <v>32.51</v>
      </c>
      <c r="H713" s="41">
        <v>31.05</v>
      </c>
      <c r="I713" s="41">
        <v>34.85</v>
      </c>
      <c r="J713" s="29">
        <v>-2.86</v>
      </c>
      <c r="K713" s="30">
        <v>-8.09E-2</v>
      </c>
      <c r="L713" s="41">
        <v>1</v>
      </c>
      <c r="M713" s="41">
        <v>81</v>
      </c>
      <c r="N713" s="57">
        <v>0.94530000000000003</v>
      </c>
      <c r="O713" t="s">
        <v>62</v>
      </c>
      <c r="P713" s="9">
        <v>46079</v>
      </c>
      <c r="Q713">
        <v>207.92</v>
      </c>
    </row>
    <row r="714" spans="1:17" x14ac:dyDescent="0.25">
      <c r="A714" s="10" t="s">
        <v>353</v>
      </c>
      <c r="B714" s="3" t="str">
        <f t="shared" si="37"/>
        <v>AMZN</v>
      </c>
      <c r="C714" s="3" t="str">
        <f t="shared" si="35"/>
        <v>260227</v>
      </c>
      <c r="D714" s="3" t="str">
        <f t="shared" si="36"/>
        <v>C00177500</v>
      </c>
      <c r="E714" s="46" t="s">
        <v>354</v>
      </c>
      <c r="F714" s="11">
        <v>177.5</v>
      </c>
      <c r="G714" s="41">
        <v>30.82</v>
      </c>
      <c r="H714" s="41">
        <v>28.6</v>
      </c>
      <c r="I714" s="41">
        <v>32.35</v>
      </c>
      <c r="J714" s="27">
        <v>0</v>
      </c>
      <c r="K714" s="28">
        <v>0</v>
      </c>
      <c r="L714" s="41">
        <v>4</v>
      </c>
      <c r="M714" s="41">
        <v>4</v>
      </c>
      <c r="N714" s="57">
        <v>0.94530000000000003</v>
      </c>
      <c r="O714" t="s">
        <v>62</v>
      </c>
      <c r="P714" s="9">
        <v>46079</v>
      </c>
      <c r="Q714">
        <v>207.92</v>
      </c>
    </row>
    <row r="715" spans="1:17" x14ac:dyDescent="0.25">
      <c r="A715" s="10" t="s">
        <v>355</v>
      </c>
      <c r="B715" s="3" t="str">
        <f t="shared" si="37"/>
        <v>AMZN</v>
      </c>
      <c r="C715" s="3" t="str">
        <f t="shared" si="35"/>
        <v>260227</v>
      </c>
      <c r="D715" s="3" t="str">
        <f t="shared" si="36"/>
        <v>C00180000</v>
      </c>
      <c r="E715" s="46" t="s">
        <v>356</v>
      </c>
      <c r="F715" s="11">
        <v>180</v>
      </c>
      <c r="G715" s="41">
        <v>28.03</v>
      </c>
      <c r="H715" s="41">
        <v>26.95</v>
      </c>
      <c r="I715" s="41">
        <v>29.5</v>
      </c>
      <c r="J715" s="29">
        <v>-2.97</v>
      </c>
      <c r="K715" s="30">
        <v>-9.5799999999999996E-2</v>
      </c>
      <c r="L715" s="41">
        <v>6</v>
      </c>
      <c r="M715" s="41">
        <v>189</v>
      </c>
      <c r="N715" s="57">
        <v>1.1494</v>
      </c>
      <c r="O715" t="s">
        <v>62</v>
      </c>
      <c r="P715" s="9">
        <v>46079</v>
      </c>
      <c r="Q715">
        <v>207.92</v>
      </c>
    </row>
    <row r="716" spans="1:17" x14ac:dyDescent="0.25">
      <c r="A716" s="10" t="s">
        <v>357</v>
      </c>
      <c r="B716" s="3" t="str">
        <f t="shared" si="37"/>
        <v>AMZN</v>
      </c>
      <c r="C716" s="3" t="str">
        <f t="shared" si="35"/>
        <v>260227</v>
      </c>
      <c r="D716" s="3" t="str">
        <f t="shared" si="36"/>
        <v>C00182500</v>
      </c>
      <c r="E716" s="46" t="s">
        <v>358</v>
      </c>
      <c r="F716" s="11">
        <v>182.5</v>
      </c>
      <c r="G716" s="41">
        <v>26.33</v>
      </c>
      <c r="H716" s="41">
        <v>23.6</v>
      </c>
      <c r="I716" s="41">
        <v>27.4</v>
      </c>
      <c r="J716" s="27">
        <v>0</v>
      </c>
      <c r="K716" s="28">
        <v>0</v>
      </c>
      <c r="L716" s="41">
        <v>34</v>
      </c>
      <c r="M716" s="41">
        <v>76</v>
      </c>
      <c r="N716" s="57">
        <v>0.84179999999999999</v>
      </c>
      <c r="O716" t="s">
        <v>62</v>
      </c>
      <c r="P716" s="9">
        <v>46079</v>
      </c>
      <c r="Q716">
        <v>207.92</v>
      </c>
    </row>
    <row r="717" spans="1:17" x14ac:dyDescent="0.25">
      <c r="A717" s="10" t="s">
        <v>359</v>
      </c>
      <c r="B717" s="3" t="str">
        <f t="shared" si="37"/>
        <v>AMZN</v>
      </c>
      <c r="C717" s="3" t="str">
        <f t="shared" si="35"/>
        <v>260227</v>
      </c>
      <c r="D717" s="3" t="str">
        <f t="shared" si="36"/>
        <v>C00185000</v>
      </c>
      <c r="E717" s="46" t="s">
        <v>360</v>
      </c>
      <c r="F717" s="11">
        <v>185</v>
      </c>
      <c r="G717" s="41">
        <v>21.42</v>
      </c>
      <c r="H717" s="41">
        <v>21.65</v>
      </c>
      <c r="I717" s="41">
        <v>23.7</v>
      </c>
      <c r="J717" s="29">
        <v>-4.34</v>
      </c>
      <c r="K717" s="30">
        <v>-0.16850000000000001</v>
      </c>
      <c r="L717" s="41">
        <v>3</v>
      </c>
      <c r="M717" s="41">
        <v>291</v>
      </c>
      <c r="N717" s="57">
        <v>1.2051000000000001</v>
      </c>
      <c r="O717" t="s">
        <v>62</v>
      </c>
      <c r="P717" s="9">
        <v>46079</v>
      </c>
      <c r="Q717">
        <v>207.92</v>
      </c>
    </row>
    <row r="718" spans="1:17" x14ac:dyDescent="0.25">
      <c r="A718" s="10" t="s">
        <v>361</v>
      </c>
      <c r="B718" s="3" t="str">
        <f t="shared" si="37"/>
        <v>AMZN</v>
      </c>
      <c r="C718" s="3" t="str">
        <f t="shared" si="35"/>
        <v>260227</v>
      </c>
      <c r="D718" s="3" t="str">
        <f t="shared" si="36"/>
        <v>C00187500</v>
      </c>
      <c r="E718" s="46" t="s">
        <v>362</v>
      </c>
      <c r="F718" s="11">
        <v>187.5</v>
      </c>
      <c r="G718" s="41">
        <v>22.6</v>
      </c>
      <c r="H718" s="41">
        <v>18.7</v>
      </c>
      <c r="I718" s="41">
        <v>22.4</v>
      </c>
      <c r="J718" s="27">
        <v>0</v>
      </c>
      <c r="K718" s="28">
        <v>0</v>
      </c>
      <c r="L718" s="41">
        <v>4</v>
      </c>
      <c r="M718" s="58">
        <v>1046</v>
      </c>
      <c r="N718" s="57">
        <v>0.74609999999999999</v>
      </c>
      <c r="O718" t="s">
        <v>62</v>
      </c>
      <c r="P718" s="9">
        <v>46079</v>
      </c>
      <c r="Q718">
        <v>207.92</v>
      </c>
    </row>
    <row r="719" spans="1:17" x14ac:dyDescent="0.25">
      <c r="A719" s="10" t="s">
        <v>363</v>
      </c>
      <c r="B719" s="3" t="str">
        <f t="shared" si="37"/>
        <v>AMZN</v>
      </c>
      <c r="C719" s="3" t="str">
        <f t="shared" si="35"/>
        <v>260227</v>
      </c>
      <c r="D719" s="3" t="str">
        <f t="shared" si="36"/>
        <v>C00190000</v>
      </c>
      <c r="E719" s="46" t="s">
        <v>364</v>
      </c>
      <c r="F719" s="11">
        <v>190</v>
      </c>
      <c r="G719" s="41">
        <v>18</v>
      </c>
      <c r="H719" s="41">
        <v>16.8</v>
      </c>
      <c r="I719" s="41">
        <v>18.7</v>
      </c>
      <c r="J719" s="29">
        <v>-1.5</v>
      </c>
      <c r="K719" s="30">
        <v>-7.6899999999999996E-2</v>
      </c>
      <c r="L719" s="41">
        <v>46</v>
      </c>
      <c r="M719" s="58">
        <v>1213</v>
      </c>
      <c r="N719" s="57">
        <v>0.99409999999999998</v>
      </c>
      <c r="O719" t="s">
        <v>62</v>
      </c>
      <c r="P719" s="9">
        <v>46079</v>
      </c>
      <c r="Q719">
        <v>207.92</v>
      </c>
    </row>
    <row r="720" spans="1:17" x14ac:dyDescent="0.25">
      <c r="A720" s="10" t="s">
        <v>365</v>
      </c>
      <c r="B720" s="3" t="str">
        <f t="shared" si="37"/>
        <v>AMZN</v>
      </c>
      <c r="C720" s="3" t="str">
        <f t="shared" si="35"/>
        <v>260227</v>
      </c>
      <c r="D720" s="3" t="str">
        <f t="shared" si="36"/>
        <v>C00192500</v>
      </c>
      <c r="E720" s="46" t="s">
        <v>366</v>
      </c>
      <c r="F720" s="11">
        <v>192.5</v>
      </c>
      <c r="G720" s="41">
        <v>13.91</v>
      </c>
      <c r="H720" s="41">
        <v>13.8</v>
      </c>
      <c r="I720" s="41">
        <v>16.8</v>
      </c>
      <c r="J720" s="29">
        <v>-3.09</v>
      </c>
      <c r="K720" s="30">
        <v>-0.18179999999999999</v>
      </c>
      <c r="L720" s="41">
        <v>11</v>
      </c>
      <c r="M720" s="41">
        <v>200</v>
      </c>
      <c r="N720" s="57">
        <v>1.0673999999999999</v>
      </c>
      <c r="O720" t="s">
        <v>62</v>
      </c>
      <c r="P720" s="9">
        <v>46079</v>
      </c>
      <c r="Q720">
        <v>207.92</v>
      </c>
    </row>
    <row r="721" spans="1:17" x14ac:dyDescent="0.25">
      <c r="A721" s="10" t="s">
        <v>367</v>
      </c>
      <c r="B721" s="3" t="str">
        <f t="shared" si="37"/>
        <v>AMZN</v>
      </c>
      <c r="C721" s="3" t="str">
        <f t="shared" si="35"/>
        <v>260227</v>
      </c>
      <c r="D721" s="3" t="str">
        <f t="shared" si="36"/>
        <v>C00195000</v>
      </c>
      <c r="E721" s="46" t="s">
        <v>340</v>
      </c>
      <c r="F721" s="11">
        <v>195</v>
      </c>
      <c r="G721" s="41">
        <v>12.85</v>
      </c>
      <c r="H721" s="41">
        <v>11.95</v>
      </c>
      <c r="I721" s="41">
        <v>13.3</v>
      </c>
      <c r="J721" s="29">
        <v>-1.8</v>
      </c>
      <c r="K721" s="30">
        <v>-0.1229</v>
      </c>
      <c r="L721" s="41">
        <v>83</v>
      </c>
      <c r="M721" s="58">
        <v>1500</v>
      </c>
      <c r="N721" s="57">
        <v>0.63719999999999999</v>
      </c>
      <c r="O721" t="s">
        <v>62</v>
      </c>
      <c r="P721" s="9">
        <v>46079</v>
      </c>
      <c r="Q721">
        <v>207.92</v>
      </c>
    </row>
    <row r="722" spans="1:17" x14ac:dyDescent="0.25">
      <c r="A722" s="10" t="s">
        <v>368</v>
      </c>
      <c r="B722" s="3" t="str">
        <f t="shared" si="37"/>
        <v>AMZN</v>
      </c>
      <c r="C722" s="3" t="str">
        <f t="shared" si="35"/>
        <v>260227</v>
      </c>
      <c r="D722" s="3" t="str">
        <f t="shared" si="36"/>
        <v>C00197500</v>
      </c>
      <c r="E722" s="46" t="s">
        <v>369</v>
      </c>
      <c r="F722" s="11">
        <v>197.5</v>
      </c>
      <c r="G722" s="41">
        <v>10.6</v>
      </c>
      <c r="H722" s="41">
        <v>10.1</v>
      </c>
      <c r="I722" s="41">
        <v>10.6</v>
      </c>
      <c r="J722" s="29">
        <v>-2.5</v>
      </c>
      <c r="K722" s="30">
        <v>-0.1908</v>
      </c>
      <c r="L722" s="41">
        <v>142</v>
      </c>
      <c r="M722" s="58">
        <v>1415</v>
      </c>
      <c r="N722" s="57">
        <v>0.45019999999999999</v>
      </c>
      <c r="O722" t="s">
        <v>62</v>
      </c>
      <c r="P722" s="9">
        <v>46079</v>
      </c>
      <c r="Q722">
        <v>207.92</v>
      </c>
    </row>
    <row r="723" spans="1:17" x14ac:dyDescent="0.25">
      <c r="A723" s="10" t="s">
        <v>370</v>
      </c>
      <c r="B723" s="3" t="str">
        <f t="shared" si="37"/>
        <v>AMZN</v>
      </c>
      <c r="C723" s="3" t="str">
        <f t="shared" si="35"/>
        <v>260227</v>
      </c>
      <c r="D723" s="3" t="str">
        <f t="shared" si="36"/>
        <v>C00200000</v>
      </c>
      <c r="E723" s="46" t="s">
        <v>356</v>
      </c>
      <c r="F723" s="11">
        <v>200</v>
      </c>
      <c r="G723" s="41">
        <v>8.1</v>
      </c>
      <c r="H723" s="41">
        <v>8</v>
      </c>
      <c r="I723" s="41">
        <v>8.1999999999999993</v>
      </c>
      <c r="J723" s="29">
        <v>-2.7</v>
      </c>
      <c r="K723" s="30">
        <v>-0.25</v>
      </c>
      <c r="L723" s="41">
        <v>613</v>
      </c>
      <c r="M723" s="58">
        <v>11740</v>
      </c>
      <c r="N723" s="57">
        <v>0.40429999999999999</v>
      </c>
      <c r="O723" t="s">
        <v>62</v>
      </c>
      <c r="P723" s="9">
        <v>46079</v>
      </c>
      <c r="Q723">
        <v>207.92</v>
      </c>
    </row>
    <row r="724" spans="1:17" x14ac:dyDescent="0.25">
      <c r="A724" s="10" t="s">
        <v>371</v>
      </c>
      <c r="B724" s="3" t="str">
        <f t="shared" si="37"/>
        <v>AMZN</v>
      </c>
      <c r="C724" s="3" t="str">
        <f t="shared" si="35"/>
        <v>260227</v>
      </c>
      <c r="D724" s="3" t="str">
        <f t="shared" si="36"/>
        <v>C00202500</v>
      </c>
      <c r="E724" s="46" t="s">
        <v>372</v>
      </c>
      <c r="F724" s="11">
        <v>202.5</v>
      </c>
      <c r="G724" s="41">
        <v>5.65</v>
      </c>
      <c r="H724" s="41">
        <v>5.5</v>
      </c>
      <c r="I724" s="41">
        <v>6</v>
      </c>
      <c r="J724" s="29">
        <v>-2.69</v>
      </c>
      <c r="K724" s="30">
        <v>-0.32250000000000001</v>
      </c>
      <c r="L724" s="41">
        <v>702</v>
      </c>
      <c r="M724" s="58">
        <v>2533</v>
      </c>
      <c r="N724" s="57">
        <v>0.3901</v>
      </c>
      <c r="O724" t="s">
        <v>62</v>
      </c>
      <c r="P724" s="9">
        <v>46079</v>
      </c>
      <c r="Q724">
        <v>207.92</v>
      </c>
    </row>
    <row r="725" spans="1:17" x14ac:dyDescent="0.25">
      <c r="A725" s="10" t="s">
        <v>373</v>
      </c>
      <c r="B725" s="3" t="str">
        <f t="shared" si="37"/>
        <v>AMZN</v>
      </c>
      <c r="C725" s="3" t="str">
        <f t="shared" si="35"/>
        <v>260227</v>
      </c>
      <c r="D725" s="3" t="str">
        <f t="shared" si="36"/>
        <v>C00205000</v>
      </c>
      <c r="E725" s="46" t="s">
        <v>374</v>
      </c>
      <c r="F725" s="11">
        <v>205</v>
      </c>
      <c r="G725" s="41">
        <v>3.55</v>
      </c>
      <c r="H725" s="41">
        <v>3.4</v>
      </c>
      <c r="I725" s="41">
        <v>3.55</v>
      </c>
      <c r="J725" s="29">
        <v>-2.85</v>
      </c>
      <c r="K725" s="30">
        <v>-0.44529999999999997</v>
      </c>
      <c r="L725" s="58">
        <v>6716</v>
      </c>
      <c r="M725" s="58">
        <v>8359</v>
      </c>
      <c r="N725" s="57">
        <v>0.28000000000000003</v>
      </c>
      <c r="O725" t="s">
        <v>62</v>
      </c>
      <c r="P725" s="9">
        <v>46079</v>
      </c>
      <c r="Q725">
        <v>207.92</v>
      </c>
    </row>
    <row r="726" spans="1:17" x14ac:dyDescent="0.25">
      <c r="A726" s="10" t="s">
        <v>375</v>
      </c>
      <c r="B726" s="3" t="str">
        <f t="shared" si="37"/>
        <v>AMZN</v>
      </c>
      <c r="C726" s="3" t="str">
        <f t="shared" si="35"/>
        <v>260227</v>
      </c>
      <c r="D726" s="3" t="str">
        <f t="shared" si="36"/>
        <v>C00207500</v>
      </c>
      <c r="E726" s="46" t="s">
        <v>376</v>
      </c>
      <c r="F726" s="11">
        <v>207.5</v>
      </c>
      <c r="G726" s="41">
        <v>1.73</v>
      </c>
      <c r="H726" s="41">
        <v>1.74</v>
      </c>
      <c r="I726" s="41">
        <v>1.78</v>
      </c>
      <c r="J726" s="29">
        <v>-2.61</v>
      </c>
      <c r="K726" s="30">
        <v>-0.60140000000000005</v>
      </c>
      <c r="L726" s="58">
        <v>21277</v>
      </c>
      <c r="M726" s="58">
        <v>7531</v>
      </c>
      <c r="N726" s="57">
        <v>0.25440000000000002</v>
      </c>
      <c r="O726" t="s">
        <v>62</v>
      </c>
      <c r="P726" s="9">
        <v>46079</v>
      </c>
      <c r="Q726">
        <v>207.92</v>
      </c>
    </row>
    <row r="727" spans="1:17" x14ac:dyDescent="0.25">
      <c r="A727" s="10" t="s">
        <v>377</v>
      </c>
      <c r="B727" s="3" t="str">
        <f t="shared" si="37"/>
        <v>AMZN</v>
      </c>
      <c r="C727" s="3" t="str">
        <f t="shared" si="35"/>
        <v>260227</v>
      </c>
      <c r="D727" s="3" t="str">
        <f t="shared" si="36"/>
        <v>C00210000</v>
      </c>
      <c r="E727" s="46" t="s">
        <v>376</v>
      </c>
      <c r="F727" s="11">
        <v>210</v>
      </c>
      <c r="G727" s="41">
        <v>0.65</v>
      </c>
      <c r="H727" s="41">
        <v>0.64</v>
      </c>
      <c r="I727" s="41">
        <v>0.67</v>
      </c>
      <c r="J727" s="29">
        <v>-1.96</v>
      </c>
      <c r="K727" s="30">
        <v>-0.751</v>
      </c>
      <c r="L727" s="58">
        <v>36223</v>
      </c>
      <c r="M727" s="58">
        <v>16366</v>
      </c>
      <c r="N727" s="57">
        <v>0.24049999999999999</v>
      </c>
      <c r="O727" t="s">
        <v>62</v>
      </c>
      <c r="P727" s="9">
        <v>46079</v>
      </c>
      <c r="Q727">
        <v>207.92</v>
      </c>
    </row>
    <row r="728" spans="1:17" x14ac:dyDescent="0.25">
      <c r="A728" s="10" t="s">
        <v>378</v>
      </c>
      <c r="B728" s="3" t="str">
        <f t="shared" si="37"/>
        <v>AMZN</v>
      </c>
      <c r="C728" s="3" t="str">
        <f t="shared" si="35"/>
        <v>260227</v>
      </c>
      <c r="D728" s="3" t="str">
        <f t="shared" si="36"/>
        <v>C00212500</v>
      </c>
      <c r="E728" s="46" t="s">
        <v>376</v>
      </c>
      <c r="F728" s="11">
        <v>212.5</v>
      </c>
      <c r="G728" s="41">
        <v>0.19</v>
      </c>
      <c r="H728" s="41">
        <v>0.19</v>
      </c>
      <c r="I728" s="41">
        <v>0.2</v>
      </c>
      <c r="J728" s="29">
        <v>-1.19</v>
      </c>
      <c r="K728" s="30">
        <v>-0.86229999999999996</v>
      </c>
      <c r="L728" s="58">
        <v>29973</v>
      </c>
      <c r="M728" s="58">
        <v>16605</v>
      </c>
      <c r="N728" s="57">
        <v>0.2402</v>
      </c>
      <c r="O728" t="s">
        <v>62</v>
      </c>
      <c r="P728" s="9">
        <v>46079</v>
      </c>
      <c r="Q728">
        <v>207.92</v>
      </c>
    </row>
    <row r="729" spans="1:17" x14ac:dyDescent="0.25">
      <c r="A729" s="10" t="s">
        <v>379</v>
      </c>
      <c r="B729" s="3" t="str">
        <f t="shared" si="37"/>
        <v>AMZN</v>
      </c>
      <c r="C729" s="3" t="str">
        <f t="shared" si="35"/>
        <v>260227</v>
      </c>
      <c r="D729" s="3" t="str">
        <f t="shared" si="36"/>
        <v>C00215000</v>
      </c>
      <c r="E729" s="46" t="s">
        <v>376</v>
      </c>
      <c r="F729" s="11">
        <v>215</v>
      </c>
      <c r="G729" s="41">
        <v>7.0000000000000007E-2</v>
      </c>
      <c r="H729" s="41">
        <v>7.0000000000000007E-2</v>
      </c>
      <c r="I729" s="41">
        <v>0.08</v>
      </c>
      <c r="J729" s="29">
        <v>-0.56999999999999995</v>
      </c>
      <c r="K729" s="30">
        <v>-0.89059999999999995</v>
      </c>
      <c r="L729" s="58">
        <v>20524</v>
      </c>
      <c r="M729" s="58">
        <v>32218</v>
      </c>
      <c r="N729" s="57">
        <v>0.26860000000000001</v>
      </c>
      <c r="O729" t="s">
        <v>62</v>
      </c>
      <c r="P729" s="9">
        <v>46079</v>
      </c>
      <c r="Q729">
        <v>207.92</v>
      </c>
    </row>
    <row r="730" spans="1:17" x14ac:dyDescent="0.25">
      <c r="A730" s="10" t="s">
        <v>380</v>
      </c>
      <c r="B730" s="3" t="str">
        <f t="shared" si="37"/>
        <v>AMZN</v>
      </c>
      <c r="C730" s="3" t="str">
        <f t="shared" si="35"/>
        <v>260227</v>
      </c>
      <c r="D730" s="3" t="str">
        <f t="shared" si="36"/>
        <v>C00217500</v>
      </c>
      <c r="E730" s="46" t="s">
        <v>376</v>
      </c>
      <c r="F730" s="11">
        <v>217.5</v>
      </c>
      <c r="G730" s="41">
        <v>0.05</v>
      </c>
      <c r="H730" s="41">
        <v>0.04</v>
      </c>
      <c r="I730" s="41">
        <v>0.05</v>
      </c>
      <c r="J730" s="29">
        <v>-0.23</v>
      </c>
      <c r="K730" s="30">
        <v>-0.82140000000000002</v>
      </c>
      <c r="L730" s="58">
        <v>5670</v>
      </c>
      <c r="M730" s="58">
        <v>7536</v>
      </c>
      <c r="N730" s="57">
        <v>0.3145</v>
      </c>
      <c r="O730" t="s">
        <v>62</v>
      </c>
      <c r="P730" s="9">
        <v>46079</v>
      </c>
      <c r="Q730">
        <v>207.92</v>
      </c>
    </row>
    <row r="731" spans="1:17" x14ac:dyDescent="0.25">
      <c r="A731" s="10" t="s">
        <v>381</v>
      </c>
      <c r="B731" s="3" t="str">
        <f t="shared" si="37"/>
        <v>AMZN</v>
      </c>
      <c r="C731" s="3" t="str">
        <f t="shared" si="35"/>
        <v>260227</v>
      </c>
      <c r="D731" s="3" t="str">
        <f t="shared" si="36"/>
        <v>C00220000</v>
      </c>
      <c r="E731" s="46" t="s">
        <v>372</v>
      </c>
      <c r="F731" s="11">
        <v>220</v>
      </c>
      <c r="G731" s="41">
        <v>0.02</v>
      </c>
      <c r="H731" s="41">
        <v>0.02</v>
      </c>
      <c r="I731" s="41">
        <v>0.03</v>
      </c>
      <c r="J731" s="29">
        <v>-0.11</v>
      </c>
      <c r="K731" s="30">
        <v>-0.84619999999999995</v>
      </c>
      <c r="L731" s="58">
        <v>8544</v>
      </c>
      <c r="M731" s="58">
        <v>22761</v>
      </c>
      <c r="N731" s="57">
        <v>0.35160000000000002</v>
      </c>
      <c r="O731" t="s">
        <v>62</v>
      </c>
      <c r="P731" s="9">
        <v>46079</v>
      </c>
      <c r="Q731">
        <v>207.92</v>
      </c>
    </row>
    <row r="732" spans="1:17" x14ac:dyDescent="0.25">
      <c r="A732" s="10" t="s">
        <v>382</v>
      </c>
      <c r="B732" s="3" t="str">
        <f t="shared" si="37"/>
        <v>AMZN</v>
      </c>
      <c r="C732" s="3" t="str">
        <f t="shared" si="35"/>
        <v>260227</v>
      </c>
      <c r="D732" s="3" t="str">
        <f t="shared" si="36"/>
        <v>C00222500</v>
      </c>
      <c r="E732" s="46" t="s">
        <v>383</v>
      </c>
      <c r="F732" s="11">
        <v>222.5</v>
      </c>
      <c r="G732" s="41">
        <v>0.02</v>
      </c>
      <c r="H732" s="41">
        <v>0.02</v>
      </c>
      <c r="I732" s="41">
        <v>0.03</v>
      </c>
      <c r="J732" s="29">
        <v>-0.04</v>
      </c>
      <c r="K732" s="30">
        <v>-0.66669999999999996</v>
      </c>
      <c r="L732" s="58">
        <v>1147</v>
      </c>
      <c r="M732" s="58">
        <v>8272</v>
      </c>
      <c r="N732" s="57">
        <v>0.41020000000000001</v>
      </c>
      <c r="O732" t="s">
        <v>62</v>
      </c>
      <c r="P732" s="9">
        <v>46079</v>
      </c>
      <c r="Q732">
        <v>207.92</v>
      </c>
    </row>
    <row r="733" spans="1:17" x14ac:dyDescent="0.25">
      <c r="A733" s="10" t="s">
        <v>384</v>
      </c>
      <c r="B733" s="3" t="str">
        <f t="shared" si="37"/>
        <v>AMZN</v>
      </c>
      <c r="C733" s="3" t="str">
        <f t="shared" si="35"/>
        <v>260227</v>
      </c>
      <c r="D733" s="3" t="str">
        <f t="shared" si="36"/>
        <v>C00225000</v>
      </c>
      <c r="E733" s="46" t="s">
        <v>372</v>
      </c>
      <c r="F733" s="11">
        <v>225</v>
      </c>
      <c r="G733" s="41">
        <v>0.02</v>
      </c>
      <c r="H733" s="41">
        <v>0.01</v>
      </c>
      <c r="I733" s="41">
        <v>0.02</v>
      </c>
      <c r="J733" s="27">
        <v>0</v>
      </c>
      <c r="K733" s="28">
        <v>0</v>
      </c>
      <c r="L733" s="41">
        <v>629</v>
      </c>
      <c r="M733" s="58">
        <v>7405</v>
      </c>
      <c r="N733" s="57">
        <v>0.44529999999999997</v>
      </c>
      <c r="O733" t="s">
        <v>62</v>
      </c>
      <c r="P733" s="9">
        <v>46079</v>
      </c>
      <c r="Q733">
        <v>207.92</v>
      </c>
    </row>
    <row r="734" spans="1:17" x14ac:dyDescent="0.25">
      <c r="A734" s="10" t="s">
        <v>385</v>
      </c>
      <c r="B734" s="3" t="str">
        <f t="shared" si="37"/>
        <v>AMZN</v>
      </c>
      <c r="C734" s="3" t="str">
        <f t="shared" si="35"/>
        <v>260227</v>
      </c>
      <c r="D734" s="3" t="str">
        <f t="shared" si="36"/>
        <v>C00227500</v>
      </c>
      <c r="E734" s="46" t="s">
        <v>340</v>
      </c>
      <c r="F734" s="11">
        <v>227.5</v>
      </c>
      <c r="G734" s="41">
        <v>0.02</v>
      </c>
      <c r="H734" s="41">
        <v>0.01</v>
      </c>
      <c r="I734" s="41">
        <v>0.02</v>
      </c>
      <c r="J734" s="25">
        <v>0.01</v>
      </c>
      <c r="K734" s="26">
        <v>1</v>
      </c>
      <c r="L734" s="58">
        <v>1428</v>
      </c>
      <c r="M734" s="58">
        <v>2282</v>
      </c>
      <c r="N734" s="57">
        <v>0.5</v>
      </c>
      <c r="O734" t="s">
        <v>62</v>
      </c>
      <c r="P734" s="9">
        <v>46079</v>
      </c>
      <c r="Q734">
        <v>207.92</v>
      </c>
    </row>
    <row r="735" spans="1:17" x14ac:dyDescent="0.25">
      <c r="A735" s="10" t="s">
        <v>386</v>
      </c>
      <c r="B735" s="3" t="str">
        <f t="shared" si="37"/>
        <v>AMZN</v>
      </c>
      <c r="C735" s="3" t="str">
        <f t="shared" si="35"/>
        <v>260227</v>
      </c>
      <c r="D735" s="3" t="str">
        <f t="shared" si="36"/>
        <v>C00230000</v>
      </c>
      <c r="E735" s="46" t="s">
        <v>387</v>
      </c>
      <c r="F735" s="11">
        <v>230</v>
      </c>
      <c r="G735" s="41">
        <v>0.01</v>
      </c>
      <c r="H735" s="41">
        <v>0</v>
      </c>
      <c r="I735" s="41">
        <v>0.01</v>
      </c>
      <c r="J735" s="27">
        <v>0</v>
      </c>
      <c r="K735" s="28">
        <v>0</v>
      </c>
      <c r="L735" s="41">
        <v>216</v>
      </c>
      <c r="M735" s="58">
        <v>3551</v>
      </c>
      <c r="N735" s="57">
        <v>0.51559999999999995</v>
      </c>
      <c r="O735" t="s">
        <v>62</v>
      </c>
      <c r="P735" s="9">
        <v>46079</v>
      </c>
      <c r="Q735">
        <v>207.92</v>
      </c>
    </row>
    <row r="736" spans="1:17" x14ac:dyDescent="0.25">
      <c r="A736" s="10" t="s">
        <v>388</v>
      </c>
      <c r="B736" s="3" t="str">
        <f t="shared" si="37"/>
        <v>AMZN</v>
      </c>
      <c r="C736" s="3" t="str">
        <f t="shared" si="35"/>
        <v>260227</v>
      </c>
      <c r="D736" s="3" t="str">
        <f t="shared" si="36"/>
        <v>C00232500</v>
      </c>
      <c r="E736" s="46" t="s">
        <v>389</v>
      </c>
      <c r="F736" s="11">
        <v>232.5</v>
      </c>
      <c r="G736" s="41">
        <v>0.01</v>
      </c>
      <c r="H736" s="41">
        <v>0</v>
      </c>
      <c r="I736" s="41">
        <v>0.01</v>
      </c>
      <c r="J736" s="27">
        <v>0</v>
      </c>
      <c r="K736" s="28">
        <v>0</v>
      </c>
      <c r="L736" s="41">
        <v>333</v>
      </c>
      <c r="M736" s="58">
        <v>1197</v>
      </c>
      <c r="N736" s="57">
        <v>0.53129999999999999</v>
      </c>
      <c r="O736" t="s">
        <v>62</v>
      </c>
      <c r="P736" s="9">
        <v>46079</v>
      </c>
      <c r="Q736">
        <v>207.92</v>
      </c>
    </row>
    <row r="737" spans="1:17" x14ac:dyDescent="0.25">
      <c r="A737" s="10" t="s">
        <v>390</v>
      </c>
      <c r="B737" s="3" t="str">
        <f t="shared" si="37"/>
        <v>AMZN</v>
      </c>
      <c r="C737" s="3" t="str">
        <f t="shared" si="35"/>
        <v>260227</v>
      </c>
      <c r="D737" s="3" t="str">
        <f t="shared" si="36"/>
        <v>C00235000</v>
      </c>
      <c r="E737" s="46" t="s">
        <v>391</v>
      </c>
      <c r="F737" s="11">
        <v>235</v>
      </c>
      <c r="G737" s="41">
        <v>0.01</v>
      </c>
      <c r="H737" s="41">
        <v>0</v>
      </c>
      <c r="I737" s="41">
        <v>0.01</v>
      </c>
      <c r="J737" s="29">
        <v>-0.02</v>
      </c>
      <c r="K737" s="30">
        <v>-0.66669999999999996</v>
      </c>
      <c r="L737" s="41">
        <v>29</v>
      </c>
      <c r="M737" s="58">
        <v>3900</v>
      </c>
      <c r="N737" s="57">
        <v>0.5625</v>
      </c>
      <c r="O737" t="s">
        <v>62</v>
      </c>
      <c r="P737" s="9">
        <v>46079</v>
      </c>
      <c r="Q737">
        <v>207.92</v>
      </c>
    </row>
    <row r="738" spans="1:17" x14ac:dyDescent="0.25">
      <c r="A738" s="10" t="s">
        <v>392</v>
      </c>
      <c r="B738" s="3" t="str">
        <f t="shared" si="37"/>
        <v>AMZN</v>
      </c>
      <c r="C738" s="3" t="str">
        <f t="shared" si="35"/>
        <v>260227</v>
      </c>
      <c r="D738" s="3" t="str">
        <f t="shared" si="36"/>
        <v>C00240000</v>
      </c>
      <c r="E738" s="46" t="s">
        <v>393</v>
      </c>
      <c r="F738" s="11">
        <v>240</v>
      </c>
      <c r="G738" s="41">
        <v>0.01</v>
      </c>
      <c r="H738" s="41">
        <v>0</v>
      </c>
      <c r="I738" s="41">
        <v>0.01</v>
      </c>
      <c r="J738" s="27">
        <v>0</v>
      </c>
      <c r="K738" s="28">
        <v>0</v>
      </c>
      <c r="L738" s="41">
        <v>7</v>
      </c>
      <c r="M738" s="58">
        <v>7956</v>
      </c>
      <c r="N738" s="57">
        <v>0.65629999999999999</v>
      </c>
      <c r="O738" t="s">
        <v>62</v>
      </c>
      <c r="P738" s="9">
        <v>46079</v>
      </c>
      <c r="Q738">
        <v>207.92</v>
      </c>
    </row>
    <row r="739" spans="1:17" x14ac:dyDescent="0.25">
      <c r="A739" s="10" t="s">
        <v>394</v>
      </c>
      <c r="B739" s="3" t="str">
        <f t="shared" si="37"/>
        <v>AMZN</v>
      </c>
      <c r="C739" s="3" t="str">
        <f t="shared" si="35"/>
        <v>260227</v>
      </c>
      <c r="D739" s="3" t="str">
        <f t="shared" si="36"/>
        <v>C00245000</v>
      </c>
      <c r="E739" s="46" t="s">
        <v>395</v>
      </c>
      <c r="F739" s="11">
        <v>245</v>
      </c>
      <c r="G739" s="41">
        <v>0.01</v>
      </c>
      <c r="H739" s="41">
        <v>0</v>
      </c>
      <c r="I739" s="41">
        <v>0.01</v>
      </c>
      <c r="J739" s="27">
        <v>0</v>
      </c>
      <c r="K739" s="28">
        <v>0</v>
      </c>
      <c r="L739" s="41">
        <v>71</v>
      </c>
      <c r="M739" s="58">
        <v>13304</v>
      </c>
      <c r="N739" s="57">
        <v>0.75</v>
      </c>
      <c r="O739" t="s">
        <v>62</v>
      </c>
      <c r="P739" s="9">
        <v>46079</v>
      </c>
      <c r="Q739">
        <v>207.92</v>
      </c>
    </row>
    <row r="740" spans="1:17" x14ac:dyDescent="0.25">
      <c r="A740" s="10" t="s">
        <v>396</v>
      </c>
      <c r="B740" s="3" t="str">
        <f t="shared" si="37"/>
        <v>AMZN</v>
      </c>
      <c r="C740" s="3" t="str">
        <f t="shared" si="35"/>
        <v>260227</v>
      </c>
      <c r="D740" s="3" t="str">
        <f t="shared" si="36"/>
        <v>C00250000</v>
      </c>
      <c r="E740" s="46" t="s">
        <v>397</v>
      </c>
      <c r="F740" s="11">
        <v>250</v>
      </c>
      <c r="G740" s="41">
        <v>0.01</v>
      </c>
      <c r="H740" s="41">
        <v>0</v>
      </c>
      <c r="I740" s="41">
        <v>0.01</v>
      </c>
      <c r="J740" s="29">
        <v>-0.01</v>
      </c>
      <c r="K740" s="30">
        <v>-0.5</v>
      </c>
      <c r="L740" s="41">
        <v>6</v>
      </c>
      <c r="M740" s="58">
        <v>10010</v>
      </c>
      <c r="N740" s="57">
        <v>0.8125</v>
      </c>
      <c r="O740" t="s">
        <v>62</v>
      </c>
      <c r="P740" s="9">
        <v>46079</v>
      </c>
      <c r="Q740">
        <v>207.92</v>
      </c>
    </row>
    <row r="741" spans="1:17" x14ac:dyDescent="0.25">
      <c r="A741" s="10" t="s">
        <v>398</v>
      </c>
      <c r="B741" s="3" t="str">
        <f t="shared" si="37"/>
        <v>AMZN</v>
      </c>
      <c r="C741" s="3" t="str">
        <f t="shared" si="35"/>
        <v>260227</v>
      </c>
      <c r="D741" s="3" t="str">
        <f t="shared" si="36"/>
        <v>C00255000</v>
      </c>
      <c r="E741" s="46" t="s">
        <v>399</v>
      </c>
      <c r="F741" s="11">
        <v>255</v>
      </c>
      <c r="G741" s="41">
        <v>0.01</v>
      </c>
      <c r="H741" s="41">
        <v>0</v>
      </c>
      <c r="I741" s="41">
        <v>0.01</v>
      </c>
      <c r="J741" s="27">
        <v>0</v>
      </c>
      <c r="K741" s="28">
        <v>0</v>
      </c>
      <c r="L741" s="41">
        <v>13</v>
      </c>
      <c r="M741" s="58">
        <v>2402</v>
      </c>
      <c r="N741" s="57">
        <v>0.90629999999999999</v>
      </c>
      <c r="O741" t="s">
        <v>62</v>
      </c>
      <c r="P741" s="9">
        <v>46079</v>
      </c>
      <c r="Q741">
        <v>207.92</v>
      </c>
    </row>
    <row r="742" spans="1:17" x14ac:dyDescent="0.25">
      <c r="A742" s="10" t="s">
        <v>400</v>
      </c>
      <c r="B742" s="3" t="str">
        <f t="shared" si="37"/>
        <v>AMZN</v>
      </c>
      <c r="C742" s="3" t="str">
        <f t="shared" si="35"/>
        <v>260227</v>
      </c>
      <c r="D742" s="3" t="str">
        <f t="shared" si="36"/>
        <v>C00260000</v>
      </c>
      <c r="E742" s="46" t="s">
        <v>401</v>
      </c>
      <c r="F742" s="11">
        <v>260</v>
      </c>
      <c r="G742" s="41">
        <v>0.01</v>
      </c>
      <c r="H742" s="41">
        <v>0</v>
      </c>
      <c r="I742" s="41">
        <v>0.01</v>
      </c>
      <c r="J742" s="27">
        <v>0</v>
      </c>
      <c r="K742" s="28">
        <v>0</v>
      </c>
      <c r="L742" s="41">
        <v>1</v>
      </c>
      <c r="M742" s="58">
        <v>2864</v>
      </c>
      <c r="N742" s="57">
        <v>0.96879999999999999</v>
      </c>
      <c r="O742" t="s">
        <v>62</v>
      </c>
      <c r="P742" s="9">
        <v>46079</v>
      </c>
      <c r="Q742">
        <v>207.92</v>
      </c>
    </row>
    <row r="743" spans="1:17" x14ac:dyDescent="0.25">
      <c r="A743" s="10" t="s">
        <v>402</v>
      </c>
      <c r="B743" s="3" t="str">
        <f t="shared" si="37"/>
        <v>AMZN</v>
      </c>
      <c r="C743" s="3" t="str">
        <f t="shared" si="35"/>
        <v>260227</v>
      </c>
      <c r="D743" s="3" t="str">
        <f t="shared" si="36"/>
        <v>C00265000</v>
      </c>
      <c r="E743" s="46" t="s">
        <v>403</v>
      </c>
      <c r="F743" s="11">
        <v>265</v>
      </c>
      <c r="G743" s="41">
        <v>0.03</v>
      </c>
      <c r="H743" s="41">
        <v>0</v>
      </c>
      <c r="I743" s="41">
        <v>0.01</v>
      </c>
      <c r="J743" s="25">
        <v>0.02</v>
      </c>
      <c r="K743" s="26">
        <v>2</v>
      </c>
      <c r="L743" s="41">
        <v>2</v>
      </c>
      <c r="M743" s="58">
        <v>2229</v>
      </c>
      <c r="N743" s="57">
        <v>1.0625</v>
      </c>
      <c r="O743" t="s">
        <v>62</v>
      </c>
      <c r="P743" s="9">
        <v>46079</v>
      </c>
      <c r="Q743">
        <v>207.92</v>
      </c>
    </row>
    <row r="744" spans="1:17" x14ac:dyDescent="0.25">
      <c r="A744" s="10" t="s">
        <v>404</v>
      </c>
      <c r="B744" s="3" t="str">
        <f t="shared" si="37"/>
        <v>AMZN</v>
      </c>
      <c r="C744" s="3" t="str">
        <f t="shared" si="35"/>
        <v>260227</v>
      </c>
      <c r="D744" s="3" t="str">
        <f t="shared" si="36"/>
        <v>C00270000</v>
      </c>
      <c r="E744" s="46" t="s">
        <v>405</v>
      </c>
      <c r="F744" s="11">
        <v>270</v>
      </c>
      <c r="G744" s="41">
        <v>0.04</v>
      </c>
      <c r="H744" s="41">
        <v>0</v>
      </c>
      <c r="I744" s="41">
        <v>0.01</v>
      </c>
      <c r="J744" s="25">
        <v>0.03</v>
      </c>
      <c r="K744" s="26">
        <v>3</v>
      </c>
      <c r="L744" s="41">
        <v>1</v>
      </c>
      <c r="M744" s="58">
        <v>1853</v>
      </c>
      <c r="N744" s="57">
        <v>1.125</v>
      </c>
      <c r="O744" t="s">
        <v>62</v>
      </c>
      <c r="P744" s="9">
        <v>46079</v>
      </c>
      <c r="Q744">
        <v>207.92</v>
      </c>
    </row>
    <row r="745" spans="1:17" x14ac:dyDescent="0.25">
      <c r="A745" s="10" t="s">
        <v>406</v>
      </c>
      <c r="B745" s="3" t="str">
        <f t="shared" si="37"/>
        <v>AMZN</v>
      </c>
      <c r="C745" s="3" t="str">
        <f t="shared" si="35"/>
        <v>260227</v>
      </c>
      <c r="D745" s="3" t="str">
        <f t="shared" si="36"/>
        <v>C00275000</v>
      </c>
      <c r="E745" s="46" t="s">
        <v>407</v>
      </c>
      <c r="F745" s="11">
        <v>275</v>
      </c>
      <c r="G745" s="41">
        <v>0.1</v>
      </c>
      <c r="H745" s="41">
        <v>0</v>
      </c>
      <c r="I745" s="41">
        <v>0.05</v>
      </c>
      <c r="J745" s="25">
        <v>0.09</v>
      </c>
      <c r="K745" s="26">
        <v>9</v>
      </c>
      <c r="L745" s="41">
        <v>2</v>
      </c>
      <c r="M745" s="41">
        <v>630</v>
      </c>
      <c r="N745" s="57">
        <v>1.3906000000000001</v>
      </c>
      <c r="O745" t="s">
        <v>62</v>
      </c>
      <c r="P745" s="9">
        <v>46079</v>
      </c>
      <c r="Q745">
        <v>207.92</v>
      </c>
    </row>
    <row r="746" spans="1:17" x14ac:dyDescent="0.25">
      <c r="A746" s="10" t="s">
        <v>408</v>
      </c>
      <c r="B746" s="3" t="str">
        <f t="shared" si="37"/>
        <v>AMZN</v>
      </c>
      <c r="C746" s="3" t="str">
        <f t="shared" si="35"/>
        <v>260227</v>
      </c>
      <c r="D746" s="3" t="str">
        <f t="shared" si="36"/>
        <v>C00280000</v>
      </c>
      <c r="E746" s="46" t="s">
        <v>409</v>
      </c>
      <c r="F746" s="11">
        <v>280</v>
      </c>
      <c r="G746" s="41">
        <v>0.02</v>
      </c>
      <c r="H746" s="41">
        <v>0</v>
      </c>
      <c r="I746" s="41">
        <v>0.05</v>
      </c>
      <c r="J746" s="25">
        <v>0.01</v>
      </c>
      <c r="K746" s="26">
        <v>1</v>
      </c>
      <c r="L746" s="41">
        <v>30</v>
      </c>
      <c r="M746" s="58">
        <v>2438</v>
      </c>
      <c r="N746" s="57">
        <v>1.4688000000000001</v>
      </c>
      <c r="O746" t="s">
        <v>62</v>
      </c>
      <c r="P746" s="9">
        <v>46079</v>
      </c>
      <c r="Q746">
        <v>207.92</v>
      </c>
    </row>
    <row r="747" spans="1:17" x14ac:dyDescent="0.25">
      <c r="A747" s="10" t="s">
        <v>410</v>
      </c>
      <c r="B747" s="3" t="str">
        <f t="shared" si="37"/>
        <v>AMZN</v>
      </c>
      <c r="C747" s="3" t="str">
        <f t="shared" si="35"/>
        <v>260227</v>
      </c>
      <c r="D747" s="3" t="str">
        <f t="shared" si="36"/>
        <v>C00285000</v>
      </c>
      <c r="E747" s="46" t="s">
        <v>411</v>
      </c>
      <c r="F747" s="11">
        <v>285</v>
      </c>
      <c r="G747" s="41">
        <v>0.01</v>
      </c>
      <c r="H747" s="41">
        <v>0</v>
      </c>
      <c r="I747" s="41">
        <v>0.01</v>
      </c>
      <c r="J747" s="27">
        <v>0</v>
      </c>
      <c r="K747" s="28">
        <v>0</v>
      </c>
      <c r="L747" s="41">
        <v>1</v>
      </c>
      <c r="M747" s="58">
        <v>2162</v>
      </c>
      <c r="N747" s="57">
        <v>1.3438000000000001</v>
      </c>
      <c r="O747" t="s">
        <v>62</v>
      </c>
      <c r="P747" s="9">
        <v>46079</v>
      </c>
      <c r="Q747">
        <v>207.92</v>
      </c>
    </row>
    <row r="748" spans="1:17" x14ac:dyDescent="0.25">
      <c r="A748" s="10" t="s">
        <v>412</v>
      </c>
      <c r="B748" s="3" t="str">
        <f t="shared" si="37"/>
        <v>AMZN</v>
      </c>
      <c r="C748" s="3" t="str">
        <f t="shared" si="35"/>
        <v>260227</v>
      </c>
      <c r="D748" s="3" t="str">
        <f t="shared" si="36"/>
        <v>C00290000</v>
      </c>
      <c r="E748" s="46" t="s">
        <v>411</v>
      </c>
      <c r="F748" s="11">
        <v>290</v>
      </c>
      <c r="G748" s="41">
        <v>0.01</v>
      </c>
      <c r="H748" s="41">
        <v>0</v>
      </c>
      <c r="I748" s="41">
        <v>0.03</v>
      </c>
      <c r="J748" s="27">
        <v>0</v>
      </c>
      <c r="K748" s="28">
        <v>0</v>
      </c>
      <c r="L748" s="41">
        <v>104</v>
      </c>
      <c r="M748" s="41">
        <v>402</v>
      </c>
      <c r="N748" s="57">
        <v>1.5468999999999999</v>
      </c>
      <c r="O748" t="s">
        <v>62</v>
      </c>
      <c r="P748" s="9">
        <v>46079</v>
      </c>
      <c r="Q748">
        <v>207.92</v>
      </c>
    </row>
    <row r="749" spans="1:17" x14ac:dyDescent="0.25">
      <c r="A749" s="10" t="s">
        <v>413</v>
      </c>
      <c r="B749" s="3" t="str">
        <f t="shared" si="37"/>
        <v>AMZN</v>
      </c>
      <c r="C749" s="3" t="str">
        <f t="shared" si="35"/>
        <v>260227</v>
      </c>
      <c r="D749" s="3" t="str">
        <f t="shared" si="36"/>
        <v>C00295000</v>
      </c>
      <c r="E749" s="46" t="s">
        <v>414</v>
      </c>
      <c r="F749" s="11">
        <v>295</v>
      </c>
      <c r="G749" s="41">
        <v>0.01</v>
      </c>
      <c r="H749" s="41">
        <v>0</v>
      </c>
      <c r="I749" s="41">
        <v>0.04</v>
      </c>
      <c r="J749" s="27">
        <v>0</v>
      </c>
      <c r="K749" s="28">
        <v>0</v>
      </c>
      <c r="L749" s="41">
        <v>3</v>
      </c>
      <c r="M749" s="41">
        <v>962</v>
      </c>
      <c r="N749" s="57">
        <v>1.6563000000000001</v>
      </c>
      <c r="O749" t="s">
        <v>62</v>
      </c>
      <c r="P749" s="9">
        <v>46079</v>
      </c>
      <c r="Q749">
        <v>207.92</v>
      </c>
    </row>
    <row r="750" spans="1:17" x14ac:dyDescent="0.25">
      <c r="A750" s="10" t="s">
        <v>415</v>
      </c>
      <c r="B750" s="3" t="str">
        <f t="shared" si="37"/>
        <v>AMZN</v>
      </c>
      <c r="C750" s="3" t="str">
        <f t="shared" si="35"/>
        <v>260227</v>
      </c>
      <c r="D750" s="3" t="str">
        <f t="shared" si="36"/>
        <v>C00300000</v>
      </c>
      <c r="E750" s="46" t="s">
        <v>416</v>
      </c>
      <c r="F750" s="11">
        <v>300</v>
      </c>
      <c r="G750" s="41">
        <v>0.01</v>
      </c>
      <c r="H750" s="41">
        <v>0</v>
      </c>
      <c r="I750" s="41">
        <v>0.01</v>
      </c>
      <c r="J750" s="27">
        <v>0</v>
      </c>
      <c r="K750" s="28">
        <v>0</v>
      </c>
      <c r="L750" s="41">
        <v>1</v>
      </c>
      <c r="M750" s="41">
        <v>381</v>
      </c>
      <c r="N750" s="57">
        <v>1.5625</v>
      </c>
      <c r="O750" t="s">
        <v>62</v>
      </c>
      <c r="P750" s="9">
        <v>46079</v>
      </c>
      <c r="Q750">
        <v>207.92</v>
      </c>
    </row>
    <row r="751" spans="1:17" x14ac:dyDescent="0.25">
      <c r="A751" s="10" t="s">
        <v>417</v>
      </c>
      <c r="B751" s="3" t="str">
        <f t="shared" si="37"/>
        <v>AMZN</v>
      </c>
      <c r="C751" s="3" t="str">
        <f t="shared" si="35"/>
        <v>260227</v>
      </c>
      <c r="D751" s="3" t="str">
        <f t="shared" si="36"/>
        <v>C00305000</v>
      </c>
      <c r="E751" s="47">
        <v>46328.40902777778</v>
      </c>
      <c r="F751" s="11">
        <v>305</v>
      </c>
      <c r="G751" s="41">
        <v>0.01</v>
      </c>
      <c r="H751" s="41">
        <v>0</v>
      </c>
      <c r="I751" s="41">
        <v>0.05</v>
      </c>
      <c r="J751" s="27">
        <v>0</v>
      </c>
      <c r="K751" s="28">
        <v>0</v>
      </c>
      <c r="L751" s="41">
        <v>1</v>
      </c>
      <c r="M751" s="41">
        <v>68</v>
      </c>
      <c r="N751" s="57">
        <v>1.8438000000000001</v>
      </c>
      <c r="O751" t="s">
        <v>62</v>
      </c>
      <c r="P751" s="9">
        <v>46079</v>
      </c>
      <c r="Q751">
        <v>207.92</v>
      </c>
    </row>
    <row r="752" spans="1:17" x14ac:dyDescent="0.25">
      <c r="A752" s="10" t="s">
        <v>418</v>
      </c>
      <c r="B752" s="3" t="str">
        <f t="shared" si="37"/>
        <v>AMZN</v>
      </c>
      <c r="C752" s="3" t="str">
        <f t="shared" si="35"/>
        <v>260227</v>
      </c>
      <c r="D752" s="3" t="str">
        <f t="shared" si="36"/>
        <v>C00310000</v>
      </c>
      <c r="E752" s="46" t="s">
        <v>419</v>
      </c>
      <c r="F752" s="11">
        <v>310</v>
      </c>
      <c r="G752" s="41">
        <v>0.02</v>
      </c>
      <c r="H752" s="41">
        <v>0</v>
      </c>
      <c r="I752" s="41">
        <v>0.05</v>
      </c>
      <c r="J752" s="27">
        <v>0</v>
      </c>
      <c r="K752" s="28">
        <v>0</v>
      </c>
      <c r="L752" s="41">
        <v>1</v>
      </c>
      <c r="M752" s="41">
        <v>59</v>
      </c>
      <c r="N752" s="57">
        <v>1.9063000000000001</v>
      </c>
      <c r="O752" t="s">
        <v>62</v>
      </c>
      <c r="P752" s="9">
        <v>46079</v>
      </c>
      <c r="Q752">
        <v>207.92</v>
      </c>
    </row>
    <row r="753" spans="1:17" x14ac:dyDescent="0.25">
      <c r="A753" s="10" t="s">
        <v>420</v>
      </c>
      <c r="B753" s="3" t="str">
        <f t="shared" si="37"/>
        <v>AMZN</v>
      </c>
      <c r="C753" s="3" t="str">
        <f t="shared" si="35"/>
        <v>260227</v>
      </c>
      <c r="D753" s="3" t="str">
        <f t="shared" si="36"/>
        <v>C00315000</v>
      </c>
      <c r="E753" s="46" t="s">
        <v>421</v>
      </c>
      <c r="F753" s="11">
        <v>315</v>
      </c>
      <c r="G753" s="41">
        <v>0.24</v>
      </c>
      <c r="H753" s="41">
        <v>0</v>
      </c>
      <c r="I753" s="41">
        <v>0.05</v>
      </c>
      <c r="J753" s="27">
        <v>0</v>
      </c>
      <c r="K753" s="28">
        <v>0</v>
      </c>
      <c r="L753" s="41">
        <v>2</v>
      </c>
      <c r="M753" s="41">
        <v>66</v>
      </c>
      <c r="N753" s="57">
        <v>1.9843999999999999</v>
      </c>
      <c r="O753" t="s">
        <v>62</v>
      </c>
      <c r="P753" s="9">
        <v>46079</v>
      </c>
      <c r="Q753">
        <v>207.92</v>
      </c>
    </row>
    <row r="754" spans="1:17" x14ac:dyDescent="0.25">
      <c r="A754" s="10" t="s">
        <v>422</v>
      </c>
      <c r="B754" s="3" t="str">
        <f t="shared" si="37"/>
        <v>AMZN</v>
      </c>
      <c r="C754" s="3" t="str">
        <f t="shared" si="35"/>
        <v>260227</v>
      </c>
      <c r="D754" s="3" t="str">
        <f t="shared" si="36"/>
        <v>C00320000</v>
      </c>
      <c r="E754" s="46" t="s">
        <v>421</v>
      </c>
      <c r="F754" s="11">
        <v>320</v>
      </c>
      <c r="G754" s="41">
        <v>0.18</v>
      </c>
      <c r="H754" s="41">
        <v>0</v>
      </c>
      <c r="I754" s="41">
        <v>0.05</v>
      </c>
      <c r="J754" s="27">
        <v>0</v>
      </c>
      <c r="K754" s="28">
        <v>0</v>
      </c>
      <c r="L754" s="41">
        <v>1</v>
      </c>
      <c r="M754" s="41">
        <v>64</v>
      </c>
      <c r="N754" s="57">
        <v>2.0468999999999999</v>
      </c>
      <c r="O754" t="s">
        <v>62</v>
      </c>
      <c r="P754" s="9">
        <v>46079</v>
      </c>
      <c r="Q754">
        <v>207.92</v>
      </c>
    </row>
    <row r="755" spans="1:17" x14ac:dyDescent="0.25">
      <c r="A755" s="10" t="s">
        <v>423</v>
      </c>
      <c r="B755" s="3" t="str">
        <f t="shared" si="37"/>
        <v>AMZN</v>
      </c>
      <c r="C755" s="3" t="str">
        <f t="shared" si="35"/>
        <v>260227</v>
      </c>
      <c r="D755" s="3" t="str">
        <f t="shared" si="36"/>
        <v>C00325000</v>
      </c>
      <c r="E755" s="46" t="s">
        <v>424</v>
      </c>
      <c r="F755" s="11">
        <v>325</v>
      </c>
      <c r="G755" s="41">
        <v>0.01</v>
      </c>
      <c r="H755" s="41">
        <v>0</v>
      </c>
      <c r="I755" s="41">
        <v>0.05</v>
      </c>
      <c r="J755" s="27">
        <v>0</v>
      </c>
      <c r="K755" s="28">
        <v>0</v>
      </c>
      <c r="L755" s="41">
        <v>43</v>
      </c>
      <c r="M755" s="41">
        <v>68</v>
      </c>
      <c r="N755" s="57">
        <v>2.1093999999999999</v>
      </c>
      <c r="O755" t="s">
        <v>62</v>
      </c>
      <c r="P755" s="9">
        <v>46079</v>
      </c>
      <c r="Q755">
        <v>207.92</v>
      </c>
    </row>
    <row r="756" spans="1:17" x14ac:dyDescent="0.25">
      <c r="A756" s="10" t="s">
        <v>425</v>
      </c>
      <c r="B756" s="3" t="str">
        <f t="shared" si="37"/>
        <v>AMZN</v>
      </c>
      <c r="C756" s="3" t="str">
        <f t="shared" ref="C756:C819" si="38">+MID(A756,5,6)</f>
        <v>260227</v>
      </c>
      <c r="D756" s="3" t="str">
        <f t="shared" ref="D756:D819" si="39">+MID(A756,11,10)</f>
        <v>C00330000</v>
      </c>
      <c r="E756" s="46" t="s">
        <v>426</v>
      </c>
      <c r="F756" s="11">
        <v>330</v>
      </c>
      <c r="G756" s="41">
        <v>0.15</v>
      </c>
      <c r="H756" s="41">
        <v>0</v>
      </c>
      <c r="I756" s="41">
        <v>0.05</v>
      </c>
      <c r="J756" s="27">
        <v>0</v>
      </c>
      <c r="K756" s="28">
        <v>0</v>
      </c>
      <c r="L756" s="41">
        <v>2</v>
      </c>
      <c r="M756" s="41">
        <v>38</v>
      </c>
      <c r="N756" s="57">
        <v>2.1718999999999999</v>
      </c>
      <c r="O756" t="s">
        <v>62</v>
      </c>
      <c r="P756" s="9">
        <v>46079</v>
      </c>
      <c r="Q756">
        <v>207.92</v>
      </c>
    </row>
    <row r="757" spans="1:17" x14ac:dyDescent="0.25">
      <c r="A757" s="10" t="s">
        <v>427</v>
      </c>
      <c r="B757" s="3" t="str">
        <f t="shared" si="37"/>
        <v>AMZN</v>
      </c>
      <c r="C757" s="3" t="str">
        <f t="shared" si="38"/>
        <v>260227</v>
      </c>
      <c r="D757" s="3" t="str">
        <f t="shared" si="39"/>
        <v>C00335000</v>
      </c>
      <c r="E757" s="46" t="s">
        <v>428</v>
      </c>
      <c r="F757" s="11">
        <v>335</v>
      </c>
      <c r="G757" s="41">
        <v>0.13</v>
      </c>
      <c r="H757" s="41">
        <v>0</v>
      </c>
      <c r="I757" s="41">
        <v>0.05</v>
      </c>
      <c r="J757" s="27">
        <v>0</v>
      </c>
      <c r="K757" s="28">
        <v>0</v>
      </c>
      <c r="L757" s="41">
        <v>1</v>
      </c>
      <c r="M757" s="41">
        <v>8</v>
      </c>
      <c r="N757" s="57">
        <v>2.2343999999999999</v>
      </c>
      <c r="O757" t="s">
        <v>62</v>
      </c>
      <c r="P757" s="9">
        <v>46079</v>
      </c>
      <c r="Q757">
        <v>207.92</v>
      </c>
    </row>
    <row r="758" spans="1:17" x14ac:dyDescent="0.25">
      <c r="A758" s="10" t="s">
        <v>429</v>
      </c>
      <c r="B758" s="3" t="str">
        <f t="shared" si="37"/>
        <v>AMZN</v>
      </c>
      <c r="C758" s="3" t="str">
        <f t="shared" si="38"/>
        <v>260227</v>
      </c>
      <c r="D758" s="3" t="str">
        <f t="shared" si="39"/>
        <v>C00340000</v>
      </c>
      <c r="E758" s="46" t="s">
        <v>430</v>
      </c>
      <c r="F758" s="11">
        <v>340</v>
      </c>
      <c r="G758" s="41">
        <v>0.13</v>
      </c>
      <c r="H758" s="41">
        <v>0</v>
      </c>
      <c r="I758" s="41">
        <v>0.05</v>
      </c>
      <c r="J758" s="27">
        <v>0</v>
      </c>
      <c r="K758" s="28">
        <v>0</v>
      </c>
      <c r="L758" s="41">
        <v>1</v>
      </c>
      <c r="M758" s="41">
        <v>2</v>
      </c>
      <c r="N758" s="57">
        <v>2.2968999999999999</v>
      </c>
      <c r="O758" t="s">
        <v>62</v>
      </c>
      <c r="P758" s="9">
        <v>46079</v>
      </c>
      <c r="Q758">
        <v>207.92</v>
      </c>
    </row>
    <row r="759" spans="1:17" x14ac:dyDescent="0.25">
      <c r="A759" s="10" t="s">
        <v>431</v>
      </c>
      <c r="B759" s="3" t="str">
        <f t="shared" si="37"/>
        <v>AMZN</v>
      </c>
      <c r="C759" s="3" t="str">
        <f t="shared" si="38"/>
        <v>260227</v>
      </c>
      <c r="D759" s="3" t="str">
        <f t="shared" si="39"/>
        <v>C00345000</v>
      </c>
      <c r="E759" s="46" t="s">
        <v>430</v>
      </c>
      <c r="F759" s="11">
        <v>345</v>
      </c>
      <c r="G759" s="41">
        <v>0.06</v>
      </c>
      <c r="H759" s="41">
        <v>0</v>
      </c>
      <c r="I759" s="41">
        <v>0.01</v>
      </c>
      <c r="J759" s="27">
        <v>0</v>
      </c>
      <c r="K759" s="28">
        <v>0</v>
      </c>
      <c r="L759" s="41">
        <v>1</v>
      </c>
      <c r="M759" s="41">
        <v>284</v>
      </c>
      <c r="N759" s="57">
        <v>2.0625</v>
      </c>
      <c r="O759" t="s">
        <v>62</v>
      </c>
      <c r="P759" s="9">
        <v>46079</v>
      </c>
      <c r="Q759">
        <v>207.92</v>
      </c>
    </row>
    <row r="760" spans="1:17" x14ac:dyDescent="0.25">
      <c r="A760" s="10" t="s">
        <v>432</v>
      </c>
      <c r="B760" s="3" t="str">
        <f t="shared" si="37"/>
        <v>AMZN</v>
      </c>
      <c r="C760" s="3" t="str">
        <f t="shared" si="38"/>
        <v>260227</v>
      </c>
      <c r="D760" s="3" t="str">
        <f t="shared" si="39"/>
        <v>P00125000</v>
      </c>
      <c r="E760" s="46" t="s">
        <v>433</v>
      </c>
      <c r="F760" s="11">
        <v>125</v>
      </c>
      <c r="G760" s="41">
        <v>0.01</v>
      </c>
      <c r="H760" s="41">
        <v>0</v>
      </c>
      <c r="I760" s="41">
        <v>0.01</v>
      </c>
      <c r="J760" s="27">
        <v>0</v>
      </c>
      <c r="K760" s="28">
        <v>0</v>
      </c>
      <c r="L760" s="58">
        <v>1935</v>
      </c>
      <c r="M760" s="58">
        <v>2248</v>
      </c>
      <c r="N760" s="57">
        <v>2.125</v>
      </c>
      <c r="O760" t="s">
        <v>65</v>
      </c>
      <c r="P760" s="9">
        <v>46079</v>
      </c>
      <c r="Q760">
        <v>207.92</v>
      </c>
    </row>
    <row r="761" spans="1:17" x14ac:dyDescent="0.25">
      <c r="A761" s="10" t="s">
        <v>434</v>
      </c>
      <c r="B761" s="3" t="str">
        <f t="shared" si="37"/>
        <v>AMZN</v>
      </c>
      <c r="C761" s="3" t="str">
        <f t="shared" si="38"/>
        <v>260227</v>
      </c>
      <c r="D761" s="3" t="str">
        <f t="shared" si="39"/>
        <v>P00130000</v>
      </c>
      <c r="E761" s="46" t="s">
        <v>336</v>
      </c>
      <c r="F761" s="11">
        <v>130</v>
      </c>
      <c r="G761" s="41">
        <v>0.04</v>
      </c>
      <c r="H761" s="41">
        <v>0</v>
      </c>
      <c r="I761" s="41">
        <v>0.01</v>
      </c>
      <c r="J761" s="25">
        <v>0.03</v>
      </c>
      <c r="K761" s="26">
        <v>3</v>
      </c>
      <c r="L761" s="41">
        <v>2</v>
      </c>
      <c r="M761" s="41">
        <v>464</v>
      </c>
      <c r="N761" s="57">
        <v>2</v>
      </c>
      <c r="O761" t="s">
        <v>65</v>
      </c>
      <c r="P761" s="9">
        <v>46079</v>
      </c>
      <c r="Q761">
        <v>207.92</v>
      </c>
    </row>
    <row r="762" spans="1:17" x14ac:dyDescent="0.25">
      <c r="A762" s="10" t="s">
        <v>435</v>
      </c>
      <c r="B762" s="3" t="str">
        <f t="shared" si="37"/>
        <v>AMZN</v>
      </c>
      <c r="C762" s="3" t="str">
        <f t="shared" si="38"/>
        <v>260227</v>
      </c>
      <c r="D762" s="3" t="str">
        <f t="shared" si="39"/>
        <v>P00135000</v>
      </c>
      <c r="E762" s="46" t="s">
        <v>354</v>
      </c>
      <c r="F762" s="11">
        <v>135</v>
      </c>
      <c r="G762" s="41">
        <v>0.01</v>
      </c>
      <c r="H762" s="41">
        <v>0</v>
      </c>
      <c r="I762" s="41">
        <v>0.01</v>
      </c>
      <c r="J762" s="27">
        <v>0</v>
      </c>
      <c r="K762" s="28">
        <v>0</v>
      </c>
      <c r="L762" s="41">
        <v>36</v>
      </c>
      <c r="M762" s="41">
        <v>416</v>
      </c>
      <c r="N762" s="57">
        <v>1.875</v>
      </c>
      <c r="O762" t="s">
        <v>65</v>
      </c>
      <c r="P762" s="9">
        <v>46079</v>
      </c>
      <c r="Q762">
        <v>207.92</v>
      </c>
    </row>
    <row r="763" spans="1:17" x14ac:dyDescent="0.25">
      <c r="A763" s="10" t="s">
        <v>436</v>
      </c>
      <c r="B763" s="3" t="str">
        <f t="shared" si="37"/>
        <v>AMZN</v>
      </c>
      <c r="C763" s="3" t="str">
        <f t="shared" si="38"/>
        <v>260227</v>
      </c>
      <c r="D763" s="3" t="str">
        <f t="shared" si="39"/>
        <v>P00140000</v>
      </c>
      <c r="E763" s="46" t="s">
        <v>437</v>
      </c>
      <c r="F763" s="11">
        <v>140</v>
      </c>
      <c r="G763" s="41">
        <v>0.01</v>
      </c>
      <c r="H763" s="41">
        <v>0</v>
      </c>
      <c r="I763" s="41">
        <v>0.01</v>
      </c>
      <c r="J763" s="27">
        <v>0</v>
      </c>
      <c r="K763" s="28">
        <v>0</v>
      </c>
      <c r="L763" s="41">
        <v>2</v>
      </c>
      <c r="M763" s="41">
        <v>376</v>
      </c>
      <c r="N763" s="57">
        <v>1.6875</v>
      </c>
      <c r="O763" t="s">
        <v>65</v>
      </c>
      <c r="P763" s="9">
        <v>46079</v>
      </c>
      <c r="Q763">
        <v>207.92</v>
      </c>
    </row>
    <row r="764" spans="1:17" x14ac:dyDescent="0.25">
      <c r="A764" s="10" t="s">
        <v>438</v>
      </c>
      <c r="B764" s="3" t="str">
        <f t="shared" si="37"/>
        <v>AMZN</v>
      </c>
      <c r="C764" s="3" t="str">
        <f t="shared" si="38"/>
        <v>260227</v>
      </c>
      <c r="D764" s="3" t="str">
        <f t="shared" si="39"/>
        <v>P00145000</v>
      </c>
      <c r="E764" s="46" t="s">
        <v>439</v>
      </c>
      <c r="F764" s="11">
        <v>145</v>
      </c>
      <c r="G764" s="41">
        <v>0.01</v>
      </c>
      <c r="H764" s="41">
        <v>0</v>
      </c>
      <c r="I764" s="41">
        <v>0.01</v>
      </c>
      <c r="J764" s="27">
        <v>0</v>
      </c>
      <c r="K764" s="28">
        <v>0</v>
      </c>
      <c r="L764" s="41">
        <v>1</v>
      </c>
      <c r="M764" s="41">
        <v>328</v>
      </c>
      <c r="N764" s="57">
        <v>1.5625</v>
      </c>
      <c r="O764" t="s">
        <v>65</v>
      </c>
      <c r="P764" s="9">
        <v>46079</v>
      </c>
      <c r="Q764">
        <v>207.92</v>
      </c>
    </row>
    <row r="765" spans="1:17" x14ac:dyDescent="0.25">
      <c r="A765" s="10" t="s">
        <v>440</v>
      </c>
      <c r="B765" s="3" t="str">
        <f t="shared" si="37"/>
        <v>AMZN</v>
      </c>
      <c r="C765" s="3" t="str">
        <f t="shared" si="38"/>
        <v>260227</v>
      </c>
      <c r="D765" s="3" t="str">
        <f t="shared" si="39"/>
        <v>P00150000</v>
      </c>
      <c r="E765" s="46" t="s">
        <v>441</v>
      </c>
      <c r="F765" s="11">
        <v>150</v>
      </c>
      <c r="G765" s="41">
        <v>0.01</v>
      </c>
      <c r="H765" s="41">
        <v>0</v>
      </c>
      <c r="I765" s="41">
        <v>0.01</v>
      </c>
      <c r="J765" s="27">
        <v>0</v>
      </c>
      <c r="K765" s="28">
        <v>0</v>
      </c>
      <c r="L765" s="41">
        <v>4</v>
      </c>
      <c r="M765" s="58">
        <v>1359</v>
      </c>
      <c r="N765" s="57">
        <v>1.4375</v>
      </c>
      <c r="O765" t="s">
        <v>65</v>
      </c>
      <c r="P765" s="9">
        <v>46079</v>
      </c>
      <c r="Q765">
        <v>207.92</v>
      </c>
    </row>
    <row r="766" spans="1:17" x14ac:dyDescent="0.25">
      <c r="A766" s="10" t="s">
        <v>442</v>
      </c>
      <c r="B766" s="3" t="str">
        <f t="shared" si="37"/>
        <v>AMZN</v>
      </c>
      <c r="C766" s="3" t="str">
        <f t="shared" si="38"/>
        <v>260227</v>
      </c>
      <c r="D766" s="3" t="str">
        <f t="shared" si="39"/>
        <v>P00155000</v>
      </c>
      <c r="E766" s="46" t="s">
        <v>443</v>
      </c>
      <c r="F766" s="11">
        <v>155</v>
      </c>
      <c r="G766" s="41">
        <v>0.01</v>
      </c>
      <c r="H766" s="41">
        <v>0</v>
      </c>
      <c r="I766" s="41">
        <v>0.01</v>
      </c>
      <c r="J766" s="27">
        <v>0</v>
      </c>
      <c r="K766" s="28">
        <v>0</v>
      </c>
      <c r="L766" s="41">
        <v>128</v>
      </c>
      <c r="M766" s="58">
        <v>4736</v>
      </c>
      <c r="N766" s="57">
        <v>1.2813000000000001</v>
      </c>
      <c r="O766" t="s">
        <v>65</v>
      </c>
      <c r="P766" s="9">
        <v>46079</v>
      </c>
      <c r="Q766">
        <v>207.92</v>
      </c>
    </row>
    <row r="767" spans="1:17" x14ac:dyDescent="0.25">
      <c r="A767" s="10" t="s">
        <v>444</v>
      </c>
      <c r="B767" s="3" t="str">
        <f t="shared" si="37"/>
        <v>AMZN</v>
      </c>
      <c r="C767" s="3" t="str">
        <f t="shared" si="38"/>
        <v>260227</v>
      </c>
      <c r="D767" s="3" t="str">
        <f t="shared" si="39"/>
        <v>P00160000</v>
      </c>
      <c r="E767" s="46" t="s">
        <v>445</v>
      </c>
      <c r="F767" s="11">
        <v>160</v>
      </c>
      <c r="G767" s="41">
        <v>0.01</v>
      </c>
      <c r="H767" s="41">
        <v>0</v>
      </c>
      <c r="I767" s="41">
        <v>0.01</v>
      </c>
      <c r="J767" s="27">
        <v>0</v>
      </c>
      <c r="K767" s="28">
        <v>0</v>
      </c>
      <c r="L767" s="41">
        <v>38</v>
      </c>
      <c r="M767" s="58">
        <v>1530</v>
      </c>
      <c r="N767" s="57">
        <v>1.1563000000000001</v>
      </c>
      <c r="O767" t="s">
        <v>65</v>
      </c>
      <c r="P767" s="9">
        <v>46079</v>
      </c>
      <c r="Q767">
        <v>207.92</v>
      </c>
    </row>
    <row r="768" spans="1:17" x14ac:dyDescent="0.25">
      <c r="A768" s="10" t="s">
        <v>446</v>
      </c>
      <c r="B768" s="3" t="str">
        <f t="shared" si="37"/>
        <v>AMZN</v>
      </c>
      <c r="C768" s="3" t="str">
        <f t="shared" si="38"/>
        <v>260227</v>
      </c>
      <c r="D768" s="3" t="str">
        <f t="shared" si="39"/>
        <v>P00165000</v>
      </c>
      <c r="E768" s="46" t="s">
        <v>447</v>
      </c>
      <c r="F768" s="11">
        <v>165</v>
      </c>
      <c r="G768" s="41">
        <v>0.01</v>
      </c>
      <c r="H768" s="41">
        <v>0</v>
      </c>
      <c r="I768" s="41">
        <v>0.01</v>
      </c>
      <c r="J768" s="27">
        <v>0</v>
      </c>
      <c r="K768" s="28">
        <v>0</v>
      </c>
      <c r="L768" s="41">
        <v>140</v>
      </c>
      <c r="M768" s="58">
        <v>3945</v>
      </c>
      <c r="N768" s="57">
        <v>1.0313000000000001</v>
      </c>
      <c r="O768" t="s">
        <v>65</v>
      </c>
      <c r="P768" s="9">
        <v>46079</v>
      </c>
      <c r="Q768">
        <v>207.92</v>
      </c>
    </row>
    <row r="769" spans="1:17" x14ac:dyDescent="0.25">
      <c r="A769" s="10" t="s">
        <v>448</v>
      </c>
      <c r="B769" s="3" t="str">
        <f t="shared" si="37"/>
        <v>AMZN</v>
      </c>
      <c r="C769" s="3" t="str">
        <f t="shared" si="38"/>
        <v>260227</v>
      </c>
      <c r="D769" s="3" t="str">
        <f t="shared" si="39"/>
        <v>P00170000</v>
      </c>
      <c r="E769" s="46" t="s">
        <v>449</v>
      </c>
      <c r="F769" s="11">
        <v>170</v>
      </c>
      <c r="G769" s="41">
        <v>0.01</v>
      </c>
      <c r="H769" s="41">
        <v>0</v>
      </c>
      <c r="I769" s="41">
        <v>0.01</v>
      </c>
      <c r="J769" s="27">
        <v>0</v>
      </c>
      <c r="K769" s="28">
        <v>0</v>
      </c>
      <c r="L769" s="41">
        <v>409</v>
      </c>
      <c r="M769" s="58">
        <v>2333</v>
      </c>
      <c r="N769" s="57">
        <v>0.90629999999999999</v>
      </c>
      <c r="O769" t="s">
        <v>65</v>
      </c>
      <c r="P769" s="9">
        <v>46079</v>
      </c>
      <c r="Q769">
        <v>207.92</v>
      </c>
    </row>
    <row r="770" spans="1:17" x14ac:dyDescent="0.25">
      <c r="A770" s="10" t="s">
        <v>450</v>
      </c>
      <c r="B770" s="3" t="str">
        <f t="shared" si="37"/>
        <v>AMZN</v>
      </c>
      <c r="C770" s="3" t="str">
        <f t="shared" si="38"/>
        <v>260227</v>
      </c>
      <c r="D770" s="3" t="str">
        <f t="shared" si="39"/>
        <v>P00172500</v>
      </c>
      <c r="E770" s="46" t="s">
        <v>449</v>
      </c>
      <c r="F770" s="11">
        <v>172.5</v>
      </c>
      <c r="G770" s="41">
        <v>0.01</v>
      </c>
      <c r="H770" s="41">
        <v>0</v>
      </c>
      <c r="I770" s="41">
        <v>0.05</v>
      </c>
      <c r="J770" s="29">
        <v>-0.01</v>
      </c>
      <c r="K770" s="30">
        <v>-0.5</v>
      </c>
      <c r="L770" s="41">
        <v>67</v>
      </c>
      <c r="M770" s="41">
        <v>813</v>
      </c>
      <c r="N770" s="57">
        <v>0.99219999999999997</v>
      </c>
      <c r="O770" t="s">
        <v>65</v>
      </c>
      <c r="P770" s="9">
        <v>46079</v>
      </c>
      <c r="Q770">
        <v>207.92</v>
      </c>
    </row>
    <row r="771" spans="1:17" x14ac:dyDescent="0.25">
      <c r="A771" s="10" t="s">
        <v>451</v>
      </c>
      <c r="B771" s="3" t="str">
        <f t="shared" ref="B771:B834" si="40">+MID(A771,1,4)</f>
        <v>AMZN</v>
      </c>
      <c r="C771" s="3" t="str">
        <f t="shared" si="38"/>
        <v>260227</v>
      </c>
      <c r="D771" s="3" t="str">
        <f t="shared" si="39"/>
        <v>P00175000</v>
      </c>
      <c r="E771" s="46" t="s">
        <v>452</v>
      </c>
      <c r="F771" s="11">
        <v>175</v>
      </c>
      <c r="G771" s="41">
        <v>0.01</v>
      </c>
      <c r="H771" s="41">
        <v>0</v>
      </c>
      <c r="I771" s="41">
        <v>0.01</v>
      </c>
      <c r="J771" s="27">
        <v>0</v>
      </c>
      <c r="K771" s="28">
        <v>0</v>
      </c>
      <c r="L771" s="41">
        <v>67</v>
      </c>
      <c r="M771" s="58">
        <v>7060</v>
      </c>
      <c r="N771" s="57">
        <v>0.78129999999999999</v>
      </c>
      <c r="O771" t="s">
        <v>65</v>
      </c>
      <c r="P771" s="9">
        <v>46079</v>
      </c>
      <c r="Q771">
        <v>207.92</v>
      </c>
    </row>
    <row r="772" spans="1:17" x14ac:dyDescent="0.25">
      <c r="A772" s="10" t="s">
        <v>453</v>
      </c>
      <c r="B772" s="3" t="str">
        <f t="shared" si="40"/>
        <v>AMZN</v>
      </c>
      <c r="C772" s="3" t="str">
        <f t="shared" si="38"/>
        <v>260227</v>
      </c>
      <c r="D772" s="3" t="str">
        <f t="shared" si="39"/>
        <v>P00177500</v>
      </c>
      <c r="E772" s="46" t="s">
        <v>454</v>
      </c>
      <c r="F772" s="11">
        <v>177.5</v>
      </c>
      <c r="G772" s="41">
        <v>0.01</v>
      </c>
      <c r="H772" s="41">
        <v>0.01</v>
      </c>
      <c r="I772" s="41">
        <v>0.02</v>
      </c>
      <c r="J772" s="29">
        <v>-0.01</v>
      </c>
      <c r="K772" s="30">
        <v>-0.5</v>
      </c>
      <c r="L772" s="41">
        <v>127</v>
      </c>
      <c r="M772" s="58">
        <v>1168</v>
      </c>
      <c r="N772" s="57">
        <v>0.8125</v>
      </c>
      <c r="O772" t="s">
        <v>65</v>
      </c>
      <c r="P772" s="9">
        <v>46079</v>
      </c>
      <c r="Q772">
        <v>207.92</v>
      </c>
    </row>
    <row r="773" spans="1:17" x14ac:dyDescent="0.25">
      <c r="A773" s="10" t="s">
        <v>455</v>
      </c>
      <c r="B773" s="3" t="str">
        <f t="shared" si="40"/>
        <v>AMZN</v>
      </c>
      <c r="C773" s="3" t="str">
        <f t="shared" si="38"/>
        <v>260227</v>
      </c>
      <c r="D773" s="3" t="str">
        <f t="shared" si="39"/>
        <v>P00180000</v>
      </c>
      <c r="E773" s="46" t="s">
        <v>356</v>
      </c>
      <c r="F773" s="11">
        <v>180</v>
      </c>
      <c r="G773" s="41">
        <v>0.01</v>
      </c>
      <c r="H773" s="41">
        <v>0</v>
      </c>
      <c r="I773" s="41">
        <v>0.02</v>
      </c>
      <c r="J773" s="27">
        <v>0</v>
      </c>
      <c r="K773" s="28">
        <v>0</v>
      </c>
      <c r="L773" s="41">
        <v>229</v>
      </c>
      <c r="M773" s="58">
        <v>2849</v>
      </c>
      <c r="N773" s="57">
        <v>0.71879999999999999</v>
      </c>
      <c r="O773" t="s">
        <v>65</v>
      </c>
      <c r="P773" s="9">
        <v>46079</v>
      </c>
      <c r="Q773">
        <v>207.92</v>
      </c>
    </row>
    <row r="774" spans="1:17" x14ac:dyDescent="0.25">
      <c r="A774" s="10" t="s">
        <v>456</v>
      </c>
      <c r="B774" s="3" t="str">
        <f t="shared" si="40"/>
        <v>AMZN</v>
      </c>
      <c r="C774" s="3" t="str">
        <f t="shared" si="38"/>
        <v>260227</v>
      </c>
      <c r="D774" s="3" t="str">
        <f t="shared" si="39"/>
        <v>P00182500</v>
      </c>
      <c r="E774" s="46" t="s">
        <v>457</v>
      </c>
      <c r="F774" s="11">
        <v>182.5</v>
      </c>
      <c r="G774" s="41">
        <v>0.01</v>
      </c>
      <c r="H774" s="41">
        <v>0.01</v>
      </c>
      <c r="I774" s="41">
        <v>0.17</v>
      </c>
      <c r="J774" s="29">
        <v>-0.02</v>
      </c>
      <c r="K774" s="30">
        <v>-0.66669999999999996</v>
      </c>
      <c r="L774" s="41">
        <v>119</v>
      </c>
      <c r="M774" s="58">
        <v>1668</v>
      </c>
      <c r="N774" s="57">
        <v>0.85550000000000004</v>
      </c>
      <c r="O774" t="s">
        <v>65</v>
      </c>
      <c r="P774" s="9">
        <v>46079</v>
      </c>
      <c r="Q774">
        <v>207.92</v>
      </c>
    </row>
    <row r="775" spans="1:17" x14ac:dyDescent="0.25">
      <c r="A775" s="10" t="s">
        <v>458</v>
      </c>
      <c r="B775" s="3" t="str">
        <f t="shared" si="40"/>
        <v>AMZN</v>
      </c>
      <c r="C775" s="3" t="str">
        <f t="shared" si="38"/>
        <v>260227</v>
      </c>
      <c r="D775" s="3" t="str">
        <f t="shared" si="39"/>
        <v>P00185000</v>
      </c>
      <c r="E775" s="46" t="s">
        <v>340</v>
      </c>
      <c r="F775" s="11">
        <v>185</v>
      </c>
      <c r="G775" s="41">
        <v>0.01</v>
      </c>
      <c r="H775" s="41">
        <v>0.01</v>
      </c>
      <c r="I775" s="41">
        <v>0.03</v>
      </c>
      <c r="J775" s="29">
        <v>-0.02</v>
      </c>
      <c r="K775" s="30">
        <v>-0.66669999999999996</v>
      </c>
      <c r="L775" s="41">
        <v>585</v>
      </c>
      <c r="M775" s="58">
        <v>3050</v>
      </c>
      <c r="N775" s="57">
        <v>0.64059999999999995</v>
      </c>
      <c r="O775" t="s">
        <v>65</v>
      </c>
      <c r="P775" s="9">
        <v>46079</v>
      </c>
      <c r="Q775">
        <v>207.92</v>
      </c>
    </row>
    <row r="776" spans="1:17" x14ac:dyDescent="0.25">
      <c r="A776" s="10" t="s">
        <v>459</v>
      </c>
      <c r="B776" s="3" t="str">
        <f t="shared" si="40"/>
        <v>AMZN</v>
      </c>
      <c r="C776" s="3" t="str">
        <f t="shared" si="38"/>
        <v>260227</v>
      </c>
      <c r="D776" s="3" t="str">
        <f t="shared" si="39"/>
        <v>P00187500</v>
      </c>
      <c r="E776" s="46" t="s">
        <v>460</v>
      </c>
      <c r="F776" s="11">
        <v>187.5</v>
      </c>
      <c r="G776" s="41">
        <v>0.02</v>
      </c>
      <c r="H776" s="41">
        <v>0.01</v>
      </c>
      <c r="I776" s="41">
        <v>0.03</v>
      </c>
      <c r="J776" s="29">
        <v>-0.02</v>
      </c>
      <c r="K776" s="30">
        <v>-0.5</v>
      </c>
      <c r="L776" s="58">
        <v>1076</v>
      </c>
      <c r="M776" s="58">
        <v>1841</v>
      </c>
      <c r="N776" s="57">
        <v>0.57030000000000003</v>
      </c>
      <c r="O776" t="s">
        <v>65</v>
      </c>
      <c r="P776" s="9">
        <v>46079</v>
      </c>
      <c r="Q776">
        <v>207.92</v>
      </c>
    </row>
    <row r="777" spans="1:17" x14ac:dyDescent="0.25">
      <c r="A777" s="10" t="s">
        <v>461</v>
      </c>
      <c r="B777" s="3" t="str">
        <f t="shared" si="40"/>
        <v>AMZN</v>
      </c>
      <c r="C777" s="3" t="str">
        <f t="shared" si="38"/>
        <v>260227</v>
      </c>
      <c r="D777" s="3" t="str">
        <f t="shared" si="39"/>
        <v>P00190000</v>
      </c>
      <c r="E777" s="46" t="s">
        <v>376</v>
      </c>
      <c r="F777" s="11">
        <v>190</v>
      </c>
      <c r="G777" s="41">
        <v>0.03</v>
      </c>
      <c r="H777" s="41">
        <v>0.02</v>
      </c>
      <c r="I777" s="41">
        <v>0.03</v>
      </c>
      <c r="J777" s="29">
        <v>-0.01</v>
      </c>
      <c r="K777" s="30">
        <v>-0.25</v>
      </c>
      <c r="L777" s="41">
        <v>768</v>
      </c>
      <c r="M777" s="58">
        <v>8073</v>
      </c>
      <c r="N777" s="57">
        <v>0.51949999999999996</v>
      </c>
      <c r="O777" t="s">
        <v>65</v>
      </c>
      <c r="P777" s="9">
        <v>46079</v>
      </c>
      <c r="Q777">
        <v>207.92</v>
      </c>
    </row>
    <row r="778" spans="1:17" x14ac:dyDescent="0.25">
      <c r="A778" s="10" t="s">
        <v>462</v>
      </c>
      <c r="B778" s="3" t="str">
        <f t="shared" si="40"/>
        <v>AMZN</v>
      </c>
      <c r="C778" s="3" t="str">
        <f t="shared" si="38"/>
        <v>260227</v>
      </c>
      <c r="D778" s="3" t="str">
        <f t="shared" si="39"/>
        <v>P00192500</v>
      </c>
      <c r="E778" s="46" t="s">
        <v>376</v>
      </c>
      <c r="F778" s="11">
        <v>192.5</v>
      </c>
      <c r="G778" s="41">
        <v>0.04</v>
      </c>
      <c r="H778" s="41">
        <v>0.03</v>
      </c>
      <c r="I778" s="41">
        <v>0.04</v>
      </c>
      <c r="J778" s="29">
        <v>-0.02</v>
      </c>
      <c r="K778" s="30">
        <v>-0.33329999999999999</v>
      </c>
      <c r="L778" s="41">
        <v>512</v>
      </c>
      <c r="M778" s="58">
        <v>2871</v>
      </c>
      <c r="N778" s="57">
        <v>0.4844</v>
      </c>
      <c r="O778" t="s">
        <v>65</v>
      </c>
      <c r="P778" s="9">
        <v>46079</v>
      </c>
      <c r="Q778">
        <v>207.92</v>
      </c>
    </row>
    <row r="779" spans="1:17" x14ac:dyDescent="0.25">
      <c r="A779" s="10" t="s">
        <v>463</v>
      </c>
      <c r="B779" s="3" t="str">
        <f t="shared" si="40"/>
        <v>AMZN</v>
      </c>
      <c r="C779" s="3" t="str">
        <f t="shared" si="38"/>
        <v>260227</v>
      </c>
      <c r="D779" s="3" t="str">
        <f t="shared" si="39"/>
        <v>P00195000</v>
      </c>
      <c r="E779" s="46" t="s">
        <v>376</v>
      </c>
      <c r="F779" s="11">
        <v>195</v>
      </c>
      <c r="G779" s="41">
        <v>0.04</v>
      </c>
      <c r="H779" s="41">
        <v>0.04</v>
      </c>
      <c r="I779" s="41">
        <v>0.05</v>
      </c>
      <c r="J779" s="29">
        <v>-0.04</v>
      </c>
      <c r="K779" s="30">
        <v>-0.5</v>
      </c>
      <c r="L779" s="58">
        <v>2303</v>
      </c>
      <c r="M779" s="58">
        <v>10387</v>
      </c>
      <c r="N779" s="57">
        <v>0.42770000000000002</v>
      </c>
      <c r="O779" t="s">
        <v>65</v>
      </c>
      <c r="P779" s="9">
        <v>46079</v>
      </c>
      <c r="Q779">
        <v>207.92</v>
      </c>
    </row>
    <row r="780" spans="1:17" x14ac:dyDescent="0.25">
      <c r="A780" s="10" t="s">
        <v>464</v>
      </c>
      <c r="B780" s="3" t="str">
        <f t="shared" si="40"/>
        <v>AMZN</v>
      </c>
      <c r="C780" s="3" t="str">
        <f t="shared" si="38"/>
        <v>260227</v>
      </c>
      <c r="D780" s="3" t="str">
        <f t="shared" si="39"/>
        <v>P00197500</v>
      </c>
      <c r="E780" s="46" t="s">
        <v>374</v>
      </c>
      <c r="F780" s="11">
        <v>197.5</v>
      </c>
      <c r="G780" s="41">
        <v>0.06</v>
      </c>
      <c r="H780" s="41">
        <v>0.05</v>
      </c>
      <c r="I780" s="41">
        <v>0.06</v>
      </c>
      <c r="J780" s="29">
        <v>-0.05</v>
      </c>
      <c r="K780" s="30">
        <v>-0.45450000000000002</v>
      </c>
      <c r="L780" s="58">
        <v>1946</v>
      </c>
      <c r="M780" s="58">
        <v>3756</v>
      </c>
      <c r="N780" s="57">
        <v>0.36520000000000002</v>
      </c>
      <c r="O780" t="s">
        <v>65</v>
      </c>
      <c r="P780" s="9">
        <v>46079</v>
      </c>
      <c r="Q780">
        <v>207.92</v>
      </c>
    </row>
    <row r="781" spans="1:17" x14ac:dyDescent="0.25">
      <c r="A781" s="10" t="s">
        <v>465</v>
      </c>
      <c r="B781" s="3" t="str">
        <f t="shared" si="40"/>
        <v>AMZN</v>
      </c>
      <c r="C781" s="3" t="str">
        <f t="shared" si="38"/>
        <v>260227</v>
      </c>
      <c r="D781" s="3" t="str">
        <f t="shared" si="39"/>
        <v>P00200000</v>
      </c>
      <c r="E781" s="46" t="s">
        <v>376</v>
      </c>
      <c r="F781" s="11">
        <v>200</v>
      </c>
      <c r="G781" s="41">
        <v>0.09</v>
      </c>
      <c r="H781" s="41">
        <v>0.09</v>
      </c>
      <c r="I781" s="41">
        <v>0.1</v>
      </c>
      <c r="J781" s="29">
        <v>-0.1</v>
      </c>
      <c r="K781" s="30">
        <v>-0.52629999999999999</v>
      </c>
      <c r="L781" s="58">
        <v>5911</v>
      </c>
      <c r="M781" s="58">
        <v>7887</v>
      </c>
      <c r="N781" s="57">
        <v>0.31840000000000002</v>
      </c>
      <c r="O781" t="s">
        <v>65</v>
      </c>
      <c r="P781" s="9">
        <v>46079</v>
      </c>
      <c r="Q781">
        <v>207.92</v>
      </c>
    </row>
    <row r="782" spans="1:17" x14ac:dyDescent="0.25">
      <c r="A782" s="10" t="s">
        <v>466</v>
      </c>
      <c r="B782" s="3" t="str">
        <f t="shared" si="40"/>
        <v>AMZN</v>
      </c>
      <c r="C782" s="3" t="str">
        <f t="shared" si="38"/>
        <v>260227</v>
      </c>
      <c r="D782" s="3" t="str">
        <f t="shared" si="39"/>
        <v>P00202500</v>
      </c>
      <c r="E782" s="46" t="s">
        <v>376</v>
      </c>
      <c r="F782" s="11">
        <v>202.5</v>
      </c>
      <c r="G782" s="41">
        <v>0.19</v>
      </c>
      <c r="H782" s="41">
        <v>0.19</v>
      </c>
      <c r="I782" s="41">
        <v>0.2</v>
      </c>
      <c r="J782" s="29">
        <v>-0.1</v>
      </c>
      <c r="K782" s="30">
        <v>-0.3448</v>
      </c>
      <c r="L782" s="58">
        <v>7870</v>
      </c>
      <c r="M782" s="58">
        <v>3613</v>
      </c>
      <c r="N782" s="57">
        <v>0.27829999999999999</v>
      </c>
      <c r="O782" t="s">
        <v>65</v>
      </c>
      <c r="P782" s="9">
        <v>46079</v>
      </c>
      <c r="Q782">
        <v>207.92</v>
      </c>
    </row>
    <row r="783" spans="1:17" x14ac:dyDescent="0.25">
      <c r="A783" s="10" t="s">
        <v>467</v>
      </c>
      <c r="B783" s="3" t="str">
        <f t="shared" si="40"/>
        <v>AMZN</v>
      </c>
      <c r="C783" s="3" t="str">
        <f t="shared" si="38"/>
        <v>260227</v>
      </c>
      <c r="D783" s="3" t="str">
        <f t="shared" si="39"/>
        <v>P00205000</v>
      </c>
      <c r="E783" s="46" t="s">
        <v>376</v>
      </c>
      <c r="F783" s="11">
        <v>205</v>
      </c>
      <c r="G783" s="41">
        <v>0.52</v>
      </c>
      <c r="H783" s="41">
        <v>0.5</v>
      </c>
      <c r="I783" s="41">
        <v>0.53</v>
      </c>
      <c r="J783" s="29">
        <v>-0.04</v>
      </c>
      <c r="K783" s="30">
        <v>-7.1400000000000005E-2</v>
      </c>
      <c r="L783" s="58">
        <v>20887</v>
      </c>
      <c r="M783" s="58">
        <v>6042</v>
      </c>
      <c r="N783" s="57">
        <v>0.25879999999999997</v>
      </c>
      <c r="O783" t="s">
        <v>65</v>
      </c>
      <c r="P783" s="9">
        <v>46079</v>
      </c>
      <c r="Q783">
        <v>207.92</v>
      </c>
    </row>
    <row r="784" spans="1:17" x14ac:dyDescent="0.25">
      <c r="A784" s="10" t="s">
        <v>468</v>
      </c>
      <c r="B784" s="3" t="str">
        <f t="shared" si="40"/>
        <v>AMZN</v>
      </c>
      <c r="C784" s="3" t="str">
        <f t="shared" si="38"/>
        <v>260227</v>
      </c>
      <c r="D784" s="3" t="str">
        <f t="shared" si="39"/>
        <v>P00207500</v>
      </c>
      <c r="E784" s="46" t="s">
        <v>376</v>
      </c>
      <c r="F784" s="11">
        <v>207.5</v>
      </c>
      <c r="G784" s="41">
        <v>1.29</v>
      </c>
      <c r="H784" s="41">
        <v>1.27</v>
      </c>
      <c r="I784" s="41">
        <v>1.31</v>
      </c>
      <c r="J784" s="25">
        <v>0.25</v>
      </c>
      <c r="K784" s="26">
        <v>0.2404</v>
      </c>
      <c r="L784" s="58">
        <v>22331</v>
      </c>
      <c r="M784" s="58">
        <v>5972</v>
      </c>
      <c r="N784" s="57">
        <v>0.24629999999999999</v>
      </c>
      <c r="O784" t="s">
        <v>65</v>
      </c>
      <c r="P784" s="9">
        <v>46079</v>
      </c>
      <c r="Q784">
        <v>207.92</v>
      </c>
    </row>
    <row r="785" spans="1:17" x14ac:dyDescent="0.25">
      <c r="A785" s="10" t="s">
        <v>469</v>
      </c>
      <c r="B785" s="3" t="str">
        <f t="shared" si="40"/>
        <v>AMZN</v>
      </c>
      <c r="C785" s="3" t="str">
        <f t="shared" si="38"/>
        <v>260227</v>
      </c>
      <c r="D785" s="3" t="str">
        <f t="shared" si="39"/>
        <v>P00210000</v>
      </c>
      <c r="E785" s="46" t="s">
        <v>376</v>
      </c>
      <c r="F785" s="11">
        <v>210</v>
      </c>
      <c r="G785" s="41">
        <v>2.7</v>
      </c>
      <c r="H785" s="41">
        <v>2.62</v>
      </c>
      <c r="I785" s="41">
        <v>2.71</v>
      </c>
      <c r="J785" s="25">
        <v>0.86</v>
      </c>
      <c r="K785" s="26">
        <v>0.46739999999999998</v>
      </c>
      <c r="L785" s="58">
        <v>8559</v>
      </c>
      <c r="M785" s="58">
        <v>6013</v>
      </c>
      <c r="N785" s="57">
        <v>0.2329</v>
      </c>
      <c r="O785" t="s">
        <v>65</v>
      </c>
      <c r="P785" s="9">
        <v>46079</v>
      </c>
      <c r="Q785">
        <v>207.92</v>
      </c>
    </row>
    <row r="786" spans="1:17" x14ac:dyDescent="0.25">
      <c r="A786" s="10" t="s">
        <v>470</v>
      </c>
      <c r="B786" s="3" t="str">
        <f t="shared" si="40"/>
        <v>AMZN</v>
      </c>
      <c r="C786" s="3" t="str">
        <f t="shared" si="38"/>
        <v>260227</v>
      </c>
      <c r="D786" s="3" t="str">
        <f t="shared" si="39"/>
        <v>P00212500</v>
      </c>
      <c r="E786" s="46" t="s">
        <v>372</v>
      </c>
      <c r="F786" s="11">
        <v>212.5</v>
      </c>
      <c r="G786" s="41">
        <v>4.76</v>
      </c>
      <c r="H786" s="41">
        <v>4.6500000000000004</v>
      </c>
      <c r="I786" s="41">
        <v>4.9000000000000004</v>
      </c>
      <c r="J786" s="25">
        <v>1.64</v>
      </c>
      <c r="K786" s="26">
        <v>0.52559999999999996</v>
      </c>
      <c r="L786" s="58">
        <v>7291</v>
      </c>
      <c r="M786" s="58">
        <v>1802</v>
      </c>
      <c r="N786" s="57">
        <v>0.27739999999999998</v>
      </c>
      <c r="O786" t="s">
        <v>65</v>
      </c>
      <c r="P786" s="9">
        <v>46079</v>
      </c>
      <c r="Q786">
        <v>207.92</v>
      </c>
    </row>
    <row r="787" spans="1:17" x14ac:dyDescent="0.25">
      <c r="A787" s="10" t="s">
        <v>471</v>
      </c>
      <c r="B787" s="3" t="str">
        <f t="shared" si="40"/>
        <v>AMZN</v>
      </c>
      <c r="C787" s="3" t="str">
        <f t="shared" si="38"/>
        <v>260227</v>
      </c>
      <c r="D787" s="3" t="str">
        <f t="shared" si="39"/>
        <v>P00215000</v>
      </c>
      <c r="E787" s="46" t="s">
        <v>447</v>
      </c>
      <c r="F787" s="11">
        <v>215</v>
      </c>
      <c r="G787" s="41">
        <v>7.22</v>
      </c>
      <c r="H787" s="41">
        <v>7</v>
      </c>
      <c r="I787" s="41">
        <v>7.3</v>
      </c>
      <c r="J787" s="25">
        <v>2.2999999999999998</v>
      </c>
      <c r="K787" s="26">
        <v>0.46750000000000003</v>
      </c>
      <c r="L787" s="41">
        <v>596</v>
      </c>
      <c r="M787" s="58">
        <v>1705</v>
      </c>
      <c r="N787" s="57">
        <v>0.33689999999999998</v>
      </c>
      <c r="O787" t="s">
        <v>65</v>
      </c>
      <c r="P787" s="9">
        <v>46079</v>
      </c>
      <c r="Q787">
        <v>207.92</v>
      </c>
    </row>
    <row r="788" spans="1:17" x14ac:dyDescent="0.25">
      <c r="A788" s="10" t="s">
        <v>472</v>
      </c>
      <c r="B788" s="3" t="str">
        <f t="shared" si="40"/>
        <v>AMZN</v>
      </c>
      <c r="C788" s="3" t="str">
        <f t="shared" si="38"/>
        <v>260227</v>
      </c>
      <c r="D788" s="3" t="str">
        <f t="shared" si="39"/>
        <v>P00217500</v>
      </c>
      <c r="E788" s="46" t="s">
        <v>334</v>
      </c>
      <c r="F788" s="11">
        <v>217.5</v>
      </c>
      <c r="G788" s="41">
        <v>9.9</v>
      </c>
      <c r="H788" s="41">
        <v>9.35</v>
      </c>
      <c r="I788" s="41">
        <v>10.4</v>
      </c>
      <c r="J788" s="25">
        <v>2.4</v>
      </c>
      <c r="K788" s="26">
        <v>0.32</v>
      </c>
      <c r="L788" s="41">
        <v>231</v>
      </c>
      <c r="M788" s="41">
        <v>235</v>
      </c>
      <c r="N788" s="57">
        <v>0.61429999999999996</v>
      </c>
      <c r="O788" t="s">
        <v>65</v>
      </c>
      <c r="P788" s="9">
        <v>46079</v>
      </c>
      <c r="Q788">
        <v>207.92</v>
      </c>
    </row>
    <row r="789" spans="1:17" x14ac:dyDescent="0.25">
      <c r="A789" s="10" t="s">
        <v>473</v>
      </c>
      <c r="B789" s="3" t="str">
        <f t="shared" si="40"/>
        <v>AMZN</v>
      </c>
      <c r="C789" s="3" t="str">
        <f t="shared" si="38"/>
        <v>260227</v>
      </c>
      <c r="D789" s="3" t="str">
        <f t="shared" si="39"/>
        <v>P00220000</v>
      </c>
      <c r="E789" s="46" t="s">
        <v>356</v>
      </c>
      <c r="F789" s="11">
        <v>220</v>
      </c>
      <c r="G789" s="41">
        <v>12.09</v>
      </c>
      <c r="H789" s="41">
        <v>12</v>
      </c>
      <c r="I789" s="41">
        <v>12.55</v>
      </c>
      <c r="J789" s="25">
        <v>2.36</v>
      </c>
      <c r="K789" s="26">
        <v>0.24249999999999999</v>
      </c>
      <c r="L789" s="41">
        <v>124</v>
      </c>
      <c r="M789" s="58">
        <v>2165</v>
      </c>
      <c r="N789" s="57">
        <v>0.60350000000000004</v>
      </c>
      <c r="O789" t="s">
        <v>65</v>
      </c>
      <c r="P789" s="9">
        <v>46079</v>
      </c>
      <c r="Q789">
        <v>207.92</v>
      </c>
    </row>
    <row r="790" spans="1:17" x14ac:dyDescent="0.25">
      <c r="A790" s="10" t="s">
        <v>474</v>
      </c>
      <c r="B790" s="3" t="str">
        <f t="shared" si="40"/>
        <v>AMZN</v>
      </c>
      <c r="C790" s="3" t="str">
        <f t="shared" si="38"/>
        <v>260227</v>
      </c>
      <c r="D790" s="3" t="str">
        <f t="shared" si="39"/>
        <v>P00222500</v>
      </c>
      <c r="E790" s="46" t="s">
        <v>475</v>
      </c>
      <c r="F790" s="11">
        <v>222.5</v>
      </c>
      <c r="G790" s="41">
        <v>16.649999999999999</v>
      </c>
      <c r="H790" s="41">
        <v>14.4</v>
      </c>
      <c r="I790" s="41">
        <v>15.15</v>
      </c>
      <c r="J790" s="25">
        <v>3.15</v>
      </c>
      <c r="K790" s="26">
        <v>0.23330000000000001</v>
      </c>
      <c r="L790" s="41">
        <v>82</v>
      </c>
      <c r="M790" s="41">
        <v>53</v>
      </c>
      <c r="N790" s="57">
        <v>0.5625</v>
      </c>
      <c r="O790" t="s">
        <v>65</v>
      </c>
      <c r="P790" s="9">
        <v>46079</v>
      </c>
      <c r="Q790">
        <v>207.92</v>
      </c>
    </row>
    <row r="791" spans="1:17" x14ac:dyDescent="0.25">
      <c r="A791" s="10" t="s">
        <v>476</v>
      </c>
      <c r="B791" s="3" t="str">
        <f t="shared" si="40"/>
        <v>AMZN</v>
      </c>
      <c r="C791" s="3" t="str">
        <f t="shared" si="38"/>
        <v>260227</v>
      </c>
      <c r="D791" s="3" t="str">
        <f t="shared" si="39"/>
        <v>P00225000</v>
      </c>
      <c r="E791" s="46" t="s">
        <v>477</v>
      </c>
      <c r="F791" s="11">
        <v>225</v>
      </c>
      <c r="G791" s="41">
        <v>17</v>
      </c>
      <c r="H791" s="41">
        <v>16.600000000000001</v>
      </c>
      <c r="I791" s="41">
        <v>17.7</v>
      </c>
      <c r="J791" s="25">
        <v>1.93</v>
      </c>
      <c r="K791" s="26">
        <v>0.12809999999999999</v>
      </c>
      <c r="L791" s="41">
        <v>47</v>
      </c>
      <c r="M791" s="41">
        <v>11</v>
      </c>
      <c r="N791" s="57">
        <v>0.53129999999999999</v>
      </c>
      <c r="O791" t="s">
        <v>65</v>
      </c>
      <c r="P791" s="9">
        <v>46079</v>
      </c>
      <c r="Q791">
        <v>207.92</v>
      </c>
    </row>
    <row r="792" spans="1:17" x14ac:dyDescent="0.25">
      <c r="A792" s="10" t="s">
        <v>478</v>
      </c>
      <c r="B792" s="3" t="str">
        <f t="shared" si="40"/>
        <v>AMZN</v>
      </c>
      <c r="C792" s="3" t="str">
        <f t="shared" si="38"/>
        <v>260227</v>
      </c>
      <c r="D792" s="3" t="str">
        <f t="shared" si="39"/>
        <v>P00227500</v>
      </c>
      <c r="E792" s="46" t="s">
        <v>479</v>
      </c>
      <c r="F792" s="11">
        <v>227.5</v>
      </c>
      <c r="G792" s="41">
        <v>20.170000000000002</v>
      </c>
      <c r="H792" s="41">
        <v>18.25</v>
      </c>
      <c r="I792" s="41">
        <v>21.15</v>
      </c>
      <c r="J792" s="25">
        <v>1.86</v>
      </c>
      <c r="K792" s="26">
        <v>0.1016</v>
      </c>
      <c r="L792" s="41">
        <v>14</v>
      </c>
      <c r="M792" s="41">
        <v>0</v>
      </c>
      <c r="N792" s="57">
        <v>0.64649999999999996</v>
      </c>
      <c r="O792" t="s">
        <v>65</v>
      </c>
      <c r="P792" s="9">
        <v>46079</v>
      </c>
      <c r="Q792">
        <v>207.92</v>
      </c>
    </row>
    <row r="793" spans="1:17" x14ac:dyDescent="0.25">
      <c r="A793" s="10" t="s">
        <v>480</v>
      </c>
      <c r="B793" s="3" t="str">
        <f t="shared" si="40"/>
        <v>AMZN</v>
      </c>
      <c r="C793" s="3" t="str">
        <f t="shared" si="38"/>
        <v>260227</v>
      </c>
      <c r="D793" s="3" t="str">
        <f t="shared" si="39"/>
        <v>P00230000</v>
      </c>
      <c r="E793" s="46" t="s">
        <v>479</v>
      </c>
      <c r="F793" s="11">
        <v>230</v>
      </c>
      <c r="G793" s="41">
        <v>22.67</v>
      </c>
      <c r="H793" s="41">
        <v>20.8</v>
      </c>
      <c r="I793" s="41">
        <v>23.6</v>
      </c>
      <c r="J793" s="29">
        <v>-2.73</v>
      </c>
      <c r="K793" s="30">
        <v>-0.1075</v>
      </c>
      <c r="L793" s="41">
        <v>6</v>
      </c>
      <c r="M793" s="41">
        <v>13</v>
      </c>
      <c r="N793" s="57">
        <v>0.70899999999999996</v>
      </c>
      <c r="O793" t="s">
        <v>65</v>
      </c>
      <c r="P793" s="9">
        <v>46079</v>
      </c>
      <c r="Q793">
        <v>207.92</v>
      </c>
    </row>
    <row r="794" spans="1:17" x14ac:dyDescent="0.25">
      <c r="A794" s="10" t="s">
        <v>481</v>
      </c>
      <c r="B794" s="3" t="str">
        <f t="shared" si="40"/>
        <v>AMZN</v>
      </c>
      <c r="C794" s="3" t="str">
        <f t="shared" si="38"/>
        <v>260227</v>
      </c>
      <c r="D794" s="3" t="str">
        <f t="shared" si="39"/>
        <v>P00235000</v>
      </c>
      <c r="E794" s="46" t="s">
        <v>482</v>
      </c>
      <c r="F794" s="11">
        <v>235</v>
      </c>
      <c r="G794" s="41">
        <v>27.7</v>
      </c>
      <c r="H794" s="41">
        <v>26.55</v>
      </c>
      <c r="I794" s="41">
        <v>27.75</v>
      </c>
      <c r="J794" s="25">
        <v>2.76</v>
      </c>
      <c r="K794" s="26">
        <v>0.11070000000000001</v>
      </c>
      <c r="L794" s="41">
        <v>136</v>
      </c>
      <c r="M794" s="41">
        <v>18</v>
      </c>
      <c r="N794" s="57">
        <v>0.76949999999999996</v>
      </c>
      <c r="O794" t="s">
        <v>65</v>
      </c>
      <c r="P794" s="9">
        <v>46079</v>
      </c>
      <c r="Q794">
        <v>207.92</v>
      </c>
    </row>
    <row r="795" spans="1:17" x14ac:dyDescent="0.25">
      <c r="A795" s="10" t="s">
        <v>483</v>
      </c>
      <c r="B795" s="3" t="str">
        <f t="shared" si="40"/>
        <v>AMZN</v>
      </c>
      <c r="C795" s="3" t="str">
        <f t="shared" si="38"/>
        <v>260227</v>
      </c>
      <c r="D795" s="3" t="str">
        <f t="shared" si="39"/>
        <v>P00240000</v>
      </c>
      <c r="E795" s="46" t="s">
        <v>482</v>
      </c>
      <c r="F795" s="11">
        <v>240</v>
      </c>
      <c r="G795" s="41">
        <v>31.25</v>
      </c>
      <c r="H795" s="41">
        <v>31.55</v>
      </c>
      <c r="I795" s="41">
        <v>32.700000000000003</v>
      </c>
      <c r="J795" s="25">
        <v>1</v>
      </c>
      <c r="K795" s="26">
        <v>3.3099999999999997E-2</v>
      </c>
      <c r="L795" s="41">
        <v>33</v>
      </c>
      <c r="M795" s="41">
        <v>4</v>
      </c>
      <c r="N795" s="57">
        <v>0.82809999999999995</v>
      </c>
      <c r="O795" t="s">
        <v>65</v>
      </c>
      <c r="P795" s="9">
        <v>46079</v>
      </c>
      <c r="Q795">
        <v>207.92</v>
      </c>
    </row>
    <row r="796" spans="1:17" x14ac:dyDescent="0.25">
      <c r="A796" s="10" t="s">
        <v>484</v>
      </c>
      <c r="B796" s="3" t="str">
        <f t="shared" si="40"/>
        <v>AMZN</v>
      </c>
      <c r="C796" s="3" t="str">
        <f t="shared" si="38"/>
        <v>260227</v>
      </c>
      <c r="D796" s="3" t="str">
        <f t="shared" si="39"/>
        <v>P00245000</v>
      </c>
      <c r="E796" s="46" t="s">
        <v>342</v>
      </c>
      <c r="F796" s="11">
        <v>245</v>
      </c>
      <c r="G796" s="41">
        <v>38.4</v>
      </c>
      <c r="H796" s="41">
        <v>36.549999999999997</v>
      </c>
      <c r="I796" s="41">
        <v>37.700000000000003</v>
      </c>
      <c r="J796" s="25">
        <v>1.9</v>
      </c>
      <c r="K796" s="26">
        <v>5.21E-2</v>
      </c>
      <c r="L796" s="41">
        <v>7</v>
      </c>
      <c r="M796" s="41">
        <v>1</v>
      </c>
      <c r="N796" s="57">
        <v>0.92969999999999997</v>
      </c>
      <c r="O796" t="s">
        <v>65</v>
      </c>
      <c r="P796" s="9">
        <v>46079</v>
      </c>
      <c r="Q796">
        <v>207.92</v>
      </c>
    </row>
    <row r="797" spans="1:17" x14ac:dyDescent="0.25">
      <c r="A797" s="10" t="s">
        <v>485</v>
      </c>
      <c r="B797" s="3" t="str">
        <f t="shared" si="40"/>
        <v>AMZN</v>
      </c>
      <c r="C797" s="3" t="str">
        <f t="shared" si="38"/>
        <v>260227</v>
      </c>
      <c r="D797" s="3" t="str">
        <f t="shared" si="39"/>
        <v>P00250000</v>
      </c>
      <c r="E797" s="46" t="s">
        <v>342</v>
      </c>
      <c r="F797" s="11">
        <v>250</v>
      </c>
      <c r="G797" s="41">
        <v>40.700000000000003</v>
      </c>
      <c r="H797" s="41">
        <v>41.55</v>
      </c>
      <c r="I797" s="41">
        <v>42.7</v>
      </c>
      <c r="J797" s="25">
        <v>1.05</v>
      </c>
      <c r="K797" s="26">
        <v>2.6499999999999999E-2</v>
      </c>
      <c r="L797" s="41">
        <v>37</v>
      </c>
      <c r="M797" s="41">
        <v>5</v>
      </c>
      <c r="N797" s="57">
        <v>1.0313000000000001</v>
      </c>
      <c r="O797" t="s">
        <v>65</v>
      </c>
      <c r="P797" s="9">
        <v>46079</v>
      </c>
      <c r="Q797">
        <v>207.92</v>
      </c>
    </row>
    <row r="798" spans="1:17" x14ac:dyDescent="0.25">
      <c r="A798" s="10" t="s">
        <v>486</v>
      </c>
      <c r="B798" s="3" t="str">
        <f t="shared" si="40"/>
        <v>AMZN</v>
      </c>
      <c r="C798" s="3" t="str">
        <f t="shared" si="38"/>
        <v>260227</v>
      </c>
      <c r="D798" s="3" t="str">
        <f t="shared" si="39"/>
        <v>P00255000</v>
      </c>
      <c r="E798" s="46" t="s">
        <v>292</v>
      </c>
      <c r="F798" s="11">
        <v>255</v>
      </c>
      <c r="G798" s="41">
        <v>46.5</v>
      </c>
      <c r="H798" s="41">
        <v>45.85</v>
      </c>
      <c r="I798" s="41">
        <v>48.65</v>
      </c>
      <c r="J798" s="27">
        <v>0</v>
      </c>
      <c r="K798" s="28">
        <v>0</v>
      </c>
      <c r="L798" s="41">
        <v>1</v>
      </c>
      <c r="M798" s="41">
        <v>0</v>
      </c>
      <c r="N798" s="57">
        <v>1.3456999999999999</v>
      </c>
      <c r="O798" t="s">
        <v>65</v>
      </c>
      <c r="P798" s="9">
        <v>46079</v>
      </c>
      <c r="Q798">
        <v>207.92</v>
      </c>
    </row>
    <row r="799" spans="1:17" x14ac:dyDescent="0.25">
      <c r="A799" s="10" t="s">
        <v>487</v>
      </c>
      <c r="B799" s="3" t="str">
        <f t="shared" si="40"/>
        <v>AMZN</v>
      </c>
      <c r="C799" s="3" t="str">
        <f t="shared" si="38"/>
        <v>260227</v>
      </c>
      <c r="D799" s="3" t="str">
        <f t="shared" si="39"/>
        <v>P00260000</v>
      </c>
      <c r="E799" s="46" t="s">
        <v>488</v>
      </c>
      <c r="F799" s="11">
        <v>260</v>
      </c>
      <c r="G799" s="41">
        <v>57.05</v>
      </c>
      <c r="H799" s="41">
        <v>50.8</v>
      </c>
      <c r="I799" s="41">
        <v>53.6</v>
      </c>
      <c r="J799" s="27">
        <v>0</v>
      </c>
      <c r="K799" s="28">
        <v>0</v>
      </c>
      <c r="L799" s="41">
        <v>260</v>
      </c>
      <c r="M799" s="41">
        <v>0</v>
      </c>
      <c r="N799" s="57">
        <v>1.3789</v>
      </c>
      <c r="O799" t="s">
        <v>65</v>
      </c>
      <c r="P799" s="9">
        <v>46079</v>
      </c>
      <c r="Q799">
        <v>207.92</v>
      </c>
    </row>
    <row r="800" spans="1:17" x14ac:dyDescent="0.25">
      <c r="A800" s="10" t="s">
        <v>489</v>
      </c>
      <c r="B800" s="3" t="str">
        <f t="shared" si="40"/>
        <v>AMZN</v>
      </c>
      <c r="C800" s="3" t="str">
        <f t="shared" si="38"/>
        <v>260227</v>
      </c>
      <c r="D800" s="3" t="str">
        <f t="shared" si="39"/>
        <v>P00265000</v>
      </c>
      <c r="E800" s="46" t="s">
        <v>342</v>
      </c>
      <c r="F800" s="11">
        <v>265</v>
      </c>
      <c r="G800" s="41">
        <v>58.4</v>
      </c>
      <c r="H800" s="41">
        <v>56.55</v>
      </c>
      <c r="I800" s="41">
        <v>57.75</v>
      </c>
      <c r="J800" s="25">
        <v>1.84</v>
      </c>
      <c r="K800" s="26">
        <v>3.2500000000000001E-2</v>
      </c>
      <c r="L800" s="41">
        <v>7</v>
      </c>
      <c r="M800" s="41">
        <v>1</v>
      </c>
      <c r="N800" s="57">
        <v>1.3789</v>
      </c>
      <c r="O800" t="s">
        <v>65</v>
      </c>
      <c r="P800" s="9">
        <v>46079</v>
      </c>
      <c r="Q800">
        <v>207.92</v>
      </c>
    </row>
    <row r="801" spans="1:17" x14ac:dyDescent="0.25">
      <c r="A801" s="10" t="s">
        <v>490</v>
      </c>
      <c r="B801" s="3" t="str">
        <f t="shared" si="40"/>
        <v>AMZN</v>
      </c>
      <c r="C801" s="3" t="str">
        <f t="shared" si="38"/>
        <v>260227</v>
      </c>
      <c r="D801" s="3" t="str">
        <f t="shared" si="39"/>
        <v>P00270000</v>
      </c>
      <c r="E801" s="46" t="s">
        <v>491</v>
      </c>
      <c r="F801" s="11">
        <v>270</v>
      </c>
      <c r="G801" s="41">
        <v>64.900000000000006</v>
      </c>
      <c r="H801" s="41">
        <v>60.8</v>
      </c>
      <c r="I801" s="41">
        <v>63.6</v>
      </c>
      <c r="J801" s="27">
        <v>0</v>
      </c>
      <c r="K801" s="28">
        <v>0</v>
      </c>
      <c r="L801" s="41">
        <v>115</v>
      </c>
      <c r="M801" s="41">
        <v>0</v>
      </c>
      <c r="N801" s="57">
        <v>1.5742</v>
      </c>
      <c r="O801" t="s">
        <v>65</v>
      </c>
      <c r="P801" s="9">
        <v>46079</v>
      </c>
      <c r="Q801">
        <v>207.92</v>
      </c>
    </row>
    <row r="802" spans="1:17" x14ac:dyDescent="0.25">
      <c r="A802" s="10" t="s">
        <v>492</v>
      </c>
      <c r="B802" s="3" t="str">
        <f t="shared" si="40"/>
        <v>AMZN</v>
      </c>
      <c r="C802" s="3" t="str">
        <f t="shared" si="38"/>
        <v>260227</v>
      </c>
      <c r="D802" s="3" t="str">
        <f t="shared" si="39"/>
        <v>P00275000</v>
      </c>
      <c r="E802" s="47">
        <v>46144.517361111109</v>
      </c>
      <c r="F802" s="11">
        <v>275</v>
      </c>
      <c r="G802" s="41">
        <v>51.03</v>
      </c>
      <c r="H802" s="41">
        <v>65.75</v>
      </c>
      <c r="I802" s="41">
        <v>68.650000000000006</v>
      </c>
      <c r="J802" s="27">
        <v>0</v>
      </c>
      <c r="K802" s="28">
        <v>0</v>
      </c>
      <c r="L802" s="41">
        <v>1</v>
      </c>
      <c r="M802" s="41">
        <v>0</v>
      </c>
      <c r="N802" s="57">
        <v>1.6679999999999999</v>
      </c>
      <c r="O802" t="s">
        <v>65</v>
      </c>
      <c r="P802" s="9">
        <v>46079</v>
      </c>
      <c r="Q802">
        <v>207.92</v>
      </c>
    </row>
    <row r="803" spans="1:17" x14ac:dyDescent="0.25">
      <c r="A803" s="10" t="s">
        <v>493</v>
      </c>
      <c r="B803" s="3" t="str">
        <f t="shared" si="40"/>
        <v>AMZN</v>
      </c>
      <c r="C803" s="3" t="str">
        <f t="shared" si="38"/>
        <v>260227</v>
      </c>
      <c r="D803" s="3" t="str">
        <f t="shared" si="39"/>
        <v>P00280000</v>
      </c>
      <c r="E803" s="47">
        <v>46083.550694444442</v>
      </c>
      <c r="F803" s="11">
        <v>280</v>
      </c>
      <c r="G803" s="41">
        <v>44.15</v>
      </c>
      <c r="H803" s="41">
        <v>70.8</v>
      </c>
      <c r="I803" s="41">
        <v>73.599999999999994</v>
      </c>
      <c r="J803" s="27">
        <v>0</v>
      </c>
      <c r="K803" s="28">
        <v>0</v>
      </c>
      <c r="L803" s="41">
        <v>1</v>
      </c>
      <c r="M803" s="41">
        <v>0</v>
      </c>
      <c r="N803" s="57">
        <v>1.7617</v>
      </c>
      <c r="O803" t="s">
        <v>65</v>
      </c>
      <c r="P803" s="9">
        <v>46079</v>
      </c>
      <c r="Q803">
        <v>207.92</v>
      </c>
    </row>
    <row r="804" spans="1:17" x14ac:dyDescent="0.25">
      <c r="A804" s="10" t="s">
        <v>494</v>
      </c>
      <c r="B804" s="3" t="str">
        <f t="shared" si="40"/>
        <v>AMZN</v>
      </c>
      <c r="C804" s="3" t="str">
        <f t="shared" si="38"/>
        <v>260227</v>
      </c>
      <c r="D804" s="3" t="str">
        <f t="shared" si="39"/>
        <v>P00290000</v>
      </c>
      <c r="E804" s="47">
        <v>46083.413194444445</v>
      </c>
      <c r="F804" s="11">
        <v>290</v>
      </c>
      <c r="G804" s="41">
        <v>48</v>
      </c>
      <c r="H804" s="41">
        <v>80.900000000000006</v>
      </c>
      <c r="I804" s="41">
        <v>83.6</v>
      </c>
      <c r="J804" s="27">
        <v>0</v>
      </c>
      <c r="K804" s="28">
        <v>0</v>
      </c>
      <c r="L804" s="41">
        <v>1</v>
      </c>
      <c r="M804" s="41">
        <v>0</v>
      </c>
      <c r="N804" s="57">
        <v>2.0272999999999999</v>
      </c>
      <c r="O804" t="s">
        <v>65</v>
      </c>
      <c r="P804" s="9">
        <v>46079</v>
      </c>
      <c r="Q804">
        <v>207.92</v>
      </c>
    </row>
    <row r="805" spans="1:17" x14ac:dyDescent="0.25">
      <c r="A805" s="10" t="s">
        <v>495</v>
      </c>
      <c r="B805" s="3" t="str">
        <f t="shared" si="40"/>
        <v>AMZN</v>
      </c>
      <c r="C805" s="3" t="str">
        <f t="shared" si="38"/>
        <v>260227</v>
      </c>
      <c r="D805" s="3" t="str">
        <f t="shared" si="39"/>
        <v>P00310000</v>
      </c>
      <c r="E805" s="46" t="s">
        <v>496</v>
      </c>
      <c r="F805" s="11">
        <v>310</v>
      </c>
      <c r="G805" s="41">
        <v>76.09</v>
      </c>
      <c r="H805" s="41">
        <v>100.85</v>
      </c>
      <c r="I805" s="41">
        <v>103.6</v>
      </c>
      <c r="J805" s="27">
        <v>0</v>
      </c>
      <c r="K805" s="28">
        <v>0</v>
      </c>
      <c r="L805" s="41" t="s">
        <v>113</v>
      </c>
      <c r="M805" s="41">
        <v>0</v>
      </c>
      <c r="N805" s="57">
        <v>2.3163999999999998</v>
      </c>
      <c r="O805" t="s">
        <v>65</v>
      </c>
      <c r="P805" s="9">
        <v>46079</v>
      </c>
      <c r="Q805">
        <v>207.92</v>
      </c>
    </row>
    <row r="806" spans="1:17" x14ac:dyDescent="0.25">
      <c r="A806" s="10" t="s">
        <v>497</v>
      </c>
      <c r="B806" s="3" t="str">
        <f t="shared" si="40"/>
        <v>AMZN</v>
      </c>
      <c r="C806" s="3" t="str">
        <f t="shared" si="38"/>
        <v>260227</v>
      </c>
      <c r="D806" s="3" t="str">
        <f t="shared" si="39"/>
        <v>P00315000</v>
      </c>
      <c r="E806" s="46" t="s">
        <v>496</v>
      </c>
      <c r="F806" s="11">
        <v>315</v>
      </c>
      <c r="G806" s="41">
        <v>80.989999999999995</v>
      </c>
      <c r="H806" s="41">
        <v>105.75</v>
      </c>
      <c r="I806" s="41">
        <v>108.65</v>
      </c>
      <c r="J806" s="27">
        <v>0</v>
      </c>
      <c r="K806" s="28">
        <v>0</v>
      </c>
      <c r="L806" s="41" t="s">
        <v>113</v>
      </c>
      <c r="M806" s="41">
        <v>0</v>
      </c>
      <c r="N806" s="57">
        <v>2.3397999999999999</v>
      </c>
      <c r="O806" t="s">
        <v>65</v>
      </c>
      <c r="P806" s="9">
        <v>46079</v>
      </c>
      <c r="Q806">
        <v>207.92</v>
      </c>
    </row>
    <row r="807" spans="1:17" x14ac:dyDescent="0.25">
      <c r="A807" s="10" t="s">
        <v>498</v>
      </c>
      <c r="B807" s="3" t="str">
        <f t="shared" si="40"/>
        <v>AMZN</v>
      </c>
      <c r="C807" s="3" t="str">
        <f t="shared" si="38"/>
        <v>260306</v>
      </c>
      <c r="D807" s="3" t="str">
        <f t="shared" si="39"/>
        <v>C00125000</v>
      </c>
      <c r="E807" s="42">
        <v>46145.646527777775</v>
      </c>
      <c r="F807" s="11">
        <v>125</v>
      </c>
      <c r="G807" s="41">
        <v>94</v>
      </c>
      <c r="H807" s="41">
        <v>92.05</v>
      </c>
      <c r="I807" s="41">
        <v>95.85</v>
      </c>
      <c r="J807" s="25">
        <v>2.04</v>
      </c>
      <c r="K807" s="26">
        <v>2.2200000000000001E-2</v>
      </c>
      <c r="L807" s="41">
        <v>14</v>
      </c>
      <c r="M807" s="41">
        <v>23</v>
      </c>
      <c r="N807" s="57">
        <v>3.5</v>
      </c>
      <c r="O807" t="s">
        <v>62</v>
      </c>
      <c r="P807" s="9">
        <v>46086</v>
      </c>
      <c r="Q807">
        <v>218.94</v>
      </c>
    </row>
    <row r="808" spans="1:17" x14ac:dyDescent="0.25">
      <c r="A808" s="10" t="s">
        <v>499</v>
      </c>
      <c r="B808" s="3" t="str">
        <f t="shared" si="40"/>
        <v>AMZN</v>
      </c>
      <c r="C808" s="3" t="str">
        <f t="shared" si="38"/>
        <v>260306</v>
      </c>
      <c r="D808" s="3" t="str">
        <f t="shared" si="39"/>
        <v>C00130000</v>
      </c>
      <c r="E808" s="42">
        <v>46145.631944444445</v>
      </c>
      <c r="F808" s="11">
        <v>130</v>
      </c>
      <c r="G808" s="41">
        <v>88.4</v>
      </c>
      <c r="H808" s="41">
        <v>86.9</v>
      </c>
      <c r="I808" s="41">
        <v>90.85</v>
      </c>
      <c r="J808" s="25">
        <v>1.52</v>
      </c>
      <c r="K808" s="26">
        <v>1.7500000000000002E-2</v>
      </c>
      <c r="L808" s="41">
        <v>27</v>
      </c>
      <c r="M808" s="41">
        <v>31</v>
      </c>
      <c r="N808" s="57">
        <v>6.8202999999999996</v>
      </c>
      <c r="O808" t="s">
        <v>62</v>
      </c>
      <c r="P808" s="9">
        <v>46086</v>
      </c>
      <c r="Q808">
        <v>218.94</v>
      </c>
    </row>
    <row r="809" spans="1:17" x14ac:dyDescent="0.25">
      <c r="A809" s="10" t="s">
        <v>500</v>
      </c>
      <c r="B809" s="3" t="str">
        <f t="shared" si="40"/>
        <v>AMZN</v>
      </c>
      <c r="C809" s="3" t="str">
        <f t="shared" si="38"/>
        <v>260306</v>
      </c>
      <c r="D809" s="3" t="str">
        <f t="shared" si="39"/>
        <v>C00135000</v>
      </c>
      <c r="E809" s="42">
        <v>46145.62777777778</v>
      </c>
      <c r="F809" s="11">
        <v>135</v>
      </c>
      <c r="G809" s="41">
        <v>82.86</v>
      </c>
      <c r="H809" s="41">
        <v>82.35</v>
      </c>
      <c r="I809" s="41">
        <v>85.6</v>
      </c>
      <c r="J809" s="25">
        <v>1.82</v>
      </c>
      <c r="K809" s="26">
        <v>2.2499999999999999E-2</v>
      </c>
      <c r="L809" s="41">
        <v>138</v>
      </c>
      <c r="M809" s="41">
        <v>21</v>
      </c>
      <c r="N809" s="57">
        <v>3.4375</v>
      </c>
      <c r="O809" t="s">
        <v>62</v>
      </c>
      <c r="P809" s="9">
        <v>46086</v>
      </c>
      <c r="Q809">
        <v>218.94</v>
      </c>
    </row>
    <row r="810" spans="1:17" x14ac:dyDescent="0.25">
      <c r="A810" s="10" t="s">
        <v>501</v>
      </c>
      <c r="B810" s="3" t="str">
        <f t="shared" si="40"/>
        <v>AMZN</v>
      </c>
      <c r="C810" s="3" t="str">
        <f t="shared" si="38"/>
        <v>260306</v>
      </c>
      <c r="D810" s="3" t="str">
        <f t="shared" si="39"/>
        <v>C00140000</v>
      </c>
      <c r="E810" s="42">
        <v>46115.661111111112</v>
      </c>
      <c r="F810" s="11">
        <v>140</v>
      </c>
      <c r="G810" s="41">
        <v>76.88</v>
      </c>
      <c r="H810" s="41">
        <v>77</v>
      </c>
      <c r="I810" s="41">
        <v>80.849999999999994</v>
      </c>
      <c r="J810" s="27">
        <v>0</v>
      </c>
      <c r="K810" s="28">
        <v>0</v>
      </c>
      <c r="L810" s="41">
        <v>155</v>
      </c>
      <c r="M810" s="41">
        <v>33</v>
      </c>
      <c r="N810" s="57">
        <v>6.0106999999999999</v>
      </c>
      <c r="O810" t="s">
        <v>62</v>
      </c>
      <c r="P810" s="9">
        <v>46086</v>
      </c>
      <c r="Q810">
        <v>218.94</v>
      </c>
    </row>
    <row r="811" spans="1:17" x14ac:dyDescent="0.25">
      <c r="A811" s="10" t="s">
        <v>502</v>
      </c>
      <c r="B811" s="3" t="str">
        <f t="shared" si="40"/>
        <v>AMZN</v>
      </c>
      <c r="C811" s="3" t="str">
        <f t="shared" si="38"/>
        <v>260306</v>
      </c>
      <c r="D811" s="3" t="str">
        <f t="shared" si="39"/>
        <v>C00145000</v>
      </c>
      <c r="E811" s="42">
        <v>46115.645138888889</v>
      </c>
      <c r="F811" s="11">
        <v>145</v>
      </c>
      <c r="G811" s="41">
        <v>71.709999999999994</v>
      </c>
      <c r="H811" s="41">
        <v>72.349999999999994</v>
      </c>
      <c r="I811" s="41">
        <v>75.849999999999994</v>
      </c>
      <c r="J811" s="27">
        <v>0</v>
      </c>
      <c r="K811" s="28">
        <v>0</v>
      </c>
      <c r="L811" s="41">
        <v>6</v>
      </c>
      <c r="M811" s="41">
        <v>6</v>
      </c>
      <c r="N811" s="57">
        <v>3.5703</v>
      </c>
      <c r="O811" t="s">
        <v>62</v>
      </c>
      <c r="P811" s="9">
        <v>46086</v>
      </c>
      <c r="Q811">
        <v>218.94</v>
      </c>
    </row>
    <row r="812" spans="1:17" x14ac:dyDescent="0.25">
      <c r="A812" s="10" t="s">
        <v>503</v>
      </c>
      <c r="B812" s="3" t="str">
        <f t="shared" si="40"/>
        <v>AMZN</v>
      </c>
      <c r="C812" s="3" t="str">
        <f t="shared" si="38"/>
        <v>260306</v>
      </c>
      <c r="D812" s="3" t="str">
        <f t="shared" si="39"/>
        <v>C00150000</v>
      </c>
      <c r="E812" s="42">
        <v>46145.512499999997</v>
      </c>
      <c r="F812" s="11">
        <v>150</v>
      </c>
      <c r="G812" s="41">
        <v>68.17</v>
      </c>
      <c r="H812" s="41">
        <v>67.05</v>
      </c>
      <c r="I812" s="41">
        <v>70.849999999999994</v>
      </c>
      <c r="J812" s="25">
        <v>1.31</v>
      </c>
      <c r="K812" s="26">
        <v>1.9599999999999999E-2</v>
      </c>
      <c r="L812" s="41">
        <v>5</v>
      </c>
      <c r="M812" s="41">
        <v>22</v>
      </c>
      <c r="N812" s="57">
        <v>2.4375</v>
      </c>
      <c r="O812" t="s">
        <v>62</v>
      </c>
      <c r="P812" s="9">
        <v>46086</v>
      </c>
      <c r="Q812">
        <v>218.94</v>
      </c>
    </row>
    <row r="813" spans="1:17" x14ac:dyDescent="0.25">
      <c r="A813" s="10" t="s">
        <v>504</v>
      </c>
      <c r="B813" s="3" t="str">
        <f t="shared" si="40"/>
        <v>AMZN</v>
      </c>
      <c r="C813" s="3" t="str">
        <f t="shared" si="38"/>
        <v>260306</v>
      </c>
      <c r="D813" s="3" t="str">
        <f t="shared" si="39"/>
        <v>C00155000</v>
      </c>
      <c r="E813" s="42">
        <v>46145.539583333331</v>
      </c>
      <c r="F813" s="11">
        <v>155</v>
      </c>
      <c r="G813" s="41">
        <v>62.78</v>
      </c>
      <c r="H813" s="41">
        <v>62</v>
      </c>
      <c r="I813" s="41">
        <v>65.849999999999994</v>
      </c>
      <c r="J813" s="25">
        <v>1.06</v>
      </c>
      <c r="K813" s="26">
        <v>1.72E-2</v>
      </c>
      <c r="L813" s="41">
        <v>28</v>
      </c>
      <c r="M813" s="41">
        <v>28</v>
      </c>
      <c r="N813" s="57">
        <v>4.8827999999999996</v>
      </c>
      <c r="O813" t="s">
        <v>62</v>
      </c>
      <c r="P813" s="9">
        <v>46086</v>
      </c>
      <c r="Q813">
        <v>218.94</v>
      </c>
    </row>
    <row r="814" spans="1:17" x14ac:dyDescent="0.25">
      <c r="A814" s="10" t="s">
        <v>505</v>
      </c>
      <c r="B814" s="3" t="str">
        <f t="shared" si="40"/>
        <v>AMZN</v>
      </c>
      <c r="C814" s="3" t="str">
        <f t="shared" si="38"/>
        <v>260306</v>
      </c>
      <c r="D814" s="3" t="str">
        <f t="shared" si="39"/>
        <v>C00160000</v>
      </c>
      <c r="E814" s="42">
        <v>46145.626388888886</v>
      </c>
      <c r="F814" s="11">
        <v>160</v>
      </c>
      <c r="G814" s="41">
        <v>58.07</v>
      </c>
      <c r="H814" s="41">
        <v>57.05</v>
      </c>
      <c r="I814" s="41">
        <v>60.5</v>
      </c>
      <c r="J814" s="25">
        <v>1.27</v>
      </c>
      <c r="K814" s="26">
        <v>2.24E-2</v>
      </c>
      <c r="L814" s="41">
        <v>210</v>
      </c>
      <c r="M814" s="41">
        <v>42</v>
      </c>
      <c r="N814" s="57">
        <v>4.2998000000000003</v>
      </c>
      <c r="O814" t="s">
        <v>62</v>
      </c>
      <c r="P814" s="9">
        <v>46086</v>
      </c>
      <c r="Q814">
        <v>218.94</v>
      </c>
    </row>
    <row r="815" spans="1:17" x14ac:dyDescent="0.25">
      <c r="A815" s="10" t="s">
        <v>506</v>
      </c>
      <c r="B815" s="3" t="str">
        <f t="shared" si="40"/>
        <v>AMZN</v>
      </c>
      <c r="C815" s="3" t="str">
        <f t="shared" si="38"/>
        <v>260306</v>
      </c>
      <c r="D815" s="3" t="str">
        <f t="shared" si="39"/>
        <v>C00165000</v>
      </c>
      <c r="E815" s="42">
        <v>46145.618055555555</v>
      </c>
      <c r="F815" s="11">
        <v>165</v>
      </c>
      <c r="G815" s="41">
        <v>53.1</v>
      </c>
      <c r="H815" s="41">
        <v>52.35</v>
      </c>
      <c r="I815" s="41">
        <v>55.85</v>
      </c>
      <c r="J815" s="25">
        <v>1.01</v>
      </c>
      <c r="K815" s="26">
        <v>1.9400000000000001E-2</v>
      </c>
      <c r="L815" s="41">
        <v>4</v>
      </c>
      <c r="M815" s="41">
        <v>27</v>
      </c>
      <c r="N815" s="57">
        <v>2.5625</v>
      </c>
      <c r="O815" t="s">
        <v>62</v>
      </c>
      <c r="P815" s="9">
        <v>46086</v>
      </c>
      <c r="Q815">
        <v>218.94</v>
      </c>
    </row>
    <row r="816" spans="1:17" x14ac:dyDescent="0.25">
      <c r="A816" s="10" t="s">
        <v>507</v>
      </c>
      <c r="B816" s="3" t="str">
        <f t="shared" si="40"/>
        <v>AMZN</v>
      </c>
      <c r="C816" s="3" t="str">
        <f t="shared" si="38"/>
        <v>260306</v>
      </c>
      <c r="D816" s="3" t="str">
        <f t="shared" si="39"/>
        <v>C00170000</v>
      </c>
      <c r="E816" s="42">
        <v>46145.65902777778</v>
      </c>
      <c r="F816" s="11">
        <v>170</v>
      </c>
      <c r="G816" s="41">
        <v>49.48</v>
      </c>
      <c r="H816" s="41">
        <v>48.15</v>
      </c>
      <c r="I816" s="41">
        <v>50.85</v>
      </c>
      <c r="J816" s="25">
        <v>4.4800000000000004</v>
      </c>
      <c r="K816" s="26">
        <v>9.9599999999999994E-2</v>
      </c>
      <c r="L816" s="41">
        <v>200</v>
      </c>
      <c r="M816" s="41">
        <v>33</v>
      </c>
      <c r="N816" s="57">
        <v>2.8809</v>
      </c>
      <c r="O816" t="s">
        <v>62</v>
      </c>
      <c r="P816" s="9">
        <v>46086</v>
      </c>
      <c r="Q816">
        <v>218.94</v>
      </c>
    </row>
    <row r="817" spans="1:17" x14ac:dyDescent="0.25">
      <c r="A817" s="10" t="s">
        <v>508</v>
      </c>
      <c r="B817" s="3" t="str">
        <f t="shared" si="40"/>
        <v>AMZN</v>
      </c>
      <c r="C817" s="3" t="str">
        <f t="shared" si="38"/>
        <v>260306</v>
      </c>
      <c r="D817" s="3" t="str">
        <f t="shared" si="39"/>
        <v>C00172500</v>
      </c>
      <c r="E817" s="42">
        <v>46115.595833333333</v>
      </c>
      <c r="F817" s="11">
        <v>172.5</v>
      </c>
      <c r="G817" s="41">
        <v>44.59</v>
      </c>
      <c r="H817" s="41">
        <v>44.95</v>
      </c>
      <c r="I817" s="41">
        <v>48.35</v>
      </c>
      <c r="J817" s="27">
        <v>0</v>
      </c>
      <c r="K817" s="28">
        <v>0</v>
      </c>
      <c r="L817" s="41">
        <v>8</v>
      </c>
      <c r="M817" s="41">
        <v>11</v>
      </c>
      <c r="N817" s="57">
        <v>2.3008000000000002</v>
      </c>
      <c r="O817" t="s">
        <v>62</v>
      </c>
      <c r="P817" s="9">
        <v>46086</v>
      </c>
      <c r="Q817">
        <v>218.94</v>
      </c>
    </row>
    <row r="818" spans="1:17" x14ac:dyDescent="0.25">
      <c r="A818" s="10" t="s">
        <v>509</v>
      </c>
      <c r="B818" s="3" t="str">
        <f t="shared" si="40"/>
        <v>AMZN</v>
      </c>
      <c r="C818" s="3" t="str">
        <f t="shared" si="38"/>
        <v>260306</v>
      </c>
      <c r="D818" s="3" t="str">
        <f t="shared" si="39"/>
        <v>C00175000</v>
      </c>
      <c r="E818" s="42">
        <v>46115.40347222222</v>
      </c>
      <c r="F818" s="11">
        <v>175</v>
      </c>
      <c r="G818" s="41">
        <v>35.799999999999997</v>
      </c>
      <c r="H818" s="41">
        <v>42.8</v>
      </c>
      <c r="I818" s="41">
        <v>45.85</v>
      </c>
      <c r="J818" s="27">
        <v>0</v>
      </c>
      <c r="K818" s="28">
        <v>0</v>
      </c>
      <c r="L818" s="41">
        <v>3</v>
      </c>
      <c r="M818" s="41">
        <v>24</v>
      </c>
      <c r="N818" s="57">
        <v>2.4218999999999999</v>
      </c>
      <c r="O818" t="s">
        <v>62</v>
      </c>
      <c r="P818" s="9">
        <v>46086</v>
      </c>
      <c r="Q818">
        <v>218.94</v>
      </c>
    </row>
    <row r="819" spans="1:17" x14ac:dyDescent="0.25">
      <c r="A819" s="10" t="s">
        <v>510</v>
      </c>
      <c r="B819" s="3" t="str">
        <f t="shared" si="40"/>
        <v>AMZN</v>
      </c>
      <c r="C819" s="3" t="str">
        <f t="shared" si="38"/>
        <v>260306</v>
      </c>
      <c r="D819" s="3" t="str">
        <f t="shared" si="39"/>
        <v>C00177500</v>
      </c>
      <c r="E819" s="42">
        <v>46145.395833333336</v>
      </c>
      <c r="F819" s="11">
        <v>177.5</v>
      </c>
      <c r="G819" s="41">
        <v>38.35</v>
      </c>
      <c r="H819" s="41">
        <v>40.35</v>
      </c>
      <c r="I819" s="41">
        <v>43.35</v>
      </c>
      <c r="J819" s="25">
        <v>6.05</v>
      </c>
      <c r="K819" s="26">
        <v>0.18729999999999999</v>
      </c>
      <c r="L819" s="41">
        <v>1</v>
      </c>
      <c r="M819" s="41">
        <v>1</v>
      </c>
      <c r="N819" s="57">
        <v>2.3222999999999998</v>
      </c>
      <c r="O819" t="s">
        <v>62</v>
      </c>
      <c r="P819" s="9">
        <v>46086</v>
      </c>
      <c r="Q819">
        <v>218.94</v>
      </c>
    </row>
    <row r="820" spans="1:17" x14ac:dyDescent="0.25">
      <c r="A820" s="10" t="s">
        <v>511</v>
      </c>
      <c r="B820" s="3" t="str">
        <f t="shared" si="40"/>
        <v>AMZN</v>
      </c>
      <c r="C820" s="3" t="str">
        <f t="shared" ref="C820:C883" si="41">+MID(A820,5,6)</f>
        <v>260306</v>
      </c>
      <c r="D820" s="3" t="str">
        <f t="shared" ref="D820:D883" si="42">+MID(A820,11,10)</f>
        <v>C00180000</v>
      </c>
      <c r="E820" s="42">
        <v>46145.642361111109</v>
      </c>
      <c r="F820" s="11">
        <v>180</v>
      </c>
      <c r="G820" s="41">
        <v>39.15</v>
      </c>
      <c r="H820" s="41">
        <v>38.299999999999997</v>
      </c>
      <c r="I820" s="41">
        <v>40.85</v>
      </c>
      <c r="J820" s="25">
        <v>2.37</v>
      </c>
      <c r="K820" s="26">
        <v>6.4399999999999999E-2</v>
      </c>
      <c r="L820" s="41">
        <v>22</v>
      </c>
      <c r="M820" s="41">
        <v>127</v>
      </c>
      <c r="N820" s="57">
        <v>2.3984000000000001</v>
      </c>
      <c r="O820" t="s">
        <v>62</v>
      </c>
      <c r="P820" s="9">
        <v>46086</v>
      </c>
      <c r="Q820">
        <v>218.94</v>
      </c>
    </row>
    <row r="821" spans="1:17" x14ac:dyDescent="0.25">
      <c r="A821" s="10" t="s">
        <v>512</v>
      </c>
      <c r="B821" s="3" t="str">
        <f t="shared" si="40"/>
        <v>AMZN</v>
      </c>
      <c r="C821" s="3" t="str">
        <f t="shared" si="41"/>
        <v>260306</v>
      </c>
      <c r="D821" s="3" t="str">
        <f t="shared" si="42"/>
        <v>C00182500</v>
      </c>
      <c r="E821" s="42">
        <v>46084.531944444447</v>
      </c>
      <c r="F821" s="11">
        <v>182.5</v>
      </c>
      <c r="G821" s="41">
        <v>24.4</v>
      </c>
      <c r="H821" s="41">
        <v>35.049999999999997</v>
      </c>
      <c r="I821" s="41">
        <v>38.35</v>
      </c>
      <c r="J821" s="27">
        <v>0</v>
      </c>
      <c r="K821" s="28">
        <v>0</v>
      </c>
      <c r="L821" s="41">
        <v>16</v>
      </c>
      <c r="M821" s="41">
        <v>102</v>
      </c>
      <c r="N821" s="57">
        <v>1.8965000000000001</v>
      </c>
      <c r="O821" t="s">
        <v>62</v>
      </c>
      <c r="P821" s="9">
        <v>46086</v>
      </c>
      <c r="Q821">
        <v>218.94</v>
      </c>
    </row>
    <row r="822" spans="1:17" x14ac:dyDescent="0.25">
      <c r="A822" s="10" t="s">
        <v>513</v>
      </c>
      <c r="B822" s="3" t="str">
        <f t="shared" si="40"/>
        <v>AMZN</v>
      </c>
      <c r="C822" s="3" t="str">
        <f t="shared" si="41"/>
        <v>260306</v>
      </c>
      <c r="D822" s="3" t="str">
        <f t="shared" si="42"/>
        <v>C00185000</v>
      </c>
      <c r="E822" s="42">
        <v>46145.652777777781</v>
      </c>
      <c r="F822" s="11">
        <v>185</v>
      </c>
      <c r="G822" s="41">
        <v>34.35</v>
      </c>
      <c r="H822" s="41">
        <v>33.25</v>
      </c>
      <c r="I822" s="41">
        <v>35.85</v>
      </c>
      <c r="J822" s="25">
        <v>3.31</v>
      </c>
      <c r="K822" s="26">
        <v>0.1066</v>
      </c>
      <c r="L822" s="41">
        <v>2</v>
      </c>
      <c r="M822" s="41">
        <v>152</v>
      </c>
      <c r="N822" s="57">
        <v>2.1074000000000002</v>
      </c>
      <c r="O822" t="s">
        <v>62</v>
      </c>
      <c r="P822" s="9">
        <v>46086</v>
      </c>
      <c r="Q822">
        <v>218.94</v>
      </c>
    </row>
    <row r="823" spans="1:17" x14ac:dyDescent="0.25">
      <c r="A823" s="10" t="s">
        <v>514</v>
      </c>
      <c r="B823" s="3" t="str">
        <f t="shared" si="40"/>
        <v>AMZN</v>
      </c>
      <c r="C823" s="3" t="str">
        <f t="shared" si="41"/>
        <v>260306</v>
      </c>
      <c r="D823" s="3" t="str">
        <f t="shared" si="42"/>
        <v>C00187500</v>
      </c>
      <c r="E823" s="42">
        <v>46145.652777777781</v>
      </c>
      <c r="F823" s="11">
        <v>187.5</v>
      </c>
      <c r="G823" s="41">
        <v>31.82</v>
      </c>
      <c r="H823" s="41">
        <v>30.55</v>
      </c>
      <c r="I823" s="41">
        <v>33.1</v>
      </c>
      <c r="J823" s="25">
        <v>12.5</v>
      </c>
      <c r="K823" s="26">
        <v>0.64700000000000002</v>
      </c>
      <c r="L823" s="58">
        <v>1019</v>
      </c>
      <c r="M823" s="58">
        <v>1060</v>
      </c>
      <c r="N823" s="57">
        <v>1.7870999999999999</v>
      </c>
      <c r="O823" t="s">
        <v>62</v>
      </c>
      <c r="P823" s="9">
        <v>46086</v>
      </c>
      <c r="Q823">
        <v>218.94</v>
      </c>
    </row>
    <row r="824" spans="1:17" x14ac:dyDescent="0.25">
      <c r="A824" s="10" t="s">
        <v>515</v>
      </c>
      <c r="B824" s="3" t="str">
        <f t="shared" si="40"/>
        <v>AMZN</v>
      </c>
      <c r="C824" s="3" t="str">
        <f t="shared" si="41"/>
        <v>260306</v>
      </c>
      <c r="D824" s="3" t="str">
        <f t="shared" si="42"/>
        <v>C00190000</v>
      </c>
      <c r="E824" s="42">
        <v>46145.648611111108</v>
      </c>
      <c r="F824" s="11">
        <v>190</v>
      </c>
      <c r="G824" s="41">
        <v>29.5</v>
      </c>
      <c r="H824" s="41">
        <v>28.2</v>
      </c>
      <c r="I824" s="41">
        <v>29.35</v>
      </c>
      <c r="J824" s="25">
        <v>2.5</v>
      </c>
      <c r="K824" s="26">
        <v>9.2600000000000002E-2</v>
      </c>
      <c r="L824" s="41">
        <v>957</v>
      </c>
      <c r="M824" s="58">
        <v>1156</v>
      </c>
      <c r="N824" s="57">
        <v>1.6846000000000001</v>
      </c>
      <c r="O824" t="s">
        <v>62</v>
      </c>
      <c r="P824" s="9">
        <v>46086</v>
      </c>
      <c r="Q824">
        <v>218.94</v>
      </c>
    </row>
    <row r="825" spans="1:17" x14ac:dyDescent="0.25">
      <c r="A825" s="10" t="s">
        <v>516</v>
      </c>
      <c r="B825" s="3" t="str">
        <f t="shared" si="40"/>
        <v>AMZN</v>
      </c>
      <c r="C825" s="3" t="str">
        <f t="shared" si="41"/>
        <v>260306</v>
      </c>
      <c r="D825" s="3" t="str">
        <f t="shared" si="42"/>
        <v>C00192500</v>
      </c>
      <c r="E825" s="42">
        <v>46145.45</v>
      </c>
      <c r="F825" s="11">
        <v>192.5</v>
      </c>
      <c r="G825" s="41">
        <v>25.2</v>
      </c>
      <c r="H825" s="41">
        <v>25.65</v>
      </c>
      <c r="I825" s="41">
        <v>27.9</v>
      </c>
      <c r="J825" s="25">
        <v>0.27</v>
      </c>
      <c r="K825" s="26">
        <v>1.0800000000000001E-2</v>
      </c>
      <c r="L825" s="41">
        <v>1</v>
      </c>
      <c r="M825" s="41">
        <v>94</v>
      </c>
      <c r="N825" s="57">
        <v>1.4941</v>
      </c>
      <c r="O825" t="s">
        <v>62</v>
      </c>
      <c r="P825" s="9">
        <v>46086</v>
      </c>
      <c r="Q825">
        <v>218.94</v>
      </c>
    </row>
    <row r="826" spans="1:17" x14ac:dyDescent="0.25">
      <c r="A826" s="10" t="s">
        <v>517</v>
      </c>
      <c r="B826" s="3" t="str">
        <f t="shared" si="40"/>
        <v>AMZN</v>
      </c>
      <c r="C826" s="3" t="str">
        <f t="shared" si="41"/>
        <v>260306</v>
      </c>
      <c r="D826" s="3" t="str">
        <f t="shared" si="42"/>
        <v>C00195000</v>
      </c>
      <c r="E826" s="42">
        <v>46145.660416666666</v>
      </c>
      <c r="F826" s="11">
        <v>195</v>
      </c>
      <c r="G826" s="41">
        <v>23.9</v>
      </c>
      <c r="H826" s="41">
        <v>23.65</v>
      </c>
      <c r="I826" s="41">
        <v>24.35</v>
      </c>
      <c r="J826" s="25">
        <v>1.8</v>
      </c>
      <c r="K826" s="26">
        <v>8.14E-2</v>
      </c>
      <c r="L826" s="41">
        <v>49</v>
      </c>
      <c r="M826" s="41">
        <v>484</v>
      </c>
      <c r="N826" s="57">
        <v>1.0234000000000001</v>
      </c>
      <c r="O826" t="s">
        <v>62</v>
      </c>
      <c r="P826" s="9">
        <v>46086</v>
      </c>
      <c r="Q826">
        <v>218.94</v>
      </c>
    </row>
    <row r="827" spans="1:17" x14ac:dyDescent="0.25">
      <c r="A827" s="10" t="s">
        <v>518</v>
      </c>
      <c r="B827" s="3" t="str">
        <f t="shared" si="40"/>
        <v>AMZN</v>
      </c>
      <c r="C827" s="3" t="str">
        <f t="shared" si="41"/>
        <v>260306</v>
      </c>
      <c r="D827" s="3" t="str">
        <f t="shared" si="42"/>
        <v>C00197500</v>
      </c>
      <c r="E827" s="42">
        <v>46145.660416666666</v>
      </c>
      <c r="F827" s="11">
        <v>197.5</v>
      </c>
      <c r="G827" s="41">
        <v>21.64</v>
      </c>
      <c r="H827" s="41">
        <v>20.25</v>
      </c>
      <c r="I827" s="41">
        <v>21.75</v>
      </c>
      <c r="J827" s="25">
        <v>2.54</v>
      </c>
      <c r="K827" s="26">
        <v>0.13300000000000001</v>
      </c>
      <c r="L827" s="41">
        <v>35</v>
      </c>
      <c r="M827" s="41">
        <v>366</v>
      </c>
      <c r="N827" s="57">
        <v>1.2295</v>
      </c>
      <c r="O827" t="s">
        <v>62</v>
      </c>
      <c r="P827" s="9">
        <v>46086</v>
      </c>
      <c r="Q827">
        <v>218.94</v>
      </c>
    </row>
    <row r="828" spans="1:17" x14ac:dyDescent="0.25">
      <c r="A828" s="10" t="s">
        <v>519</v>
      </c>
      <c r="B828" s="3" t="str">
        <f t="shared" si="40"/>
        <v>AMZN</v>
      </c>
      <c r="C828" s="3" t="str">
        <f t="shared" si="41"/>
        <v>260306</v>
      </c>
      <c r="D828" s="3" t="str">
        <f t="shared" si="42"/>
        <v>C00200000</v>
      </c>
      <c r="E828" s="42">
        <v>46145.647916666669</v>
      </c>
      <c r="F828" s="11">
        <v>200</v>
      </c>
      <c r="G828" s="41">
        <v>19.22</v>
      </c>
      <c r="H828" s="41">
        <v>18.100000000000001</v>
      </c>
      <c r="I828" s="41">
        <v>19.25</v>
      </c>
      <c r="J828" s="25">
        <v>2.0699999999999998</v>
      </c>
      <c r="K828" s="26">
        <v>0.1207</v>
      </c>
      <c r="L828" s="41">
        <v>288</v>
      </c>
      <c r="M828" s="58">
        <v>1814</v>
      </c>
      <c r="N828" s="57">
        <v>1.1084000000000001</v>
      </c>
      <c r="O828" t="s">
        <v>62</v>
      </c>
      <c r="P828" s="9">
        <v>46086</v>
      </c>
      <c r="Q828">
        <v>218.94</v>
      </c>
    </row>
    <row r="829" spans="1:17" x14ac:dyDescent="0.25">
      <c r="A829" s="10" t="s">
        <v>520</v>
      </c>
      <c r="B829" s="3" t="str">
        <f t="shared" si="40"/>
        <v>AMZN</v>
      </c>
      <c r="C829" s="3" t="str">
        <f t="shared" si="41"/>
        <v>260306</v>
      </c>
      <c r="D829" s="3" t="str">
        <f t="shared" si="42"/>
        <v>C00202500</v>
      </c>
      <c r="E829" s="42">
        <v>46145.638194444444</v>
      </c>
      <c r="F829" s="11">
        <v>202.5</v>
      </c>
      <c r="G829" s="41">
        <v>16.149999999999999</v>
      </c>
      <c r="H829" s="41">
        <v>16.25</v>
      </c>
      <c r="I829" s="41">
        <v>17.7</v>
      </c>
      <c r="J829" s="25">
        <v>1.72</v>
      </c>
      <c r="K829" s="26">
        <v>0.1192</v>
      </c>
      <c r="L829" s="41">
        <v>135</v>
      </c>
      <c r="M829" s="58">
        <v>2657</v>
      </c>
      <c r="N829" s="57">
        <v>1.125</v>
      </c>
      <c r="O829" t="s">
        <v>62</v>
      </c>
      <c r="P829" s="9">
        <v>46086</v>
      </c>
      <c r="Q829">
        <v>218.94</v>
      </c>
    </row>
    <row r="830" spans="1:17" x14ac:dyDescent="0.25">
      <c r="A830" s="10" t="s">
        <v>521</v>
      </c>
      <c r="B830" s="3" t="str">
        <f t="shared" si="40"/>
        <v>AMZN</v>
      </c>
      <c r="C830" s="3" t="str">
        <f t="shared" si="41"/>
        <v>260306</v>
      </c>
      <c r="D830" s="3" t="str">
        <f t="shared" si="42"/>
        <v>C00205000</v>
      </c>
      <c r="E830" s="42">
        <v>46145.660416666666</v>
      </c>
      <c r="F830" s="11">
        <v>205</v>
      </c>
      <c r="G830" s="41">
        <v>14.2</v>
      </c>
      <c r="H830" s="41">
        <v>13.85</v>
      </c>
      <c r="I830" s="41">
        <v>14.3</v>
      </c>
      <c r="J830" s="25">
        <v>2.12</v>
      </c>
      <c r="K830" s="26">
        <v>0.17549999999999999</v>
      </c>
      <c r="L830" s="41">
        <v>940</v>
      </c>
      <c r="M830" s="58">
        <v>2509</v>
      </c>
      <c r="N830" s="57">
        <v>0.72460000000000002</v>
      </c>
      <c r="O830" t="s">
        <v>62</v>
      </c>
      <c r="P830" s="9">
        <v>46086</v>
      </c>
      <c r="Q830">
        <v>218.94</v>
      </c>
    </row>
    <row r="831" spans="1:17" x14ac:dyDescent="0.25">
      <c r="A831" s="10" t="s">
        <v>522</v>
      </c>
      <c r="B831" s="3" t="str">
        <f t="shared" si="40"/>
        <v>AMZN</v>
      </c>
      <c r="C831" s="3" t="str">
        <f t="shared" si="41"/>
        <v>260306</v>
      </c>
      <c r="D831" s="3" t="str">
        <f t="shared" si="42"/>
        <v>C00207500</v>
      </c>
      <c r="E831" s="42">
        <v>46145.663194444445</v>
      </c>
      <c r="F831" s="11">
        <v>207.5</v>
      </c>
      <c r="G831" s="41">
        <v>11.6</v>
      </c>
      <c r="H831" s="41">
        <v>10.85</v>
      </c>
      <c r="I831" s="41">
        <v>11.7</v>
      </c>
      <c r="J831" s="25">
        <v>1.81</v>
      </c>
      <c r="K831" s="26">
        <v>0.18490000000000001</v>
      </c>
      <c r="L831" s="41">
        <v>450</v>
      </c>
      <c r="M831" s="58">
        <v>3792</v>
      </c>
      <c r="N831" s="57">
        <v>0.70799999999999996</v>
      </c>
      <c r="O831" t="s">
        <v>62</v>
      </c>
      <c r="P831" s="9">
        <v>46086</v>
      </c>
      <c r="Q831">
        <v>218.94</v>
      </c>
    </row>
    <row r="832" spans="1:17" x14ac:dyDescent="0.25">
      <c r="A832" s="10" t="s">
        <v>523</v>
      </c>
      <c r="B832" s="3" t="str">
        <f t="shared" si="40"/>
        <v>AMZN</v>
      </c>
      <c r="C832" s="3" t="str">
        <f t="shared" si="41"/>
        <v>260306</v>
      </c>
      <c r="D832" s="3" t="str">
        <f t="shared" si="42"/>
        <v>C00210000</v>
      </c>
      <c r="E832" s="42">
        <v>46145.665277777778</v>
      </c>
      <c r="F832" s="11">
        <v>210</v>
      </c>
      <c r="G832" s="41">
        <v>9.0500000000000007</v>
      </c>
      <c r="H832" s="41">
        <v>8.9</v>
      </c>
      <c r="I832" s="41">
        <v>9.35</v>
      </c>
      <c r="J832" s="25">
        <v>1.65</v>
      </c>
      <c r="K832" s="26">
        <v>0.223</v>
      </c>
      <c r="L832" s="58">
        <v>6527</v>
      </c>
      <c r="M832" s="58">
        <v>12257</v>
      </c>
      <c r="N832" s="57">
        <v>0.53810000000000002</v>
      </c>
      <c r="O832" t="s">
        <v>62</v>
      </c>
      <c r="P832" s="9">
        <v>46086</v>
      </c>
      <c r="Q832">
        <v>218.94</v>
      </c>
    </row>
    <row r="833" spans="1:17" x14ac:dyDescent="0.25">
      <c r="A833" s="10" t="s">
        <v>524</v>
      </c>
      <c r="B833" s="3" t="str">
        <f t="shared" si="40"/>
        <v>AMZN</v>
      </c>
      <c r="C833" s="3" t="str">
        <f t="shared" si="41"/>
        <v>260306</v>
      </c>
      <c r="D833" s="3" t="str">
        <f t="shared" si="42"/>
        <v>C00212500</v>
      </c>
      <c r="E833" s="42">
        <v>46145.665277777778</v>
      </c>
      <c r="F833" s="11">
        <v>212.5</v>
      </c>
      <c r="G833" s="41">
        <v>6.8</v>
      </c>
      <c r="H833" s="41">
        <v>6.55</v>
      </c>
      <c r="I833" s="41">
        <v>6.9</v>
      </c>
      <c r="J833" s="25">
        <v>1.39</v>
      </c>
      <c r="K833" s="26">
        <v>0.25690000000000002</v>
      </c>
      <c r="L833" s="58">
        <v>4192</v>
      </c>
      <c r="M833" s="58">
        <v>12034</v>
      </c>
      <c r="N833" s="57">
        <v>0.54200000000000004</v>
      </c>
      <c r="O833" t="s">
        <v>62</v>
      </c>
      <c r="P833" s="9">
        <v>46086</v>
      </c>
      <c r="Q833">
        <v>218.94</v>
      </c>
    </row>
    <row r="834" spans="1:17" x14ac:dyDescent="0.25">
      <c r="A834" s="10" t="s">
        <v>525</v>
      </c>
      <c r="B834" s="3" t="str">
        <f t="shared" si="40"/>
        <v>AMZN</v>
      </c>
      <c r="C834" s="3" t="str">
        <f t="shared" si="41"/>
        <v>260306</v>
      </c>
      <c r="D834" s="3" t="str">
        <f t="shared" si="42"/>
        <v>C00215000</v>
      </c>
      <c r="E834" s="42">
        <v>46145.665972222225</v>
      </c>
      <c r="F834" s="11">
        <v>215</v>
      </c>
      <c r="G834" s="41">
        <v>4.49</v>
      </c>
      <c r="H834" s="41">
        <v>4.45</v>
      </c>
      <c r="I834" s="41">
        <v>4.55</v>
      </c>
      <c r="J834" s="25">
        <v>0.89</v>
      </c>
      <c r="K834" s="26">
        <v>0.2472</v>
      </c>
      <c r="L834" s="58">
        <v>16064</v>
      </c>
      <c r="M834" s="58">
        <v>20215</v>
      </c>
      <c r="N834" s="57">
        <v>0.439</v>
      </c>
      <c r="O834" t="s">
        <v>62</v>
      </c>
      <c r="P834" s="9">
        <v>46086</v>
      </c>
      <c r="Q834">
        <v>218.94</v>
      </c>
    </row>
    <row r="835" spans="1:17" x14ac:dyDescent="0.25">
      <c r="A835" s="10" t="s">
        <v>526</v>
      </c>
      <c r="B835" s="3" t="str">
        <f t="shared" ref="B835:B898" si="43">+MID(A835,1,4)</f>
        <v>AMZN</v>
      </c>
      <c r="C835" s="3" t="str">
        <f t="shared" si="41"/>
        <v>260306</v>
      </c>
      <c r="D835" s="3" t="str">
        <f t="shared" si="42"/>
        <v>C00217500</v>
      </c>
      <c r="E835" s="42">
        <v>46145.665972222225</v>
      </c>
      <c r="F835" s="11">
        <v>217.5</v>
      </c>
      <c r="G835" s="41">
        <v>2.62</v>
      </c>
      <c r="H835" s="41">
        <v>2.5499999999999998</v>
      </c>
      <c r="I835" s="41">
        <v>2.62</v>
      </c>
      <c r="J835" s="25">
        <v>0.54</v>
      </c>
      <c r="K835" s="26">
        <v>0.2596</v>
      </c>
      <c r="L835" s="58">
        <v>42182</v>
      </c>
      <c r="M835" s="58">
        <v>11749</v>
      </c>
      <c r="N835" s="57">
        <v>0.39700000000000002</v>
      </c>
      <c r="O835" t="s">
        <v>62</v>
      </c>
      <c r="P835" s="9">
        <v>46086</v>
      </c>
      <c r="Q835">
        <v>218.94</v>
      </c>
    </row>
    <row r="836" spans="1:17" x14ac:dyDescent="0.25">
      <c r="A836" s="10" t="s">
        <v>527</v>
      </c>
      <c r="B836" s="3" t="str">
        <f t="shared" si="43"/>
        <v>AMZN</v>
      </c>
      <c r="C836" s="3" t="str">
        <f t="shared" si="41"/>
        <v>260306</v>
      </c>
      <c r="D836" s="3" t="str">
        <f t="shared" si="42"/>
        <v>C00220000</v>
      </c>
      <c r="E836" s="42">
        <v>46145.665972222225</v>
      </c>
      <c r="F836" s="11">
        <v>220</v>
      </c>
      <c r="G836" s="41">
        <v>1.2</v>
      </c>
      <c r="H836" s="41">
        <v>1.17</v>
      </c>
      <c r="I836" s="41">
        <v>1.21</v>
      </c>
      <c r="J836" s="25">
        <v>0.16</v>
      </c>
      <c r="K836" s="26">
        <v>0.15379999999999999</v>
      </c>
      <c r="L836" s="58">
        <v>100402</v>
      </c>
      <c r="M836" s="58">
        <v>22713</v>
      </c>
      <c r="N836" s="57">
        <v>0.36820000000000003</v>
      </c>
      <c r="O836" t="s">
        <v>62</v>
      </c>
      <c r="P836" s="9">
        <v>46086</v>
      </c>
      <c r="Q836">
        <v>218.94</v>
      </c>
    </row>
    <row r="837" spans="1:17" x14ac:dyDescent="0.25">
      <c r="A837" s="10" t="s">
        <v>528</v>
      </c>
      <c r="B837" s="3" t="str">
        <f t="shared" si="43"/>
        <v>AMZN</v>
      </c>
      <c r="C837" s="3" t="str">
        <f t="shared" si="41"/>
        <v>260306</v>
      </c>
      <c r="D837" s="3" t="str">
        <f t="shared" si="42"/>
        <v>C00222500</v>
      </c>
      <c r="E837" s="42">
        <v>46145.665972222225</v>
      </c>
      <c r="F837" s="11">
        <v>222.5</v>
      </c>
      <c r="G837" s="41">
        <v>0.41</v>
      </c>
      <c r="H837" s="41">
        <v>0.4</v>
      </c>
      <c r="I837" s="41">
        <v>0.42</v>
      </c>
      <c r="J837" s="29">
        <v>-0.02</v>
      </c>
      <c r="K837" s="30">
        <v>-4.65E-2</v>
      </c>
      <c r="L837" s="58">
        <v>83225</v>
      </c>
      <c r="M837" s="58">
        <v>14677</v>
      </c>
      <c r="N837" s="57">
        <v>0.34960000000000002</v>
      </c>
      <c r="O837" t="s">
        <v>62</v>
      </c>
      <c r="P837" s="9">
        <v>46086</v>
      </c>
      <c r="Q837">
        <v>218.94</v>
      </c>
    </row>
    <row r="838" spans="1:17" x14ac:dyDescent="0.25">
      <c r="A838" s="10" t="s">
        <v>529</v>
      </c>
      <c r="B838" s="3" t="str">
        <f t="shared" si="43"/>
        <v>AMZN</v>
      </c>
      <c r="C838" s="3" t="str">
        <f t="shared" si="41"/>
        <v>260306</v>
      </c>
      <c r="D838" s="3" t="str">
        <f t="shared" si="42"/>
        <v>C00225000</v>
      </c>
      <c r="E838" s="42">
        <v>46145.665972222225</v>
      </c>
      <c r="F838" s="11">
        <v>225</v>
      </c>
      <c r="G838" s="41">
        <v>0.12</v>
      </c>
      <c r="H838" s="41">
        <v>0.12</v>
      </c>
      <c r="I838" s="41">
        <v>0.14000000000000001</v>
      </c>
      <c r="J838" s="29">
        <v>-7.0000000000000007E-2</v>
      </c>
      <c r="K838" s="30">
        <v>-0.36840000000000001</v>
      </c>
      <c r="L838" s="58">
        <v>34371</v>
      </c>
      <c r="M838" s="58">
        <v>8174</v>
      </c>
      <c r="N838" s="57">
        <v>0.36130000000000001</v>
      </c>
      <c r="O838" t="s">
        <v>62</v>
      </c>
      <c r="P838" s="9">
        <v>46086</v>
      </c>
      <c r="Q838">
        <v>218.94</v>
      </c>
    </row>
    <row r="839" spans="1:17" x14ac:dyDescent="0.25">
      <c r="A839" s="10" t="s">
        <v>530</v>
      </c>
      <c r="B839" s="3" t="str">
        <f t="shared" si="43"/>
        <v>AMZN</v>
      </c>
      <c r="C839" s="3" t="str">
        <f t="shared" si="41"/>
        <v>260306</v>
      </c>
      <c r="D839" s="3" t="str">
        <f t="shared" si="42"/>
        <v>C00227500</v>
      </c>
      <c r="E839" s="42">
        <v>46145.665277777778</v>
      </c>
      <c r="F839" s="11">
        <v>227.5</v>
      </c>
      <c r="G839" s="41">
        <v>0.05</v>
      </c>
      <c r="H839" s="41">
        <v>0.04</v>
      </c>
      <c r="I839" s="41">
        <v>0.05</v>
      </c>
      <c r="J839" s="29">
        <v>-0.02</v>
      </c>
      <c r="K839" s="30">
        <v>-0.28570000000000001</v>
      </c>
      <c r="L839" s="58">
        <v>5310</v>
      </c>
      <c r="M839" s="58">
        <v>2618</v>
      </c>
      <c r="N839" s="57">
        <v>0.38669999999999999</v>
      </c>
      <c r="O839" t="s">
        <v>62</v>
      </c>
      <c r="P839" s="9">
        <v>46086</v>
      </c>
      <c r="Q839">
        <v>218.94</v>
      </c>
    </row>
    <row r="840" spans="1:17" x14ac:dyDescent="0.25">
      <c r="A840" s="10" t="s">
        <v>531</v>
      </c>
      <c r="B840" s="3" t="str">
        <f t="shared" si="43"/>
        <v>AMZN</v>
      </c>
      <c r="C840" s="3" t="str">
        <f t="shared" si="41"/>
        <v>260306</v>
      </c>
      <c r="D840" s="3" t="str">
        <f t="shared" si="42"/>
        <v>C00230000</v>
      </c>
      <c r="E840" s="42">
        <v>46145.665972222225</v>
      </c>
      <c r="F840" s="11">
        <v>230</v>
      </c>
      <c r="G840" s="41">
        <v>0.02</v>
      </c>
      <c r="H840" s="41">
        <v>0.02</v>
      </c>
      <c r="I840" s="41">
        <v>0.03</v>
      </c>
      <c r="J840" s="29">
        <v>-0.02</v>
      </c>
      <c r="K840" s="30">
        <v>-0.5</v>
      </c>
      <c r="L840" s="58">
        <v>6859</v>
      </c>
      <c r="M840" s="58">
        <v>7054</v>
      </c>
      <c r="N840" s="57">
        <v>0.44140000000000001</v>
      </c>
      <c r="O840" t="s">
        <v>62</v>
      </c>
      <c r="P840" s="9">
        <v>46086</v>
      </c>
      <c r="Q840">
        <v>218.94</v>
      </c>
    </row>
    <row r="841" spans="1:17" x14ac:dyDescent="0.25">
      <c r="A841" s="10" t="s">
        <v>532</v>
      </c>
      <c r="B841" s="3" t="str">
        <f t="shared" si="43"/>
        <v>AMZN</v>
      </c>
      <c r="C841" s="3" t="str">
        <f t="shared" si="41"/>
        <v>260306</v>
      </c>
      <c r="D841" s="3" t="str">
        <f t="shared" si="42"/>
        <v>C00232500</v>
      </c>
      <c r="E841" s="42">
        <v>46145.665972222225</v>
      </c>
      <c r="F841" s="11">
        <v>232.5</v>
      </c>
      <c r="G841" s="41">
        <v>0.01</v>
      </c>
      <c r="H841" s="41">
        <v>0.01</v>
      </c>
      <c r="I841" s="41">
        <v>0.02</v>
      </c>
      <c r="J841" s="29">
        <v>-0.01</v>
      </c>
      <c r="K841" s="30">
        <v>-0.5</v>
      </c>
      <c r="L841" s="58">
        <v>1074</v>
      </c>
      <c r="M841" s="58">
        <v>2828</v>
      </c>
      <c r="N841" s="57">
        <v>0.49220000000000003</v>
      </c>
      <c r="O841" t="s">
        <v>62</v>
      </c>
      <c r="P841" s="9">
        <v>46086</v>
      </c>
      <c r="Q841">
        <v>218.94</v>
      </c>
    </row>
    <row r="842" spans="1:17" x14ac:dyDescent="0.25">
      <c r="A842" s="10" t="s">
        <v>533</v>
      </c>
      <c r="B842" s="3" t="str">
        <f t="shared" si="43"/>
        <v>AMZN</v>
      </c>
      <c r="C842" s="3" t="str">
        <f t="shared" si="41"/>
        <v>260306</v>
      </c>
      <c r="D842" s="3" t="str">
        <f t="shared" si="42"/>
        <v>C00235000</v>
      </c>
      <c r="E842" s="42">
        <v>46145.650694444441</v>
      </c>
      <c r="F842" s="11">
        <v>235</v>
      </c>
      <c r="G842" s="41">
        <v>0.01</v>
      </c>
      <c r="H842" s="41">
        <v>0</v>
      </c>
      <c r="I842" s="41">
        <v>0.01</v>
      </c>
      <c r="J842" s="29">
        <v>-0.01</v>
      </c>
      <c r="K842" s="30">
        <v>-0.5</v>
      </c>
      <c r="L842" s="58">
        <v>1145</v>
      </c>
      <c r="M842" s="58">
        <v>3497</v>
      </c>
      <c r="N842" s="57">
        <v>0.53129999999999999</v>
      </c>
      <c r="O842" t="s">
        <v>62</v>
      </c>
      <c r="P842" s="9">
        <v>46086</v>
      </c>
      <c r="Q842">
        <v>218.94</v>
      </c>
    </row>
    <row r="843" spans="1:17" x14ac:dyDescent="0.25">
      <c r="A843" s="10" t="s">
        <v>534</v>
      </c>
      <c r="B843" s="3" t="str">
        <f t="shared" si="43"/>
        <v>AMZN</v>
      </c>
      <c r="C843" s="3" t="str">
        <f t="shared" si="41"/>
        <v>260306</v>
      </c>
      <c r="D843" s="3" t="str">
        <f t="shared" si="42"/>
        <v>C00240000</v>
      </c>
      <c r="E843" s="42">
        <v>46145.660416666666</v>
      </c>
      <c r="F843" s="11">
        <v>240</v>
      </c>
      <c r="G843" s="41">
        <v>0.01</v>
      </c>
      <c r="H843" s="41">
        <v>0</v>
      </c>
      <c r="I843" s="41">
        <v>0.01</v>
      </c>
      <c r="J843" s="27">
        <v>0</v>
      </c>
      <c r="K843" s="28">
        <v>0</v>
      </c>
      <c r="L843" s="41">
        <v>138</v>
      </c>
      <c r="M843" s="58">
        <v>4610</v>
      </c>
      <c r="N843" s="57">
        <v>0.625</v>
      </c>
      <c r="O843" t="s">
        <v>62</v>
      </c>
      <c r="P843" s="9">
        <v>46086</v>
      </c>
      <c r="Q843">
        <v>218.94</v>
      </c>
    </row>
    <row r="844" spans="1:17" x14ac:dyDescent="0.25">
      <c r="A844" s="10" t="s">
        <v>535</v>
      </c>
      <c r="B844" s="3" t="str">
        <f t="shared" si="43"/>
        <v>AMZN</v>
      </c>
      <c r="C844" s="3" t="str">
        <f t="shared" si="41"/>
        <v>260306</v>
      </c>
      <c r="D844" s="3" t="str">
        <f t="shared" si="42"/>
        <v>C00245000</v>
      </c>
      <c r="E844" s="42">
        <v>46145.65902777778</v>
      </c>
      <c r="F844" s="11">
        <v>245</v>
      </c>
      <c r="G844" s="41">
        <v>0.01</v>
      </c>
      <c r="H844" s="41">
        <v>0</v>
      </c>
      <c r="I844" s="41">
        <v>0.01</v>
      </c>
      <c r="J844" s="27">
        <v>0</v>
      </c>
      <c r="K844" s="28">
        <v>0</v>
      </c>
      <c r="L844" s="41">
        <v>7</v>
      </c>
      <c r="M844" s="58">
        <v>1990</v>
      </c>
      <c r="N844" s="57">
        <v>0.75</v>
      </c>
      <c r="O844" t="s">
        <v>62</v>
      </c>
      <c r="P844" s="9">
        <v>46086</v>
      </c>
      <c r="Q844">
        <v>218.94</v>
      </c>
    </row>
    <row r="845" spans="1:17" x14ac:dyDescent="0.25">
      <c r="A845" s="10" t="s">
        <v>536</v>
      </c>
      <c r="B845" s="3" t="str">
        <f t="shared" si="43"/>
        <v>AMZN</v>
      </c>
      <c r="C845" s="3" t="str">
        <f t="shared" si="41"/>
        <v>260306</v>
      </c>
      <c r="D845" s="3" t="str">
        <f t="shared" si="42"/>
        <v>C00250000</v>
      </c>
      <c r="E845" s="42">
        <v>46145.52847222222</v>
      </c>
      <c r="F845" s="11">
        <v>250</v>
      </c>
      <c r="G845" s="41">
        <v>0.01</v>
      </c>
      <c r="H845" s="41">
        <v>0</v>
      </c>
      <c r="I845" s="41">
        <v>0.01</v>
      </c>
      <c r="J845" s="27">
        <v>0</v>
      </c>
      <c r="K845" s="28">
        <v>0</v>
      </c>
      <c r="L845" s="41">
        <v>20</v>
      </c>
      <c r="M845" s="58">
        <v>3587</v>
      </c>
      <c r="N845" s="57">
        <v>0.875</v>
      </c>
      <c r="O845" t="s">
        <v>62</v>
      </c>
      <c r="P845" s="9">
        <v>46086</v>
      </c>
      <c r="Q845">
        <v>218.94</v>
      </c>
    </row>
    <row r="846" spans="1:17" x14ac:dyDescent="0.25">
      <c r="A846" s="10" t="s">
        <v>537</v>
      </c>
      <c r="B846" s="3" t="str">
        <f t="shared" si="43"/>
        <v>AMZN</v>
      </c>
      <c r="C846" s="3" t="str">
        <f t="shared" si="41"/>
        <v>260306</v>
      </c>
      <c r="D846" s="3" t="str">
        <f t="shared" si="42"/>
        <v>C00255000</v>
      </c>
      <c r="E846" s="42">
        <v>46145.643750000003</v>
      </c>
      <c r="F846" s="11">
        <v>255</v>
      </c>
      <c r="G846" s="41">
        <v>0.04</v>
      </c>
      <c r="H846" s="41">
        <v>0</v>
      </c>
      <c r="I846" s="41">
        <v>0.02</v>
      </c>
      <c r="J846" s="25">
        <v>0.02</v>
      </c>
      <c r="K846" s="26">
        <v>1</v>
      </c>
      <c r="L846" s="41">
        <v>75</v>
      </c>
      <c r="M846" s="58">
        <v>1542</v>
      </c>
      <c r="N846" s="57">
        <v>1.0468999999999999</v>
      </c>
      <c r="O846" t="s">
        <v>62</v>
      </c>
      <c r="P846" s="9">
        <v>46086</v>
      </c>
      <c r="Q846">
        <v>218.94</v>
      </c>
    </row>
    <row r="847" spans="1:17" x14ac:dyDescent="0.25">
      <c r="A847" s="10" t="s">
        <v>538</v>
      </c>
      <c r="B847" s="3" t="str">
        <f t="shared" si="43"/>
        <v>AMZN</v>
      </c>
      <c r="C847" s="3" t="str">
        <f t="shared" si="41"/>
        <v>260306</v>
      </c>
      <c r="D847" s="3" t="str">
        <f t="shared" si="42"/>
        <v>C00260000</v>
      </c>
      <c r="E847" s="42">
        <v>46145.515277777777</v>
      </c>
      <c r="F847" s="11">
        <v>260</v>
      </c>
      <c r="G847" s="41">
        <v>0.06</v>
      </c>
      <c r="H847" s="41">
        <v>0</v>
      </c>
      <c r="I847" s="41">
        <v>0.02</v>
      </c>
      <c r="J847" s="25">
        <v>0.05</v>
      </c>
      <c r="K847" s="26">
        <v>5</v>
      </c>
      <c r="L847" s="41">
        <v>95</v>
      </c>
      <c r="M847" s="58">
        <v>1808</v>
      </c>
      <c r="N847" s="57">
        <v>1.1563000000000001</v>
      </c>
      <c r="O847" t="s">
        <v>62</v>
      </c>
      <c r="P847" s="9">
        <v>46086</v>
      </c>
      <c r="Q847">
        <v>218.94</v>
      </c>
    </row>
    <row r="848" spans="1:17" x14ac:dyDescent="0.25">
      <c r="A848" s="10" t="s">
        <v>539</v>
      </c>
      <c r="B848" s="3" t="str">
        <f t="shared" si="43"/>
        <v>AMZN</v>
      </c>
      <c r="C848" s="3" t="str">
        <f t="shared" si="41"/>
        <v>260306</v>
      </c>
      <c r="D848" s="3" t="str">
        <f t="shared" si="42"/>
        <v>C00265000</v>
      </c>
      <c r="E848" s="42">
        <v>46115.409722222219</v>
      </c>
      <c r="F848" s="11">
        <v>265</v>
      </c>
      <c r="G848" s="41">
        <v>0.06</v>
      </c>
      <c r="H848" s="41">
        <v>0</v>
      </c>
      <c r="I848" s="41">
        <v>0.01</v>
      </c>
      <c r="J848" s="27">
        <v>0</v>
      </c>
      <c r="K848" s="28">
        <v>0</v>
      </c>
      <c r="L848" s="41">
        <v>26</v>
      </c>
      <c r="M848" s="58">
        <v>1689</v>
      </c>
      <c r="N848" s="57">
        <v>1.1875</v>
      </c>
      <c r="O848" t="s">
        <v>62</v>
      </c>
      <c r="P848" s="9">
        <v>46086</v>
      </c>
      <c r="Q848">
        <v>218.94</v>
      </c>
    </row>
    <row r="849" spans="1:17" x14ac:dyDescent="0.25">
      <c r="A849" s="10" t="s">
        <v>540</v>
      </c>
      <c r="B849" s="3" t="str">
        <f t="shared" si="43"/>
        <v>AMZN</v>
      </c>
      <c r="C849" s="3" t="str">
        <f t="shared" si="41"/>
        <v>260306</v>
      </c>
      <c r="D849" s="3" t="str">
        <f t="shared" si="42"/>
        <v>C00270000</v>
      </c>
      <c r="E849" s="42">
        <v>46145.630555555559</v>
      </c>
      <c r="F849" s="11">
        <v>270</v>
      </c>
      <c r="G849" s="41">
        <v>0.06</v>
      </c>
      <c r="H849" s="41">
        <v>0</v>
      </c>
      <c r="I849" s="41">
        <v>0.04</v>
      </c>
      <c r="J849" s="25">
        <v>0.05</v>
      </c>
      <c r="K849" s="26">
        <v>5</v>
      </c>
      <c r="L849" s="41">
        <v>91</v>
      </c>
      <c r="M849" s="58">
        <v>2859</v>
      </c>
      <c r="N849" s="57">
        <v>1.4843999999999999</v>
      </c>
      <c r="O849" t="s">
        <v>62</v>
      </c>
      <c r="P849" s="9">
        <v>46086</v>
      </c>
      <c r="Q849">
        <v>218.94</v>
      </c>
    </row>
    <row r="850" spans="1:17" x14ac:dyDescent="0.25">
      <c r="A850" s="10" t="s">
        <v>541</v>
      </c>
      <c r="B850" s="3" t="str">
        <f t="shared" si="43"/>
        <v>AMZN</v>
      </c>
      <c r="C850" s="3" t="str">
        <f t="shared" si="41"/>
        <v>260306</v>
      </c>
      <c r="D850" s="3" t="str">
        <f t="shared" si="42"/>
        <v>C00275000</v>
      </c>
      <c r="E850" s="42">
        <v>46145.46875</v>
      </c>
      <c r="F850" s="11">
        <v>275</v>
      </c>
      <c r="G850" s="41">
        <v>0.01</v>
      </c>
      <c r="H850" s="41">
        <v>0</v>
      </c>
      <c r="I850" s="41">
        <v>0.01</v>
      </c>
      <c r="J850" s="27">
        <v>0</v>
      </c>
      <c r="K850" s="28">
        <v>0</v>
      </c>
      <c r="L850" s="41">
        <v>46</v>
      </c>
      <c r="M850" s="41">
        <v>356</v>
      </c>
      <c r="N850" s="57">
        <v>1.4063000000000001</v>
      </c>
      <c r="O850" t="s">
        <v>62</v>
      </c>
      <c r="P850" s="9">
        <v>46086</v>
      </c>
      <c r="Q850">
        <v>218.94</v>
      </c>
    </row>
    <row r="851" spans="1:17" x14ac:dyDescent="0.25">
      <c r="A851" s="10" t="s">
        <v>542</v>
      </c>
      <c r="B851" s="3" t="str">
        <f t="shared" si="43"/>
        <v>AMZN</v>
      </c>
      <c r="C851" s="3" t="str">
        <f t="shared" si="41"/>
        <v>260306</v>
      </c>
      <c r="D851" s="3" t="str">
        <f t="shared" si="42"/>
        <v>C00280000</v>
      </c>
      <c r="E851" s="42">
        <v>46145.630555555559</v>
      </c>
      <c r="F851" s="11">
        <v>280</v>
      </c>
      <c r="G851" s="41">
        <v>0.06</v>
      </c>
      <c r="H851" s="41">
        <v>0</v>
      </c>
      <c r="I851" s="41">
        <v>0.03</v>
      </c>
      <c r="J851" s="25">
        <v>0.05</v>
      </c>
      <c r="K851" s="26">
        <v>5</v>
      </c>
      <c r="L851" s="41">
        <v>90</v>
      </c>
      <c r="M851" s="41">
        <v>503</v>
      </c>
      <c r="N851" s="57">
        <v>1.6563000000000001</v>
      </c>
      <c r="O851" t="s">
        <v>62</v>
      </c>
      <c r="P851" s="9">
        <v>46086</v>
      </c>
      <c r="Q851">
        <v>218.94</v>
      </c>
    </row>
    <row r="852" spans="1:17" x14ac:dyDescent="0.25">
      <c r="A852" s="10" t="s">
        <v>543</v>
      </c>
      <c r="B852" s="3" t="str">
        <f t="shared" si="43"/>
        <v>AMZN</v>
      </c>
      <c r="C852" s="3" t="str">
        <f t="shared" si="41"/>
        <v>260306</v>
      </c>
      <c r="D852" s="3" t="str">
        <f t="shared" si="42"/>
        <v>C00285000</v>
      </c>
      <c r="E852" s="42">
        <v>46145.450694444444</v>
      </c>
      <c r="F852" s="11">
        <v>285</v>
      </c>
      <c r="G852" s="41">
        <v>0.06</v>
      </c>
      <c r="H852" s="41">
        <v>0</v>
      </c>
      <c r="I852" s="41">
        <v>0.01</v>
      </c>
      <c r="J852" s="25">
        <v>0.05</v>
      </c>
      <c r="K852" s="26">
        <v>5</v>
      </c>
      <c r="L852" s="41">
        <v>54</v>
      </c>
      <c r="M852" s="41">
        <v>640</v>
      </c>
      <c r="N852" s="57">
        <v>1.625</v>
      </c>
      <c r="O852" t="s">
        <v>62</v>
      </c>
      <c r="P852" s="9">
        <v>46086</v>
      </c>
      <c r="Q852">
        <v>218.94</v>
      </c>
    </row>
    <row r="853" spans="1:17" x14ac:dyDescent="0.25">
      <c r="A853" s="10" t="s">
        <v>544</v>
      </c>
      <c r="B853" s="3" t="str">
        <f t="shared" si="43"/>
        <v>AMZN</v>
      </c>
      <c r="C853" s="3" t="str">
        <f t="shared" si="41"/>
        <v>260306</v>
      </c>
      <c r="D853" s="3" t="str">
        <f t="shared" si="42"/>
        <v>C00290000</v>
      </c>
      <c r="E853" s="42">
        <v>46145.401388888888</v>
      </c>
      <c r="F853" s="11">
        <v>290</v>
      </c>
      <c r="G853" s="41">
        <v>0.5</v>
      </c>
      <c r="H853" s="41">
        <v>0</v>
      </c>
      <c r="I853" s="41">
        <v>0.01</v>
      </c>
      <c r="J853" s="25">
        <v>0.49</v>
      </c>
      <c r="K853" s="26">
        <v>49</v>
      </c>
      <c r="L853" s="41">
        <v>2</v>
      </c>
      <c r="M853" s="41">
        <v>412</v>
      </c>
      <c r="N853" s="57">
        <v>1.6875</v>
      </c>
      <c r="O853" t="s">
        <v>62</v>
      </c>
      <c r="P853" s="9">
        <v>46086</v>
      </c>
      <c r="Q853">
        <v>218.94</v>
      </c>
    </row>
    <row r="854" spans="1:17" x14ac:dyDescent="0.25">
      <c r="A854" s="10" t="s">
        <v>545</v>
      </c>
      <c r="B854" s="3" t="str">
        <f t="shared" si="43"/>
        <v>AMZN</v>
      </c>
      <c r="C854" s="3" t="str">
        <f t="shared" si="41"/>
        <v>260306</v>
      </c>
      <c r="D854" s="3" t="str">
        <f t="shared" si="42"/>
        <v>C00295000</v>
      </c>
      <c r="E854" s="42">
        <v>46115.571527777778</v>
      </c>
      <c r="F854" s="11">
        <v>295</v>
      </c>
      <c r="G854" s="41">
        <v>0.01</v>
      </c>
      <c r="H854" s="41">
        <v>0</v>
      </c>
      <c r="I854" s="41">
        <v>0.01</v>
      </c>
      <c r="J854" s="27">
        <v>0</v>
      </c>
      <c r="K854" s="28">
        <v>0</v>
      </c>
      <c r="L854" s="41">
        <v>1</v>
      </c>
      <c r="M854" s="41">
        <v>137</v>
      </c>
      <c r="N854" s="57">
        <v>1.8125</v>
      </c>
      <c r="O854" t="s">
        <v>62</v>
      </c>
      <c r="P854" s="9">
        <v>46086</v>
      </c>
      <c r="Q854">
        <v>218.94</v>
      </c>
    </row>
    <row r="855" spans="1:17" x14ac:dyDescent="0.25">
      <c r="A855" s="10" t="s">
        <v>546</v>
      </c>
      <c r="B855" s="3" t="str">
        <f t="shared" si="43"/>
        <v>AMZN</v>
      </c>
      <c r="C855" s="3" t="str">
        <f t="shared" si="41"/>
        <v>260306</v>
      </c>
      <c r="D855" s="3" t="str">
        <f t="shared" si="42"/>
        <v>C00300000</v>
      </c>
      <c r="E855" s="42">
        <v>46145.629861111112</v>
      </c>
      <c r="F855" s="11">
        <v>300</v>
      </c>
      <c r="G855" s="41">
        <v>0.06</v>
      </c>
      <c r="H855" s="41">
        <v>0</v>
      </c>
      <c r="I855" s="41">
        <v>0.05</v>
      </c>
      <c r="J855" s="25">
        <v>0.05</v>
      </c>
      <c r="K855" s="26">
        <v>5</v>
      </c>
      <c r="L855" s="41">
        <v>89</v>
      </c>
      <c r="M855" s="41">
        <v>388</v>
      </c>
      <c r="N855" s="57">
        <v>2.1718999999999999</v>
      </c>
      <c r="O855" t="s">
        <v>62</v>
      </c>
      <c r="P855" s="9">
        <v>46086</v>
      </c>
      <c r="Q855">
        <v>218.94</v>
      </c>
    </row>
    <row r="856" spans="1:17" x14ac:dyDescent="0.25">
      <c r="A856" s="10" t="s">
        <v>547</v>
      </c>
      <c r="B856" s="3" t="str">
        <f t="shared" si="43"/>
        <v>AMZN</v>
      </c>
      <c r="C856" s="3" t="str">
        <f t="shared" si="41"/>
        <v>260306</v>
      </c>
      <c r="D856" s="3" t="str">
        <f t="shared" si="42"/>
        <v>C00305000</v>
      </c>
      <c r="E856" s="42">
        <v>46145.629166666666</v>
      </c>
      <c r="F856" s="11">
        <v>305</v>
      </c>
      <c r="G856" s="41">
        <v>0.06</v>
      </c>
      <c r="H856" s="41">
        <v>0</v>
      </c>
      <c r="I856" s="41">
        <v>0.02</v>
      </c>
      <c r="J856" s="25">
        <v>0.05</v>
      </c>
      <c r="K856" s="26">
        <v>5</v>
      </c>
      <c r="L856" s="41">
        <v>2</v>
      </c>
      <c r="M856" s="41">
        <v>640</v>
      </c>
      <c r="N856" s="57">
        <v>2.0937999999999999</v>
      </c>
      <c r="O856" t="s">
        <v>62</v>
      </c>
      <c r="P856" s="9">
        <v>46086</v>
      </c>
      <c r="Q856">
        <v>218.94</v>
      </c>
    </row>
    <row r="857" spans="1:17" x14ac:dyDescent="0.25">
      <c r="A857" s="10" t="s">
        <v>548</v>
      </c>
      <c r="B857" s="3" t="str">
        <f t="shared" si="43"/>
        <v>AMZN</v>
      </c>
      <c r="C857" s="3" t="str">
        <f t="shared" si="41"/>
        <v>260306</v>
      </c>
      <c r="D857" s="3" t="str">
        <f t="shared" si="42"/>
        <v>C00310000</v>
      </c>
      <c r="E857" s="42">
        <v>46115.449305555558</v>
      </c>
      <c r="F857" s="11">
        <v>310</v>
      </c>
      <c r="G857" s="41">
        <v>0.18</v>
      </c>
      <c r="H857" s="41">
        <v>0</v>
      </c>
      <c r="I857" s="41">
        <v>0.01</v>
      </c>
      <c r="J857" s="27">
        <v>0</v>
      </c>
      <c r="K857" s="28">
        <v>0</v>
      </c>
      <c r="L857" s="41">
        <v>21</v>
      </c>
      <c r="M857" s="41">
        <v>52</v>
      </c>
      <c r="N857" s="57">
        <v>2.0625</v>
      </c>
      <c r="O857" t="s">
        <v>62</v>
      </c>
      <c r="P857" s="9">
        <v>46086</v>
      </c>
      <c r="Q857">
        <v>218.94</v>
      </c>
    </row>
    <row r="858" spans="1:17" x14ac:dyDescent="0.25">
      <c r="A858" s="10" t="s">
        <v>549</v>
      </c>
      <c r="B858" s="3" t="str">
        <f t="shared" si="43"/>
        <v>AMZN</v>
      </c>
      <c r="C858" s="3" t="str">
        <f t="shared" si="41"/>
        <v>260306</v>
      </c>
      <c r="D858" s="3" t="str">
        <f t="shared" si="42"/>
        <v>C00315000</v>
      </c>
      <c r="E858" s="42">
        <v>46145.628472222219</v>
      </c>
      <c r="F858" s="11">
        <v>315</v>
      </c>
      <c r="G858" s="41">
        <v>0.06</v>
      </c>
      <c r="H858" s="41">
        <v>0</v>
      </c>
      <c r="I858" s="41">
        <v>0.3</v>
      </c>
      <c r="J858" s="25">
        <v>0.04</v>
      </c>
      <c r="K858" s="26">
        <v>2</v>
      </c>
      <c r="L858" s="41">
        <v>76</v>
      </c>
      <c r="M858" s="41">
        <v>28</v>
      </c>
      <c r="N858" s="57">
        <v>3.0156000000000001</v>
      </c>
      <c r="O858" t="s">
        <v>62</v>
      </c>
      <c r="P858" s="9">
        <v>46086</v>
      </c>
      <c r="Q858">
        <v>218.94</v>
      </c>
    </row>
    <row r="859" spans="1:17" x14ac:dyDescent="0.25">
      <c r="A859" s="10" t="s">
        <v>550</v>
      </c>
      <c r="B859" s="3" t="str">
        <f t="shared" si="43"/>
        <v>AMZN</v>
      </c>
      <c r="C859" s="3" t="str">
        <f t="shared" si="41"/>
        <v>260306</v>
      </c>
      <c r="D859" s="3" t="str">
        <f t="shared" si="42"/>
        <v>C00320000</v>
      </c>
      <c r="E859" s="42">
        <v>46145.627083333333</v>
      </c>
      <c r="F859" s="11">
        <v>320</v>
      </c>
      <c r="G859" s="41">
        <v>0.04</v>
      </c>
      <c r="H859" s="41">
        <v>0</v>
      </c>
      <c r="I859" s="41">
        <v>0.02</v>
      </c>
      <c r="J859" s="25">
        <v>0.03</v>
      </c>
      <c r="K859" s="26">
        <v>3</v>
      </c>
      <c r="L859" s="41">
        <v>3</v>
      </c>
      <c r="M859" s="41">
        <v>70</v>
      </c>
      <c r="N859" s="57">
        <v>2.375</v>
      </c>
      <c r="O859" t="s">
        <v>62</v>
      </c>
      <c r="P859" s="9">
        <v>46086</v>
      </c>
      <c r="Q859">
        <v>218.94</v>
      </c>
    </row>
    <row r="860" spans="1:17" x14ac:dyDescent="0.25">
      <c r="A860" s="10" t="s">
        <v>551</v>
      </c>
      <c r="B860" s="3" t="str">
        <f t="shared" si="43"/>
        <v>AMZN</v>
      </c>
      <c r="C860" s="3" t="str">
        <f t="shared" si="41"/>
        <v>260306</v>
      </c>
      <c r="D860" s="3" t="str">
        <f t="shared" si="42"/>
        <v>C00325000</v>
      </c>
      <c r="E860" s="42">
        <v>46145.625694444447</v>
      </c>
      <c r="F860" s="11">
        <v>325</v>
      </c>
      <c r="G860" s="41">
        <v>0.01</v>
      </c>
      <c r="H860" s="41">
        <v>0</v>
      </c>
      <c r="I860" s="41">
        <v>0.38</v>
      </c>
      <c r="J860" s="29">
        <v>-0.02</v>
      </c>
      <c r="K860" s="30">
        <v>-0.66669999999999996</v>
      </c>
      <c r="L860" s="41">
        <v>28</v>
      </c>
      <c r="M860" s="41">
        <v>32</v>
      </c>
      <c r="N860" s="57">
        <v>3.3359000000000001</v>
      </c>
      <c r="O860" t="s">
        <v>62</v>
      </c>
      <c r="P860" s="9">
        <v>46086</v>
      </c>
      <c r="Q860">
        <v>218.94</v>
      </c>
    </row>
    <row r="861" spans="1:17" x14ac:dyDescent="0.25">
      <c r="A861" s="10" t="s">
        <v>552</v>
      </c>
      <c r="B861" s="3" t="str">
        <f t="shared" si="43"/>
        <v>AMZN</v>
      </c>
      <c r="C861" s="3" t="str">
        <f t="shared" si="41"/>
        <v>260306</v>
      </c>
      <c r="D861" s="3" t="str">
        <f t="shared" si="42"/>
        <v>C00330000</v>
      </c>
      <c r="E861" s="42">
        <v>46145.625694444447</v>
      </c>
      <c r="F861" s="11">
        <v>330</v>
      </c>
      <c r="G861" s="41">
        <v>0.16</v>
      </c>
      <c r="H861" s="41">
        <v>0</v>
      </c>
      <c r="I861" s="41">
        <v>0.2</v>
      </c>
      <c r="J861" s="25">
        <v>0.15</v>
      </c>
      <c r="K861" s="26">
        <v>15</v>
      </c>
      <c r="L861" s="41">
        <v>12</v>
      </c>
      <c r="M861" s="41">
        <v>23</v>
      </c>
      <c r="N861" s="57">
        <v>3.1797</v>
      </c>
      <c r="O861" t="s">
        <v>62</v>
      </c>
      <c r="P861" s="9">
        <v>46086</v>
      </c>
      <c r="Q861">
        <v>218.94</v>
      </c>
    </row>
    <row r="862" spans="1:17" x14ac:dyDescent="0.25">
      <c r="A862" s="10" t="s">
        <v>553</v>
      </c>
      <c r="B862" s="3" t="str">
        <f t="shared" si="43"/>
        <v>AMZN</v>
      </c>
      <c r="C862" s="3" t="str">
        <f t="shared" si="41"/>
        <v>260306</v>
      </c>
      <c r="D862" s="3" t="str">
        <f t="shared" si="42"/>
        <v>C00335000</v>
      </c>
      <c r="E862" s="42">
        <v>46145.660416666666</v>
      </c>
      <c r="F862" s="11">
        <v>335</v>
      </c>
      <c r="G862" s="41">
        <v>0.25</v>
      </c>
      <c r="H862" s="41">
        <v>0</v>
      </c>
      <c r="I862" s="41">
        <v>0.25</v>
      </c>
      <c r="J862" s="25">
        <v>0.21</v>
      </c>
      <c r="K862" s="26">
        <v>5.25</v>
      </c>
      <c r="L862" s="41">
        <v>55</v>
      </c>
      <c r="M862" s="41">
        <v>16</v>
      </c>
      <c r="N862" s="57">
        <v>3.3672</v>
      </c>
      <c r="O862" t="s">
        <v>62</v>
      </c>
      <c r="P862" s="9">
        <v>46086</v>
      </c>
      <c r="Q862">
        <v>218.94</v>
      </c>
    </row>
    <row r="863" spans="1:17" x14ac:dyDescent="0.25">
      <c r="A863" s="10" t="s">
        <v>554</v>
      </c>
      <c r="B863" s="3" t="str">
        <f t="shared" si="43"/>
        <v>AMZN</v>
      </c>
      <c r="C863" s="3" t="str">
        <f t="shared" si="41"/>
        <v>260306</v>
      </c>
      <c r="D863" s="3" t="str">
        <f t="shared" si="42"/>
        <v>C00340000</v>
      </c>
      <c r="E863" s="42">
        <v>46145.411111111112</v>
      </c>
      <c r="F863" s="11">
        <v>340</v>
      </c>
      <c r="G863" s="41">
        <v>0.12</v>
      </c>
      <c r="H863" s="41">
        <v>0</v>
      </c>
      <c r="I863" s="41">
        <v>0.01</v>
      </c>
      <c r="J863" s="25">
        <v>0.08</v>
      </c>
      <c r="K863" s="26">
        <v>2</v>
      </c>
      <c r="L863" s="41">
        <v>8</v>
      </c>
      <c r="M863" s="41">
        <v>9</v>
      </c>
      <c r="N863" s="57">
        <v>2.5625</v>
      </c>
      <c r="O863" t="s">
        <v>62</v>
      </c>
      <c r="P863" s="9">
        <v>46086</v>
      </c>
      <c r="Q863">
        <v>218.94</v>
      </c>
    </row>
    <row r="864" spans="1:17" x14ac:dyDescent="0.25">
      <c r="A864" s="10" t="s">
        <v>555</v>
      </c>
      <c r="B864" s="3" t="str">
        <f t="shared" si="43"/>
        <v>AMZN</v>
      </c>
      <c r="C864" s="3" t="str">
        <f t="shared" si="41"/>
        <v>260306</v>
      </c>
      <c r="D864" s="3" t="str">
        <f t="shared" si="42"/>
        <v>C00345000</v>
      </c>
      <c r="E864" s="42">
        <v>46145.482638888891</v>
      </c>
      <c r="F864" s="11">
        <v>345</v>
      </c>
      <c r="G864" s="41">
        <v>0.01</v>
      </c>
      <c r="H864" s="41">
        <v>0</v>
      </c>
      <c r="I864" s="41">
        <v>0.01</v>
      </c>
      <c r="J864" s="27">
        <v>0</v>
      </c>
      <c r="K864" s="28">
        <v>0</v>
      </c>
      <c r="L864" s="41">
        <v>66</v>
      </c>
      <c r="M864" s="41">
        <v>127</v>
      </c>
      <c r="N864" s="57">
        <v>2.625</v>
      </c>
      <c r="O864" t="s">
        <v>62</v>
      </c>
      <c r="P864" s="9">
        <v>46086</v>
      </c>
      <c r="Q864">
        <v>218.94</v>
      </c>
    </row>
    <row r="865" spans="1:17" x14ac:dyDescent="0.25">
      <c r="A865" s="10" t="s">
        <v>556</v>
      </c>
      <c r="B865" s="3" t="str">
        <f t="shared" si="43"/>
        <v>AMZN</v>
      </c>
      <c r="C865" s="3" t="str">
        <f t="shared" si="41"/>
        <v>260306</v>
      </c>
      <c r="D865" s="3" t="str">
        <f t="shared" si="42"/>
        <v>P00125000</v>
      </c>
      <c r="E865" s="42">
        <v>46145.605555555558</v>
      </c>
      <c r="F865" s="11">
        <v>125</v>
      </c>
      <c r="G865" s="41">
        <v>0.01</v>
      </c>
      <c r="H865" s="41">
        <v>0</v>
      </c>
      <c r="I865" s="41">
        <v>0.01</v>
      </c>
      <c r="J865" s="29">
        <v>-0.01</v>
      </c>
      <c r="K865" s="30">
        <v>-0.5</v>
      </c>
      <c r="L865" s="41">
        <v>20</v>
      </c>
      <c r="M865" s="41">
        <v>18</v>
      </c>
      <c r="N865" s="57">
        <v>3.375</v>
      </c>
      <c r="O865" t="s">
        <v>65</v>
      </c>
      <c r="P865" s="9">
        <v>46086</v>
      </c>
      <c r="Q865">
        <v>218.94</v>
      </c>
    </row>
    <row r="866" spans="1:17" x14ac:dyDescent="0.25">
      <c r="A866" s="10" t="s">
        <v>557</v>
      </c>
      <c r="B866" s="3" t="str">
        <f t="shared" si="43"/>
        <v>AMZN</v>
      </c>
      <c r="C866" s="3" t="str">
        <f t="shared" si="41"/>
        <v>260306</v>
      </c>
      <c r="D866" s="3" t="str">
        <f t="shared" si="42"/>
        <v>P00130000</v>
      </c>
      <c r="E866" s="42">
        <v>46145.429166666669</v>
      </c>
      <c r="F866" s="11">
        <v>130</v>
      </c>
      <c r="G866" s="41">
        <v>0.05</v>
      </c>
      <c r="H866" s="41">
        <v>0</v>
      </c>
      <c r="I866" s="41">
        <v>0.01</v>
      </c>
      <c r="J866" s="25">
        <v>0.04</v>
      </c>
      <c r="K866" s="26">
        <v>4</v>
      </c>
      <c r="L866" s="41">
        <v>4</v>
      </c>
      <c r="M866" s="41">
        <v>221</v>
      </c>
      <c r="N866" s="57">
        <v>3.125</v>
      </c>
      <c r="O866" t="s">
        <v>65</v>
      </c>
      <c r="P866" s="9">
        <v>46086</v>
      </c>
      <c r="Q866">
        <v>218.94</v>
      </c>
    </row>
    <row r="867" spans="1:17" x14ac:dyDescent="0.25">
      <c r="A867" s="10" t="s">
        <v>558</v>
      </c>
      <c r="B867" s="3" t="str">
        <f t="shared" si="43"/>
        <v>AMZN</v>
      </c>
      <c r="C867" s="3" t="str">
        <f t="shared" si="41"/>
        <v>260306</v>
      </c>
      <c r="D867" s="3" t="str">
        <f t="shared" si="42"/>
        <v>P00135000</v>
      </c>
      <c r="E867" s="41" t="s">
        <v>559</v>
      </c>
      <c r="F867" s="11">
        <v>135</v>
      </c>
      <c r="G867" s="41">
        <v>0.05</v>
      </c>
      <c r="H867" s="41">
        <v>0</v>
      </c>
      <c r="I867" s="41">
        <v>0.75</v>
      </c>
      <c r="J867" s="27">
        <v>0</v>
      </c>
      <c r="K867" s="28">
        <v>0</v>
      </c>
      <c r="L867" s="41">
        <v>1</v>
      </c>
      <c r="M867" s="41">
        <v>4</v>
      </c>
      <c r="N867" s="57">
        <v>4.6680000000000001</v>
      </c>
      <c r="O867" t="s">
        <v>65</v>
      </c>
      <c r="P867" s="9">
        <v>46086</v>
      </c>
      <c r="Q867">
        <v>218.94</v>
      </c>
    </row>
    <row r="868" spans="1:17" x14ac:dyDescent="0.25">
      <c r="A868" s="10" t="s">
        <v>560</v>
      </c>
      <c r="B868" s="3" t="str">
        <f t="shared" si="43"/>
        <v>AMZN</v>
      </c>
      <c r="C868" s="3" t="str">
        <f t="shared" si="41"/>
        <v>260306</v>
      </c>
      <c r="D868" s="3" t="str">
        <f t="shared" si="42"/>
        <v>P00140000</v>
      </c>
      <c r="E868" s="42">
        <v>46115.416666666664</v>
      </c>
      <c r="F868" s="11">
        <v>140</v>
      </c>
      <c r="G868" s="41">
        <v>0.05</v>
      </c>
      <c r="H868" s="41">
        <v>0</v>
      </c>
      <c r="I868" s="41">
        <v>0.05</v>
      </c>
      <c r="J868" s="27">
        <v>0</v>
      </c>
      <c r="K868" s="28">
        <v>0</v>
      </c>
      <c r="L868" s="41">
        <v>10</v>
      </c>
      <c r="M868" s="41">
        <v>228</v>
      </c>
      <c r="N868" s="57">
        <v>3.0937999999999999</v>
      </c>
      <c r="O868" t="s">
        <v>65</v>
      </c>
      <c r="P868" s="9">
        <v>46086</v>
      </c>
      <c r="Q868">
        <v>218.94</v>
      </c>
    </row>
    <row r="869" spans="1:17" x14ac:dyDescent="0.25">
      <c r="A869" s="10" t="s">
        <v>561</v>
      </c>
      <c r="B869" s="3" t="str">
        <f t="shared" si="43"/>
        <v>AMZN</v>
      </c>
      <c r="C869" s="3" t="str">
        <f t="shared" si="41"/>
        <v>260306</v>
      </c>
      <c r="D869" s="3" t="str">
        <f t="shared" si="42"/>
        <v>P00145000</v>
      </c>
      <c r="E869" s="42">
        <v>46145.418749999997</v>
      </c>
      <c r="F869" s="11">
        <v>145</v>
      </c>
      <c r="G869" s="41">
        <v>0.01</v>
      </c>
      <c r="H869" s="41">
        <v>0</v>
      </c>
      <c r="I869" s="41">
        <v>0.01</v>
      </c>
      <c r="J869" s="27">
        <v>0</v>
      </c>
      <c r="K869" s="28">
        <v>0</v>
      </c>
      <c r="L869" s="41">
        <v>1</v>
      </c>
      <c r="M869" s="58">
        <v>1578</v>
      </c>
      <c r="N869" s="57">
        <v>2.5</v>
      </c>
      <c r="O869" t="s">
        <v>65</v>
      </c>
      <c r="P869" s="9">
        <v>46086</v>
      </c>
      <c r="Q869">
        <v>218.94</v>
      </c>
    </row>
    <row r="870" spans="1:17" x14ac:dyDescent="0.25">
      <c r="A870" s="10" t="s">
        <v>562</v>
      </c>
      <c r="B870" s="3" t="str">
        <f t="shared" si="43"/>
        <v>AMZN</v>
      </c>
      <c r="C870" s="3" t="str">
        <f t="shared" si="41"/>
        <v>260306</v>
      </c>
      <c r="D870" s="3" t="str">
        <f t="shared" si="42"/>
        <v>P00150000</v>
      </c>
      <c r="E870" s="42">
        <v>46115.522916666669</v>
      </c>
      <c r="F870" s="11">
        <v>150</v>
      </c>
      <c r="G870" s="41">
        <v>0.04</v>
      </c>
      <c r="H870" s="41">
        <v>0</v>
      </c>
      <c r="I870" s="41">
        <v>0.01</v>
      </c>
      <c r="J870" s="27">
        <v>0</v>
      </c>
      <c r="K870" s="28">
        <v>0</v>
      </c>
      <c r="L870" s="41">
        <v>50</v>
      </c>
      <c r="M870" s="58">
        <v>2978</v>
      </c>
      <c r="N870" s="57">
        <v>2.3125</v>
      </c>
      <c r="O870" t="s">
        <v>65</v>
      </c>
      <c r="P870" s="9">
        <v>46086</v>
      </c>
      <c r="Q870">
        <v>218.94</v>
      </c>
    </row>
    <row r="871" spans="1:17" x14ac:dyDescent="0.25">
      <c r="A871" s="10" t="s">
        <v>563</v>
      </c>
      <c r="B871" s="3" t="str">
        <f t="shared" si="43"/>
        <v>AMZN</v>
      </c>
      <c r="C871" s="3" t="str">
        <f t="shared" si="41"/>
        <v>260306</v>
      </c>
      <c r="D871" s="3" t="str">
        <f t="shared" si="42"/>
        <v>P00155000</v>
      </c>
      <c r="E871" s="42">
        <v>46115.532638888886</v>
      </c>
      <c r="F871" s="11">
        <v>155</v>
      </c>
      <c r="G871" s="41">
        <v>0.01</v>
      </c>
      <c r="H871" s="41">
        <v>0</v>
      </c>
      <c r="I871" s="41">
        <v>0.01</v>
      </c>
      <c r="J871" s="27">
        <v>0</v>
      </c>
      <c r="K871" s="28">
        <v>0</v>
      </c>
      <c r="L871" s="41">
        <v>18</v>
      </c>
      <c r="M871" s="41">
        <v>223</v>
      </c>
      <c r="N871" s="57">
        <v>2.125</v>
      </c>
      <c r="O871" t="s">
        <v>65</v>
      </c>
      <c r="P871" s="9">
        <v>46086</v>
      </c>
      <c r="Q871">
        <v>218.94</v>
      </c>
    </row>
    <row r="872" spans="1:17" x14ac:dyDescent="0.25">
      <c r="A872" s="10" t="s">
        <v>564</v>
      </c>
      <c r="B872" s="3" t="str">
        <f t="shared" si="43"/>
        <v>AMZN</v>
      </c>
      <c r="C872" s="3" t="str">
        <f t="shared" si="41"/>
        <v>260306</v>
      </c>
      <c r="D872" s="3" t="str">
        <f t="shared" si="42"/>
        <v>P00160000</v>
      </c>
      <c r="E872" s="42">
        <v>46115.663194444445</v>
      </c>
      <c r="F872" s="11">
        <v>160</v>
      </c>
      <c r="G872" s="41">
        <v>0.01</v>
      </c>
      <c r="H872" s="41">
        <v>0</v>
      </c>
      <c r="I872" s="41">
        <v>0.01</v>
      </c>
      <c r="J872" s="27">
        <v>0</v>
      </c>
      <c r="K872" s="28">
        <v>0</v>
      </c>
      <c r="L872" s="41">
        <v>51</v>
      </c>
      <c r="M872" s="58">
        <v>5653</v>
      </c>
      <c r="N872" s="57">
        <v>1.9375</v>
      </c>
      <c r="O872" t="s">
        <v>65</v>
      </c>
      <c r="P872" s="9">
        <v>46086</v>
      </c>
      <c r="Q872">
        <v>218.94</v>
      </c>
    </row>
    <row r="873" spans="1:17" x14ac:dyDescent="0.25">
      <c r="A873" s="10" t="s">
        <v>565</v>
      </c>
      <c r="B873" s="3" t="str">
        <f t="shared" si="43"/>
        <v>AMZN</v>
      </c>
      <c r="C873" s="3" t="str">
        <f t="shared" si="41"/>
        <v>260306</v>
      </c>
      <c r="D873" s="3" t="str">
        <f t="shared" si="42"/>
        <v>P00165000</v>
      </c>
      <c r="E873" s="42">
        <v>46145.418055555558</v>
      </c>
      <c r="F873" s="11">
        <v>165</v>
      </c>
      <c r="G873" s="41">
        <v>0.01</v>
      </c>
      <c r="H873" s="41">
        <v>0</v>
      </c>
      <c r="I873" s="41">
        <v>0.01</v>
      </c>
      <c r="J873" s="27">
        <v>0</v>
      </c>
      <c r="K873" s="28">
        <v>0</v>
      </c>
      <c r="L873" s="41">
        <v>50</v>
      </c>
      <c r="M873" s="58">
        <v>3442</v>
      </c>
      <c r="N873" s="57">
        <v>1.75</v>
      </c>
      <c r="O873" t="s">
        <v>65</v>
      </c>
      <c r="P873" s="9">
        <v>46086</v>
      </c>
      <c r="Q873">
        <v>218.94</v>
      </c>
    </row>
    <row r="874" spans="1:17" x14ac:dyDescent="0.25">
      <c r="A874" s="10" t="s">
        <v>566</v>
      </c>
      <c r="B874" s="3" t="str">
        <f t="shared" si="43"/>
        <v>AMZN</v>
      </c>
      <c r="C874" s="3" t="str">
        <f t="shared" si="41"/>
        <v>260306</v>
      </c>
      <c r="D874" s="3" t="str">
        <f t="shared" si="42"/>
        <v>P00170000</v>
      </c>
      <c r="E874" s="42">
        <v>46145.616666666669</v>
      </c>
      <c r="F874" s="11">
        <v>170</v>
      </c>
      <c r="G874" s="41">
        <v>0.01</v>
      </c>
      <c r="H874" s="41">
        <v>0</v>
      </c>
      <c r="I874" s="41">
        <v>0.01</v>
      </c>
      <c r="J874" s="29">
        <v>-0.13</v>
      </c>
      <c r="K874" s="30">
        <v>-0.92859999999999998</v>
      </c>
      <c r="L874" s="41">
        <v>122</v>
      </c>
      <c r="M874" s="58">
        <v>3912</v>
      </c>
      <c r="N874" s="57">
        <v>1.5625</v>
      </c>
      <c r="O874" t="s">
        <v>65</v>
      </c>
      <c r="P874" s="9">
        <v>46086</v>
      </c>
      <c r="Q874">
        <v>218.94</v>
      </c>
    </row>
    <row r="875" spans="1:17" x14ac:dyDescent="0.25">
      <c r="A875" s="10" t="s">
        <v>567</v>
      </c>
      <c r="B875" s="3" t="str">
        <f t="shared" si="43"/>
        <v>AMZN</v>
      </c>
      <c r="C875" s="3" t="str">
        <f t="shared" si="41"/>
        <v>260306</v>
      </c>
      <c r="D875" s="3" t="str">
        <f t="shared" si="42"/>
        <v>P00172500</v>
      </c>
      <c r="E875" s="42">
        <v>46145.617361111108</v>
      </c>
      <c r="F875" s="11">
        <v>172.5</v>
      </c>
      <c r="G875" s="41">
        <v>0.01</v>
      </c>
      <c r="H875" s="41">
        <v>0</v>
      </c>
      <c r="I875" s="41">
        <v>0.01</v>
      </c>
      <c r="J875" s="27">
        <v>0</v>
      </c>
      <c r="K875" s="28">
        <v>0</v>
      </c>
      <c r="L875" s="41">
        <v>65</v>
      </c>
      <c r="M875" s="41">
        <v>254</v>
      </c>
      <c r="N875" s="57">
        <v>1.5</v>
      </c>
      <c r="O875" t="s">
        <v>65</v>
      </c>
      <c r="P875" s="9">
        <v>46086</v>
      </c>
      <c r="Q875">
        <v>218.94</v>
      </c>
    </row>
    <row r="876" spans="1:17" x14ac:dyDescent="0.25">
      <c r="A876" s="10" t="s">
        <v>568</v>
      </c>
      <c r="B876" s="3" t="str">
        <f t="shared" si="43"/>
        <v>AMZN</v>
      </c>
      <c r="C876" s="3" t="str">
        <f t="shared" si="41"/>
        <v>260306</v>
      </c>
      <c r="D876" s="3" t="str">
        <f t="shared" si="42"/>
        <v>P00175000</v>
      </c>
      <c r="E876" s="42">
        <v>46145.617361111108</v>
      </c>
      <c r="F876" s="11">
        <v>175</v>
      </c>
      <c r="G876" s="41">
        <v>0.01</v>
      </c>
      <c r="H876" s="41">
        <v>0</v>
      </c>
      <c r="I876" s="41">
        <v>0.01</v>
      </c>
      <c r="J876" s="27">
        <v>0</v>
      </c>
      <c r="K876" s="28">
        <v>0</v>
      </c>
      <c r="L876" s="41">
        <v>504</v>
      </c>
      <c r="M876" s="58">
        <v>5437</v>
      </c>
      <c r="N876" s="57">
        <v>1.4063000000000001</v>
      </c>
      <c r="O876" t="s">
        <v>65</v>
      </c>
      <c r="P876" s="9">
        <v>46086</v>
      </c>
      <c r="Q876">
        <v>218.94</v>
      </c>
    </row>
    <row r="877" spans="1:17" x14ac:dyDescent="0.25">
      <c r="A877" s="10" t="s">
        <v>569</v>
      </c>
      <c r="B877" s="3" t="str">
        <f t="shared" si="43"/>
        <v>AMZN</v>
      </c>
      <c r="C877" s="3" t="str">
        <f t="shared" si="41"/>
        <v>260306</v>
      </c>
      <c r="D877" s="3" t="str">
        <f t="shared" si="42"/>
        <v>P00177500</v>
      </c>
      <c r="E877" s="42">
        <v>46145.583333333336</v>
      </c>
      <c r="F877" s="11">
        <v>177.5</v>
      </c>
      <c r="G877" s="41">
        <v>0.01</v>
      </c>
      <c r="H877" s="41">
        <v>0</v>
      </c>
      <c r="I877" s="41">
        <v>0.03</v>
      </c>
      <c r="J877" s="29">
        <v>-0.01</v>
      </c>
      <c r="K877" s="30">
        <v>-0.5</v>
      </c>
      <c r="L877" s="41">
        <v>447</v>
      </c>
      <c r="M877" s="58">
        <v>1156</v>
      </c>
      <c r="N877" s="57">
        <v>1.4688000000000001</v>
      </c>
      <c r="O877" t="s">
        <v>65</v>
      </c>
      <c r="P877" s="9">
        <v>46086</v>
      </c>
      <c r="Q877">
        <v>218.94</v>
      </c>
    </row>
    <row r="878" spans="1:17" x14ac:dyDescent="0.25">
      <c r="A878" s="10" t="s">
        <v>570</v>
      </c>
      <c r="B878" s="3" t="str">
        <f t="shared" si="43"/>
        <v>AMZN</v>
      </c>
      <c r="C878" s="3" t="str">
        <f t="shared" si="41"/>
        <v>260306</v>
      </c>
      <c r="D878" s="3" t="str">
        <f t="shared" si="42"/>
        <v>P00180000</v>
      </c>
      <c r="E878" s="42">
        <v>46145.654166666667</v>
      </c>
      <c r="F878" s="11">
        <v>180</v>
      </c>
      <c r="G878" s="41">
        <v>0.01</v>
      </c>
      <c r="H878" s="41">
        <v>0</v>
      </c>
      <c r="I878" s="41">
        <v>0.01</v>
      </c>
      <c r="J878" s="29">
        <v>-0.02</v>
      </c>
      <c r="K878" s="30">
        <v>-0.66669999999999996</v>
      </c>
      <c r="L878" s="41">
        <v>154</v>
      </c>
      <c r="M878" s="58">
        <v>5882</v>
      </c>
      <c r="N878" s="57">
        <v>1.25</v>
      </c>
      <c r="O878" t="s">
        <v>65</v>
      </c>
      <c r="P878" s="9">
        <v>46086</v>
      </c>
      <c r="Q878">
        <v>218.94</v>
      </c>
    </row>
    <row r="879" spans="1:17" x14ac:dyDescent="0.25">
      <c r="A879" s="10" t="s">
        <v>571</v>
      </c>
      <c r="B879" s="3" t="str">
        <f t="shared" si="43"/>
        <v>AMZN</v>
      </c>
      <c r="C879" s="3" t="str">
        <f t="shared" si="41"/>
        <v>260306</v>
      </c>
      <c r="D879" s="3" t="str">
        <f t="shared" si="42"/>
        <v>P00182500</v>
      </c>
      <c r="E879" s="42">
        <v>46145.661805555559</v>
      </c>
      <c r="F879" s="11">
        <v>182.5</v>
      </c>
      <c r="G879" s="41">
        <v>0.01</v>
      </c>
      <c r="H879" s="41">
        <v>0</v>
      </c>
      <c r="I879" s="41">
        <v>0.01</v>
      </c>
      <c r="J879" s="29">
        <v>-0.01</v>
      </c>
      <c r="K879" s="30">
        <v>-0.5</v>
      </c>
      <c r="L879" s="41">
        <v>461</v>
      </c>
      <c r="M879" s="58">
        <v>1919</v>
      </c>
      <c r="N879" s="57">
        <v>1.1563000000000001</v>
      </c>
      <c r="O879" t="s">
        <v>65</v>
      </c>
      <c r="P879" s="9">
        <v>46086</v>
      </c>
      <c r="Q879">
        <v>218.94</v>
      </c>
    </row>
    <row r="880" spans="1:17" x14ac:dyDescent="0.25">
      <c r="A880" s="10" t="s">
        <v>572</v>
      </c>
      <c r="B880" s="3" t="str">
        <f t="shared" si="43"/>
        <v>AMZN</v>
      </c>
      <c r="C880" s="3" t="str">
        <f t="shared" si="41"/>
        <v>260306</v>
      </c>
      <c r="D880" s="3" t="str">
        <f t="shared" si="42"/>
        <v>P00185000</v>
      </c>
      <c r="E880" s="42">
        <v>46145.661111111112</v>
      </c>
      <c r="F880" s="11">
        <v>185</v>
      </c>
      <c r="G880" s="41">
        <v>0.01</v>
      </c>
      <c r="H880" s="41">
        <v>0</v>
      </c>
      <c r="I880" s="41">
        <v>0.01</v>
      </c>
      <c r="J880" s="29">
        <v>-0.02</v>
      </c>
      <c r="K880" s="30">
        <v>-0.66669999999999996</v>
      </c>
      <c r="L880" s="41">
        <v>485</v>
      </c>
      <c r="M880" s="58">
        <v>4642</v>
      </c>
      <c r="N880" s="57">
        <v>1.0938000000000001</v>
      </c>
      <c r="O880" t="s">
        <v>65</v>
      </c>
      <c r="P880" s="9">
        <v>46086</v>
      </c>
      <c r="Q880">
        <v>218.94</v>
      </c>
    </row>
    <row r="881" spans="1:17" x14ac:dyDescent="0.25">
      <c r="A881" s="10" t="s">
        <v>573</v>
      </c>
      <c r="B881" s="3" t="str">
        <f t="shared" si="43"/>
        <v>AMZN</v>
      </c>
      <c r="C881" s="3" t="str">
        <f t="shared" si="41"/>
        <v>260306</v>
      </c>
      <c r="D881" s="3" t="str">
        <f t="shared" si="42"/>
        <v>P00187500</v>
      </c>
      <c r="E881" s="42">
        <v>46145.663888888892</v>
      </c>
      <c r="F881" s="11">
        <v>187.5</v>
      </c>
      <c r="G881" s="41">
        <v>0.02</v>
      </c>
      <c r="H881" s="41">
        <v>0.01</v>
      </c>
      <c r="I881" s="41">
        <v>0.02</v>
      </c>
      <c r="J881" s="29">
        <v>-0.02</v>
      </c>
      <c r="K881" s="30">
        <v>-0.5</v>
      </c>
      <c r="L881" s="41">
        <v>445</v>
      </c>
      <c r="M881" s="58">
        <v>2207</v>
      </c>
      <c r="N881" s="57">
        <v>1.125</v>
      </c>
      <c r="O881" t="s">
        <v>65</v>
      </c>
      <c r="P881" s="9">
        <v>46086</v>
      </c>
      <c r="Q881">
        <v>218.94</v>
      </c>
    </row>
    <row r="882" spans="1:17" x14ac:dyDescent="0.25">
      <c r="A882" s="10" t="s">
        <v>574</v>
      </c>
      <c r="B882" s="3" t="str">
        <f t="shared" si="43"/>
        <v>AMZN</v>
      </c>
      <c r="C882" s="3" t="str">
        <f t="shared" si="41"/>
        <v>260306</v>
      </c>
      <c r="D882" s="3" t="str">
        <f t="shared" si="42"/>
        <v>P00190000</v>
      </c>
      <c r="E882" s="42">
        <v>46145.665972222225</v>
      </c>
      <c r="F882" s="11">
        <v>190</v>
      </c>
      <c r="G882" s="41">
        <v>0.02</v>
      </c>
      <c r="H882" s="41">
        <v>0.02</v>
      </c>
      <c r="I882" s="41">
        <v>0.03</v>
      </c>
      <c r="J882" s="29">
        <v>-0.03</v>
      </c>
      <c r="K882" s="30">
        <v>-0.6</v>
      </c>
      <c r="L882" s="58">
        <v>1250</v>
      </c>
      <c r="M882" s="58">
        <v>4992</v>
      </c>
      <c r="N882" s="57">
        <v>1.0938000000000001</v>
      </c>
      <c r="O882" t="s">
        <v>65</v>
      </c>
      <c r="P882" s="9">
        <v>46086</v>
      </c>
      <c r="Q882">
        <v>218.94</v>
      </c>
    </row>
    <row r="883" spans="1:17" x14ac:dyDescent="0.25">
      <c r="A883" s="10" t="s">
        <v>575</v>
      </c>
      <c r="B883" s="3" t="str">
        <f t="shared" si="43"/>
        <v>AMZN</v>
      </c>
      <c r="C883" s="3" t="str">
        <f t="shared" si="41"/>
        <v>260306</v>
      </c>
      <c r="D883" s="3" t="str">
        <f t="shared" si="42"/>
        <v>P00192500</v>
      </c>
      <c r="E883" s="42">
        <v>46145.650694444441</v>
      </c>
      <c r="F883" s="11">
        <v>192.5</v>
      </c>
      <c r="G883" s="41">
        <v>0.02</v>
      </c>
      <c r="H883" s="41">
        <v>0.02</v>
      </c>
      <c r="I883" s="41">
        <v>0.03</v>
      </c>
      <c r="J883" s="29">
        <v>-0.05</v>
      </c>
      <c r="K883" s="30">
        <v>-0.71430000000000005</v>
      </c>
      <c r="L883" s="58">
        <v>1082</v>
      </c>
      <c r="M883" s="58">
        <v>5460</v>
      </c>
      <c r="N883" s="57">
        <v>1</v>
      </c>
      <c r="O883" t="s">
        <v>65</v>
      </c>
      <c r="P883" s="9">
        <v>46086</v>
      </c>
      <c r="Q883">
        <v>218.94</v>
      </c>
    </row>
    <row r="884" spans="1:17" x14ac:dyDescent="0.25">
      <c r="A884" s="10" t="s">
        <v>576</v>
      </c>
      <c r="B884" s="3" t="str">
        <f t="shared" si="43"/>
        <v>AMZN</v>
      </c>
      <c r="C884" s="3" t="str">
        <f t="shared" ref="C884:C947" si="44">+MID(A884,5,6)</f>
        <v>260306</v>
      </c>
      <c r="D884" s="3" t="str">
        <f t="shared" ref="D884:D947" si="45">+MID(A884,11,10)</f>
        <v>P00195000</v>
      </c>
      <c r="E884" s="42">
        <v>46145.665277777778</v>
      </c>
      <c r="F884" s="11">
        <v>195</v>
      </c>
      <c r="G884" s="41">
        <v>0.02</v>
      </c>
      <c r="H884" s="41">
        <v>0.02</v>
      </c>
      <c r="I884" s="41">
        <v>0.03</v>
      </c>
      <c r="J884" s="29">
        <v>-0.05</v>
      </c>
      <c r="K884" s="30">
        <v>-0.71430000000000005</v>
      </c>
      <c r="L884" s="58">
        <v>2250</v>
      </c>
      <c r="M884" s="58">
        <v>6443</v>
      </c>
      <c r="N884" s="57">
        <v>0.91410000000000002</v>
      </c>
      <c r="O884" t="s">
        <v>65</v>
      </c>
      <c r="P884" s="9">
        <v>46086</v>
      </c>
      <c r="Q884">
        <v>218.94</v>
      </c>
    </row>
    <row r="885" spans="1:17" x14ac:dyDescent="0.25">
      <c r="A885" s="10" t="s">
        <v>577</v>
      </c>
      <c r="B885" s="3" t="str">
        <f t="shared" si="43"/>
        <v>AMZN</v>
      </c>
      <c r="C885" s="3" t="str">
        <f t="shared" si="44"/>
        <v>260306</v>
      </c>
      <c r="D885" s="3" t="str">
        <f t="shared" si="45"/>
        <v>P00197500</v>
      </c>
      <c r="E885" s="42">
        <v>46145.665277777778</v>
      </c>
      <c r="F885" s="11">
        <v>197.5</v>
      </c>
      <c r="G885" s="41">
        <v>0.04</v>
      </c>
      <c r="H885" s="41">
        <v>0.03</v>
      </c>
      <c r="I885" s="41">
        <v>0.04</v>
      </c>
      <c r="J885" s="29">
        <v>-0.05</v>
      </c>
      <c r="K885" s="30">
        <v>-0.55559999999999998</v>
      </c>
      <c r="L885" s="41">
        <v>896</v>
      </c>
      <c r="M885" s="58">
        <v>3560</v>
      </c>
      <c r="N885" s="57">
        <v>0.85940000000000005</v>
      </c>
      <c r="O885" t="s">
        <v>65</v>
      </c>
      <c r="P885" s="9">
        <v>46086</v>
      </c>
      <c r="Q885">
        <v>218.94</v>
      </c>
    </row>
    <row r="886" spans="1:17" x14ac:dyDescent="0.25">
      <c r="A886" s="10" t="s">
        <v>578</v>
      </c>
      <c r="B886" s="3" t="str">
        <f t="shared" si="43"/>
        <v>AMZN</v>
      </c>
      <c r="C886" s="3" t="str">
        <f t="shared" si="44"/>
        <v>260306</v>
      </c>
      <c r="D886" s="3" t="str">
        <f t="shared" si="45"/>
        <v>P00200000</v>
      </c>
      <c r="E886" s="42">
        <v>46145.65625</v>
      </c>
      <c r="F886" s="11">
        <v>200</v>
      </c>
      <c r="G886" s="41">
        <v>0.05</v>
      </c>
      <c r="H886" s="41">
        <v>0.04</v>
      </c>
      <c r="I886" s="41">
        <v>0.05</v>
      </c>
      <c r="J886" s="29">
        <v>-7.0000000000000007E-2</v>
      </c>
      <c r="K886" s="30">
        <v>-0.58330000000000004</v>
      </c>
      <c r="L886" s="58">
        <v>2107</v>
      </c>
      <c r="M886" s="58">
        <v>11644</v>
      </c>
      <c r="N886" s="57">
        <v>0.79300000000000004</v>
      </c>
      <c r="O886" t="s">
        <v>65</v>
      </c>
      <c r="P886" s="9">
        <v>46086</v>
      </c>
      <c r="Q886">
        <v>218.94</v>
      </c>
    </row>
    <row r="887" spans="1:17" x14ac:dyDescent="0.25">
      <c r="A887" s="10" t="s">
        <v>579</v>
      </c>
      <c r="B887" s="3" t="str">
        <f t="shared" si="43"/>
        <v>AMZN</v>
      </c>
      <c r="C887" s="3" t="str">
        <f t="shared" si="44"/>
        <v>260306</v>
      </c>
      <c r="D887" s="3" t="str">
        <f t="shared" si="45"/>
        <v>P00202500</v>
      </c>
      <c r="E887" s="42">
        <v>46145.663194444445</v>
      </c>
      <c r="F887" s="11">
        <v>202.5</v>
      </c>
      <c r="G887" s="41">
        <v>0.06</v>
      </c>
      <c r="H887" s="41">
        <v>0.06</v>
      </c>
      <c r="I887" s="41">
        <v>7.0000000000000007E-2</v>
      </c>
      <c r="J887" s="29">
        <v>-0.1</v>
      </c>
      <c r="K887" s="30">
        <v>-0.625</v>
      </c>
      <c r="L887" s="58">
        <v>3611</v>
      </c>
      <c r="M887" s="58">
        <v>2859</v>
      </c>
      <c r="N887" s="57">
        <v>0.73829999999999996</v>
      </c>
      <c r="O887" t="s">
        <v>65</v>
      </c>
      <c r="P887" s="9">
        <v>46086</v>
      </c>
      <c r="Q887">
        <v>218.94</v>
      </c>
    </row>
    <row r="888" spans="1:17" x14ac:dyDescent="0.25">
      <c r="A888" s="10" t="s">
        <v>580</v>
      </c>
      <c r="B888" s="3" t="str">
        <f t="shared" si="43"/>
        <v>AMZN</v>
      </c>
      <c r="C888" s="3" t="str">
        <f t="shared" si="44"/>
        <v>260306</v>
      </c>
      <c r="D888" s="3" t="str">
        <f t="shared" si="45"/>
        <v>P00205000</v>
      </c>
      <c r="E888" s="42">
        <v>46145.665277777778</v>
      </c>
      <c r="F888" s="11">
        <v>205</v>
      </c>
      <c r="G888" s="41">
        <v>0.09</v>
      </c>
      <c r="H888" s="41">
        <v>0.08</v>
      </c>
      <c r="I888" s="41">
        <v>0.09</v>
      </c>
      <c r="J888" s="29">
        <v>-0.13</v>
      </c>
      <c r="K888" s="30">
        <v>-0.59089999999999998</v>
      </c>
      <c r="L888" s="58">
        <v>2258</v>
      </c>
      <c r="M888" s="58">
        <v>6422</v>
      </c>
      <c r="N888" s="57">
        <v>0.66800000000000004</v>
      </c>
      <c r="O888" t="s">
        <v>65</v>
      </c>
      <c r="P888" s="9">
        <v>46086</v>
      </c>
      <c r="Q888">
        <v>218.94</v>
      </c>
    </row>
    <row r="889" spans="1:17" x14ac:dyDescent="0.25">
      <c r="A889" s="10" t="s">
        <v>581</v>
      </c>
      <c r="B889" s="3" t="str">
        <f t="shared" si="43"/>
        <v>AMZN</v>
      </c>
      <c r="C889" s="3" t="str">
        <f t="shared" si="44"/>
        <v>260306</v>
      </c>
      <c r="D889" s="3" t="str">
        <f t="shared" si="45"/>
        <v>P00207500</v>
      </c>
      <c r="E889" s="42">
        <v>46145.665277777778</v>
      </c>
      <c r="F889" s="11">
        <v>207.5</v>
      </c>
      <c r="G889" s="41">
        <v>0.11</v>
      </c>
      <c r="H889" s="41">
        <v>0.1</v>
      </c>
      <c r="I889" s="41">
        <v>0.11</v>
      </c>
      <c r="J889" s="29">
        <v>-0.24</v>
      </c>
      <c r="K889" s="30">
        <v>-0.68569999999999998</v>
      </c>
      <c r="L889" s="58">
        <v>2689</v>
      </c>
      <c r="M889" s="58">
        <v>4215</v>
      </c>
      <c r="N889" s="57">
        <v>0.58589999999999998</v>
      </c>
      <c r="O889" t="s">
        <v>65</v>
      </c>
      <c r="P889" s="9">
        <v>46086</v>
      </c>
      <c r="Q889">
        <v>218.94</v>
      </c>
    </row>
    <row r="890" spans="1:17" x14ac:dyDescent="0.25">
      <c r="A890" s="10" t="s">
        <v>582</v>
      </c>
      <c r="B890" s="3" t="str">
        <f t="shared" si="43"/>
        <v>AMZN</v>
      </c>
      <c r="C890" s="3" t="str">
        <f t="shared" si="44"/>
        <v>260306</v>
      </c>
      <c r="D890" s="3" t="str">
        <f t="shared" si="45"/>
        <v>P00210000</v>
      </c>
      <c r="E890" s="42">
        <v>46145.665972222225</v>
      </c>
      <c r="F890" s="11">
        <v>210</v>
      </c>
      <c r="G890" s="41">
        <v>0.16</v>
      </c>
      <c r="H890" s="41">
        <v>0.15</v>
      </c>
      <c r="I890" s="41">
        <v>0.16</v>
      </c>
      <c r="J890" s="29">
        <v>-0.4</v>
      </c>
      <c r="K890" s="30">
        <v>-0.71430000000000005</v>
      </c>
      <c r="L890" s="58">
        <v>11207</v>
      </c>
      <c r="M890" s="58">
        <v>4249</v>
      </c>
      <c r="N890" s="57">
        <v>0.51759999999999995</v>
      </c>
      <c r="O890" t="s">
        <v>65</v>
      </c>
      <c r="P890" s="9">
        <v>46086</v>
      </c>
      <c r="Q890">
        <v>218.94</v>
      </c>
    </row>
    <row r="891" spans="1:17" x14ac:dyDescent="0.25">
      <c r="A891" s="10" t="s">
        <v>583</v>
      </c>
      <c r="B891" s="3" t="str">
        <f t="shared" si="43"/>
        <v>AMZN</v>
      </c>
      <c r="C891" s="3" t="str">
        <f t="shared" si="44"/>
        <v>260306</v>
      </c>
      <c r="D891" s="3" t="str">
        <f t="shared" si="45"/>
        <v>P00212500</v>
      </c>
      <c r="E891" s="42">
        <v>46145.665972222225</v>
      </c>
      <c r="F891" s="11">
        <v>212.5</v>
      </c>
      <c r="G891" s="41">
        <v>0.27</v>
      </c>
      <c r="H891" s="41">
        <v>0.25</v>
      </c>
      <c r="I891" s="41">
        <v>0.28000000000000003</v>
      </c>
      <c r="J891" s="29">
        <v>-0.7</v>
      </c>
      <c r="K891" s="30">
        <v>-0.72160000000000002</v>
      </c>
      <c r="L891" s="58">
        <v>17117</v>
      </c>
      <c r="M891" s="58">
        <v>3812</v>
      </c>
      <c r="N891" s="57">
        <v>0.46579999999999999</v>
      </c>
      <c r="O891" t="s">
        <v>65</v>
      </c>
      <c r="P891" s="9">
        <v>46086</v>
      </c>
      <c r="Q891">
        <v>218.94</v>
      </c>
    </row>
    <row r="892" spans="1:17" x14ac:dyDescent="0.25">
      <c r="A892" s="10" t="s">
        <v>584</v>
      </c>
      <c r="B892" s="3" t="str">
        <f t="shared" si="43"/>
        <v>AMZN</v>
      </c>
      <c r="C892" s="3" t="str">
        <f t="shared" si="44"/>
        <v>260306</v>
      </c>
      <c r="D892" s="3" t="str">
        <f t="shared" si="45"/>
        <v>P00215000</v>
      </c>
      <c r="E892" s="42">
        <v>46145.665972222225</v>
      </c>
      <c r="F892" s="11">
        <v>215</v>
      </c>
      <c r="G892" s="41">
        <v>0.54</v>
      </c>
      <c r="H892" s="41">
        <v>0.53</v>
      </c>
      <c r="I892" s="41">
        <v>0.55000000000000004</v>
      </c>
      <c r="J892" s="29">
        <v>-1.07</v>
      </c>
      <c r="K892" s="30">
        <v>-0.66459999999999997</v>
      </c>
      <c r="L892" s="58">
        <v>28884</v>
      </c>
      <c r="M892" s="58">
        <v>7789</v>
      </c>
      <c r="N892" s="57">
        <v>0.4209</v>
      </c>
      <c r="O892" t="s">
        <v>65</v>
      </c>
      <c r="P892" s="9">
        <v>46086</v>
      </c>
      <c r="Q892">
        <v>218.94</v>
      </c>
    </row>
    <row r="893" spans="1:17" x14ac:dyDescent="0.25">
      <c r="A893" s="10" t="s">
        <v>585</v>
      </c>
      <c r="B893" s="3" t="str">
        <f t="shared" si="43"/>
        <v>AMZN</v>
      </c>
      <c r="C893" s="3" t="str">
        <f t="shared" si="44"/>
        <v>260306</v>
      </c>
      <c r="D893" s="3" t="str">
        <f t="shared" si="45"/>
        <v>P00217500</v>
      </c>
      <c r="E893" s="42">
        <v>46145.665972222225</v>
      </c>
      <c r="F893" s="11">
        <v>217.5</v>
      </c>
      <c r="G893" s="41">
        <v>1.1399999999999999</v>
      </c>
      <c r="H893" s="41">
        <v>1.1299999999999999</v>
      </c>
      <c r="I893" s="41">
        <v>1.17</v>
      </c>
      <c r="J893" s="29">
        <v>-1.55</v>
      </c>
      <c r="K893" s="30">
        <v>-0.57620000000000005</v>
      </c>
      <c r="L893" s="58">
        <v>24008</v>
      </c>
      <c r="M893" s="58">
        <v>1696</v>
      </c>
      <c r="N893" s="57">
        <v>0.39500000000000002</v>
      </c>
      <c r="O893" t="s">
        <v>65</v>
      </c>
      <c r="P893" s="9">
        <v>46086</v>
      </c>
      <c r="Q893">
        <v>218.94</v>
      </c>
    </row>
    <row r="894" spans="1:17" x14ac:dyDescent="0.25">
      <c r="A894" s="10" t="s">
        <v>586</v>
      </c>
      <c r="B894" s="3" t="str">
        <f t="shared" si="43"/>
        <v>AMZN</v>
      </c>
      <c r="C894" s="3" t="str">
        <f t="shared" si="44"/>
        <v>260306</v>
      </c>
      <c r="D894" s="3" t="str">
        <f t="shared" si="45"/>
        <v>P00220000</v>
      </c>
      <c r="E894" s="42">
        <v>46145.665972222225</v>
      </c>
      <c r="F894" s="11">
        <v>220</v>
      </c>
      <c r="G894" s="41">
        <v>2.25</v>
      </c>
      <c r="H894" s="41">
        <v>2.2400000000000002</v>
      </c>
      <c r="I894" s="41">
        <v>2.29</v>
      </c>
      <c r="J894" s="29">
        <v>-1.85</v>
      </c>
      <c r="K894" s="30">
        <v>-0.45119999999999999</v>
      </c>
      <c r="L894" s="58">
        <v>9528</v>
      </c>
      <c r="M894" s="58">
        <v>1105</v>
      </c>
      <c r="N894" s="57">
        <v>0.37259999999999999</v>
      </c>
      <c r="O894" t="s">
        <v>65</v>
      </c>
      <c r="P894" s="9">
        <v>46086</v>
      </c>
      <c r="Q894">
        <v>218.94</v>
      </c>
    </row>
    <row r="895" spans="1:17" x14ac:dyDescent="0.25">
      <c r="A895" s="10" t="s">
        <v>587</v>
      </c>
      <c r="B895" s="3" t="str">
        <f t="shared" si="43"/>
        <v>AMZN</v>
      </c>
      <c r="C895" s="3" t="str">
        <f t="shared" si="44"/>
        <v>260306</v>
      </c>
      <c r="D895" s="3" t="str">
        <f t="shared" si="45"/>
        <v>P00222500</v>
      </c>
      <c r="E895" s="42">
        <v>46145.660416666666</v>
      </c>
      <c r="F895" s="11">
        <v>222.5</v>
      </c>
      <c r="G895" s="41">
        <v>4</v>
      </c>
      <c r="H895" s="41">
        <v>3.8</v>
      </c>
      <c r="I895" s="41">
        <v>4.0999999999999996</v>
      </c>
      <c r="J895" s="29">
        <v>-2.08</v>
      </c>
      <c r="K895" s="30">
        <v>-0.34210000000000002</v>
      </c>
      <c r="L895" s="58">
        <v>1153</v>
      </c>
      <c r="M895" s="41">
        <v>108</v>
      </c>
      <c r="N895" s="57">
        <v>0.38669999999999999</v>
      </c>
      <c r="O895" t="s">
        <v>65</v>
      </c>
      <c r="P895" s="9">
        <v>46086</v>
      </c>
      <c r="Q895">
        <v>218.94</v>
      </c>
    </row>
    <row r="896" spans="1:17" x14ac:dyDescent="0.25">
      <c r="A896" s="10" t="s">
        <v>588</v>
      </c>
      <c r="B896" s="3" t="str">
        <f t="shared" si="43"/>
        <v>AMZN</v>
      </c>
      <c r="C896" s="3" t="str">
        <f t="shared" si="44"/>
        <v>260306</v>
      </c>
      <c r="D896" s="3" t="str">
        <f t="shared" si="45"/>
        <v>P00225000</v>
      </c>
      <c r="E896" s="42">
        <v>46145.645138888889</v>
      </c>
      <c r="F896" s="11">
        <v>225</v>
      </c>
      <c r="G896" s="41">
        <v>5.9</v>
      </c>
      <c r="H896" s="41">
        <v>5.3</v>
      </c>
      <c r="I896" s="41">
        <v>6.75</v>
      </c>
      <c r="J896" s="29">
        <v>-2.4</v>
      </c>
      <c r="K896" s="30">
        <v>-0.28920000000000001</v>
      </c>
      <c r="L896" s="41">
        <v>276</v>
      </c>
      <c r="M896" s="41">
        <v>102</v>
      </c>
      <c r="N896" s="57">
        <v>0.58399999999999996</v>
      </c>
      <c r="O896" t="s">
        <v>65</v>
      </c>
      <c r="P896" s="9">
        <v>46086</v>
      </c>
      <c r="Q896">
        <v>218.94</v>
      </c>
    </row>
    <row r="897" spans="1:17" x14ac:dyDescent="0.25">
      <c r="A897" s="10" t="s">
        <v>589</v>
      </c>
      <c r="B897" s="3" t="str">
        <f t="shared" si="43"/>
        <v>AMZN</v>
      </c>
      <c r="C897" s="3" t="str">
        <f t="shared" si="44"/>
        <v>260306</v>
      </c>
      <c r="D897" s="3" t="str">
        <f t="shared" si="45"/>
        <v>P00227500</v>
      </c>
      <c r="E897" s="42">
        <v>46145.618750000001</v>
      </c>
      <c r="F897" s="11">
        <v>227.5</v>
      </c>
      <c r="G897" s="41">
        <v>9.67</v>
      </c>
      <c r="H897" s="41">
        <v>7.35</v>
      </c>
      <c r="I897" s="41">
        <v>9.9</v>
      </c>
      <c r="J897" s="29">
        <v>-1.03</v>
      </c>
      <c r="K897" s="30">
        <v>-9.6299999999999997E-2</v>
      </c>
      <c r="L897" s="41">
        <v>35</v>
      </c>
      <c r="M897" s="41">
        <v>12</v>
      </c>
      <c r="N897" s="57">
        <v>0.93159999999999998</v>
      </c>
      <c r="O897" t="s">
        <v>65</v>
      </c>
      <c r="P897" s="9">
        <v>46086</v>
      </c>
      <c r="Q897">
        <v>218.94</v>
      </c>
    </row>
    <row r="898" spans="1:17" x14ac:dyDescent="0.25">
      <c r="A898" s="10" t="s">
        <v>590</v>
      </c>
      <c r="B898" s="3" t="str">
        <f t="shared" si="43"/>
        <v>AMZN</v>
      </c>
      <c r="C898" s="3" t="str">
        <f t="shared" si="44"/>
        <v>260306</v>
      </c>
      <c r="D898" s="3" t="str">
        <f t="shared" si="45"/>
        <v>P00230000</v>
      </c>
      <c r="E898" s="42">
        <v>46145.664583333331</v>
      </c>
      <c r="F898" s="11">
        <v>230</v>
      </c>
      <c r="G898" s="41">
        <v>11.5</v>
      </c>
      <c r="H898" s="41">
        <v>10.25</v>
      </c>
      <c r="I898" s="41">
        <v>12.8</v>
      </c>
      <c r="J898" s="29">
        <v>-3.12</v>
      </c>
      <c r="K898" s="30">
        <v>-0.21340000000000001</v>
      </c>
      <c r="L898" s="41">
        <v>174</v>
      </c>
      <c r="M898" s="41">
        <v>11</v>
      </c>
      <c r="N898" s="57">
        <v>0.76170000000000004</v>
      </c>
      <c r="O898" t="s">
        <v>65</v>
      </c>
      <c r="P898" s="9">
        <v>46086</v>
      </c>
      <c r="Q898">
        <v>218.94</v>
      </c>
    </row>
    <row r="899" spans="1:17" x14ac:dyDescent="0.25">
      <c r="A899" s="10" t="s">
        <v>591</v>
      </c>
      <c r="B899" s="3" t="str">
        <f t="shared" ref="B899:B962" si="46">+MID(A899,1,4)</f>
        <v>AMZN</v>
      </c>
      <c r="C899" s="3" t="str">
        <f t="shared" si="44"/>
        <v>260306</v>
      </c>
      <c r="D899" s="3" t="str">
        <f t="shared" si="45"/>
        <v>P00235000</v>
      </c>
      <c r="E899" s="42">
        <v>46145.481249999997</v>
      </c>
      <c r="F899" s="11">
        <v>235</v>
      </c>
      <c r="G899" s="41">
        <v>18.010000000000002</v>
      </c>
      <c r="H899" s="41">
        <v>14.8</v>
      </c>
      <c r="I899" s="41">
        <v>18</v>
      </c>
      <c r="J899" s="29">
        <v>-0.28999999999999998</v>
      </c>
      <c r="K899" s="30">
        <v>-1.5800000000000002E-2</v>
      </c>
      <c r="L899" s="41">
        <v>4</v>
      </c>
      <c r="M899" s="41">
        <v>4</v>
      </c>
      <c r="N899" s="57">
        <v>0.91800000000000004</v>
      </c>
      <c r="O899" t="s">
        <v>65</v>
      </c>
      <c r="P899" s="9">
        <v>46086</v>
      </c>
      <c r="Q899">
        <v>218.94</v>
      </c>
    </row>
    <row r="900" spans="1:17" x14ac:dyDescent="0.25">
      <c r="A900" s="10" t="s">
        <v>592</v>
      </c>
      <c r="B900" s="3" t="str">
        <f t="shared" si="46"/>
        <v>AMZN</v>
      </c>
      <c r="C900" s="3" t="str">
        <f t="shared" si="44"/>
        <v>260306</v>
      </c>
      <c r="D900" s="3" t="str">
        <f t="shared" si="45"/>
        <v>P00240000</v>
      </c>
      <c r="E900" s="42">
        <v>46084.570138888892</v>
      </c>
      <c r="F900" s="11">
        <v>240</v>
      </c>
      <c r="G900" s="41">
        <v>31.5</v>
      </c>
      <c r="H900" s="41">
        <v>20.5</v>
      </c>
      <c r="I900" s="41">
        <v>23.1</v>
      </c>
      <c r="J900" s="27">
        <v>0</v>
      </c>
      <c r="K900" s="28">
        <v>0</v>
      </c>
      <c r="L900" s="41">
        <v>4</v>
      </c>
      <c r="M900" s="41">
        <v>10</v>
      </c>
      <c r="N900" s="57">
        <v>1.3515999999999999</v>
      </c>
      <c r="O900" t="s">
        <v>65</v>
      </c>
      <c r="P900" s="9">
        <v>46086</v>
      </c>
      <c r="Q900">
        <v>218.94</v>
      </c>
    </row>
    <row r="901" spans="1:17" x14ac:dyDescent="0.25">
      <c r="A901" s="10" t="s">
        <v>593</v>
      </c>
      <c r="B901" s="3" t="str">
        <f t="shared" si="46"/>
        <v>AMZN</v>
      </c>
      <c r="C901" s="3" t="str">
        <f t="shared" si="44"/>
        <v>260306</v>
      </c>
      <c r="D901" s="3" t="str">
        <f t="shared" si="45"/>
        <v>P00245000</v>
      </c>
      <c r="E901" s="41" t="s">
        <v>594</v>
      </c>
      <c r="F901" s="11">
        <v>245</v>
      </c>
      <c r="G901" s="41">
        <v>26.23</v>
      </c>
      <c r="H901" s="41">
        <v>24.25</v>
      </c>
      <c r="I901" s="41">
        <v>28.1</v>
      </c>
      <c r="J901" s="29">
        <v>-10.87</v>
      </c>
      <c r="K901" s="30">
        <v>-0.29299999999999998</v>
      </c>
      <c r="L901" s="41">
        <v>1</v>
      </c>
      <c r="M901" s="41">
        <v>0</v>
      </c>
      <c r="N901" s="57">
        <v>1.0820000000000001</v>
      </c>
      <c r="O901" t="s">
        <v>65</v>
      </c>
      <c r="P901" s="9">
        <v>46086</v>
      </c>
      <c r="Q901">
        <v>218.94</v>
      </c>
    </row>
    <row r="902" spans="1:17" x14ac:dyDescent="0.25">
      <c r="A902" s="10" t="s">
        <v>595</v>
      </c>
      <c r="B902" s="3" t="str">
        <f t="shared" si="46"/>
        <v>AMZN</v>
      </c>
      <c r="C902" s="3" t="str">
        <f t="shared" si="44"/>
        <v>260306</v>
      </c>
      <c r="D902" s="3" t="str">
        <f t="shared" si="45"/>
        <v>P00250000</v>
      </c>
      <c r="E902" s="41" t="s">
        <v>596</v>
      </c>
      <c r="F902" s="11">
        <v>250</v>
      </c>
      <c r="G902" s="41">
        <v>41.85</v>
      </c>
      <c r="H902" s="41">
        <v>29.25</v>
      </c>
      <c r="I902" s="41">
        <v>33.1</v>
      </c>
      <c r="J902" s="27">
        <v>0</v>
      </c>
      <c r="K902" s="28">
        <v>0</v>
      </c>
      <c r="L902" s="41">
        <v>1</v>
      </c>
      <c r="M902" s="41">
        <v>0</v>
      </c>
      <c r="N902" s="57">
        <v>1.2422</v>
      </c>
      <c r="O902" t="s">
        <v>65</v>
      </c>
      <c r="P902" s="9">
        <v>46086</v>
      </c>
      <c r="Q902">
        <v>218.94</v>
      </c>
    </row>
    <row r="903" spans="1:17" x14ac:dyDescent="0.25">
      <c r="A903" s="10" t="s">
        <v>597</v>
      </c>
      <c r="B903" s="3" t="str">
        <f t="shared" si="46"/>
        <v>AMZN</v>
      </c>
      <c r="C903" s="3" t="str">
        <f t="shared" si="44"/>
        <v>260306</v>
      </c>
      <c r="D903" s="3" t="str">
        <f t="shared" si="45"/>
        <v>P00255000</v>
      </c>
      <c r="E903" s="41" t="s">
        <v>598</v>
      </c>
      <c r="F903" s="11">
        <v>255</v>
      </c>
      <c r="G903" s="41">
        <v>56.09</v>
      </c>
      <c r="H903" s="41">
        <v>34.25</v>
      </c>
      <c r="I903" s="41">
        <v>38.1</v>
      </c>
      <c r="J903" s="27">
        <v>0</v>
      </c>
      <c r="K903" s="28">
        <v>0</v>
      </c>
      <c r="L903" s="41">
        <v>1</v>
      </c>
      <c r="M903" s="41">
        <v>0</v>
      </c>
      <c r="N903" s="57">
        <v>1.3945000000000001</v>
      </c>
      <c r="O903" t="s">
        <v>65</v>
      </c>
      <c r="P903" s="9">
        <v>46086</v>
      </c>
      <c r="Q903">
        <v>218.94</v>
      </c>
    </row>
    <row r="904" spans="1:17" x14ac:dyDescent="0.25">
      <c r="A904" s="10" t="s">
        <v>599</v>
      </c>
      <c r="B904" s="3" t="str">
        <f t="shared" si="46"/>
        <v>AMZN</v>
      </c>
      <c r="C904" s="3" t="str">
        <f t="shared" si="44"/>
        <v>260306</v>
      </c>
      <c r="D904" s="3" t="str">
        <f t="shared" si="45"/>
        <v>P00260000</v>
      </c>
      <c r="E904" s="42">
        <v>46328.491666666669</v>
      </c>
      <c r="F904" s="11">
        <v>260</v>
      </c>
      <c r="G904" s="41">
        <v>56.5</v>
      </c>
      <c r="H904" s="41">
        <v>39.25</v>
      </c>
      <c r="I904" s="41">
        <v>43.1</v>
      </c>
      <c r="J904" s="27">
        <v>0</v>
      </c>
      <c r="K904" s="28">
        <v>0</v>
      </c>
      <c r="L904" s="41">
        <v>3</v>
      </c>
      <c r="M904" s="41">
        <v>0</v>
      </c>
      <c r="N904" s="57">
        <v>1.5429999999999999</v>
      </c>
      <c r="O904" t="s">
        <v>65</v>
      </c>
      <c r="P904" s="9">
        <v>46086</v>
      </c>
      <c r="Q904">
        <v>218.94</v>
      </c>
    </row>
    <row r="905" spans="1:17" x14ac:dyDescent="0.25">
      <c r="A905" s="10" t="s">
        <v>600</v>
      </c>
      <c r="B905" s="3" t="str">
        <f t="shared" si="46"/>
        <v>AMZN</v>
      </c>
      <c r="C905" s="3" t="str">
        <f t="shared" si="44"/>
        <v>260306</v>
      </c>
      <c r="D905" s="3" t="str">
        <f t="shared" si="45"/>
        <v>P00265000</v>
      </c>
      <c r="E905" s="42">
        <v>46328.401388888888</v>
      </c>
      <c r="F905" s="11">
        <v>265</v>
      </c>
      <c r="G905" s="41">
        <v>58.85</v>
      </c>
      <c r="H905" s="41">
        <v>44.25</v>
      </c>
      <c r="I905" s="41">
        <v>48.1</v>
      </c>
      <c r="J905" s="27">
        <v>0</v>
      </c>
      <c r="K905" s="28">
        <v>0</v>
      </c>
      <c r="L905" s="41">
        <v>1</v>
      </c>
      <c r="M905" s="41">
        <v>0</v>
      </c>
      <c r="N905" s="57">
        <v>1.6875</v>
      </c>
      <c r="O905" t="s">
        <v>65</v>
      </c>
      <c r="P905" s="9">
        <v>46086</v>
      </c>
      <c r="Q905">
        <v>218.94</v>
      </c>
    </row>
    <row r="906" spans="1:17" x14ac:dyDescent="0.25">
      <c r="A906" s="10" t="s">
        <v>601</v>
      </c>
      <c r="B906" s="3" t="str">
        <f t="shared" si="46"/>
        <v>AMZN</v>
      </c>
      <c r="C906" s="3" t="str">
        <f t="shared" si="44"/>
        <v>260306</v>
      </c>
      <c r="D906" s="3" t="str">
        <f t="shared" si="45"/>
        <v>P00270000</v>
      </c>
      <c r="E906" s="42">
        <v>46175.429166666669</v>
      </c>
      <c r="F906" s="11">
        <v>270</v>
      </c>
      <c r="G906" s="41">
        <v>66.37</v>
      </c>
      <c r="H906" s="41">
        <v>49.3</v>
      </c>
      <c r="I906" s="41">
        <v>53.1</v>
      </c>
      <c r="J906" s="27">
        <v>0</v>
      </c>
      <c r="K906" s="28">
        <v>0</v>
      </c>
      <c r="L906" s="41">
        <v>4</v>
      </c>
      <c r="M906" s="41">
        <v>0</v>
      </c>
      <c r="N906" s="57">
        <v>1.875</v>
      </c>
      <c r="O906" t="s">
        <v>65</v>
      </c>
      <c r="P906" s="9">
        <v>46086</v>
      </c>
      <c r="Q906">
        <v>218.94</v>
      </c>
    </row>
    <row r="907" spans="1:17" x14ac:dyDescent="0.25">
      <c r="A907" s="10" t="s">
        <v>602</v>
      </c>
      <c r="B907" s="3" t="str">
        <f t="shared" si="46"/>
        <v>AMZN</v>
      </c>
      <c r="C907" s="3" t="str">
        <f t="shared" si="44"/>
        <v>260306</v>
      </c>
      <c r="D907" s="3" t="str">
        <f t="shared" si="45"/>
        <v>P00275000</v>
      </c>
      <c r="E907" s="42">
        <v>46083.538888888892</v>
      </c>
      <c r="F907" s="11">
        <v>275</v>
      </c>
      <c r="G907" s="41">
        <v>38.119999999999997</v>
      </c>
      <c r="H907" s="41">
        <v>54.25</v>
      </c>
      <c r="I907" s="41">
        <v>58.1</v>
      </c>
      <c r="J907" s="27">
        <v>0</v>
      </c>
      <c r="K907" s="28">
        <v>0</v>
      </c>
      <c r="L907" s="41">
        <v>1</v>
      </c>
      <c r="M907" s="41">
        <v>0</v>
      </c>
      <c r="N907" s="57">
        <v>1.9609000000000001</v>
      </c>
      <c r="O907" t="s">
        <v>65</v>
      </c>
      <c r="P907" s="9">
        <v>46086</v>
      </c>
      <c r="Q907">
        <v>218.94</v>
      </c>
    </row>
    <row r="908" spans="1:17" x14ac:dyDescent="0.25">
      <c r="A908" s="10" t="s">
        <v>603</v>
      </c>
      <c r="B908" s="3" t="str">
        <f t="shared" si="46"/>
        <v>AMZN</v>
      </c>
      <c r="C908" s="3" t="str">
        <f t="shared" si="44"/>
        <v>260306</v>
      </c>
      <c r="D908" s="3" t="str">
        <f t="shared" si="45"/>
        <v>P00280000</v>
      </c>
      <c r="E908" s="42">
        <v>46144.453472222223</v>
      </c>
      <c r="F908" s="11">
        <v>280</v>
      </c>
      <c r="G908" s="41">
        <v>58.03</v>
      </c>
      <c r="H908" s="41">
        <v>59.25</v>
      </c>
      <c r="I908" s="41">
        <v>63.1</v>
      </c>
      <c r="J908" s="27">
        <v>0</v>
      </c>
      <c r="K908" s="28">
        <v>0</v>
      </c>
      <c r="L908" s="41">
        <v>1</v>
      </c>
      <c r="M908" s="41">
        <v>0</v>
      </c>
      <c r="N908" s="57">
        <v>2.0897999999999999</v>
      </c>
      <c r="O908" t="s">
        <v>65</v>
      </c>
      <c r="P908" s="9">
        <v>46086</v>
      </c>
      <c r="Q908">
        <v>218.94</v>
      </c>
    </row>
    <row r="909" spans="1:17" x14ac:dyDescent="0.25">
      <c r="A909" s="10" t="s">
        <v>604</v>
      </c>
      <c r="B909" s="3" t="str">
        <f t="shared" si="46"/>
        <v>AMZN</v>
      </c>
      <c r="C909" s="3" t="str">
        <f t="shared" si="44"/>
        <v>260306</v>
      </c>
      <c r="D909" s="3" t="str">
        <f t="shared" si="45"/>
        <v>P00295000</v>
      </c>
      <c r="E909" s="42">
        <v>46055.554166666669</v>
      </c>
      <c r="F909" s="11">
        <v>295</v>
      </c>
      <c r="G909" s="41">
        <v>51</v>
      </c>
      <c r="H909" s="41">
        <v>74.25</v>
      </c>
      <c r="I909" s="41">
        <v>78.099999999999994</v>
      </c>
      <c r="J909" s="27">
        <v>0</v>
      </c>
      <c r="K909" s="28">
        <v>0</v>
      </c>
      <c r="L909" s="41" t="s">
        <v>113</v>
      </c>
      <c r="M909" s="41">
        <v>0</v>
      </c>
      <c r="N909" s="57">
        <v>2.4609000000000001</v>
      </c>
      <c r="O909" t="s">
        <v>65</v>
      </c>
      <c r="P909" s="9">
        <v>46086</v>
      </c>
      <c r="Q909">
        <v>218.94</v>
      </c>
    </row>
    <row r="910" spans="1:17" x14ac:dyDescent="0.25">
      <c r="A910" s="10" t="s">
        <v>605</v>
      </c>
      <c r="B910" s="3" t="str">
        <f t="shared" si="46"/>
        <v>AMZN</v>
      </c>
      <c r="C910" s="3" t="str">
        <f t="shared" si="44"/>
        <v>260306</v>
      </c>
      <c r="D910" s="3" t="str">
        <f t="shared" si="45"/>
        <v>P00310000</v>
      </c>
      <c r="E910" s="42">
        <v>46144.472222222219</v>
      </c>
      <c r="F910" s="11">
        <v>310</v>
      </c>
      <c r="G910" s="41">
        <v>86.5</v>
      </c>
      <c r="H910" s="41">
        <v>89.25</v>
      </c>
      <c r="I910" s="41">
        <v>93.1</v>
      </c>
      <c r="J910" s="27">
        <v>0</v>
      </c>
      <c r="K910" s="28">
        <v>0</v>
      </c>
      <c r="L910" s="41" t="s">
        <v>113</v>
      </c>
      <c r="M910" s="41">
        <v>0</v>
      </c>
      <c r="N910" s="57">
        <v>2.8086000000000002</v>
      </c>
      <c r="O910" t="s">
        <v>65</v>
      </c>
      <c r="P910" s="9">
        <v>46086</v>
      </c>
      <c r="Q910">
        <v>218.94</v>
      </c>
    </row>
    <row r="911" spans="1:17" x14ac:dyDescent="0.25">
      <c r="A911" s="10" t="s">
        <v>606</v>
      </c>
      <c r="B911" s="3" t="str">
        <f t="shared" si="46"/>
        <v>AMZN</v>
      </c>
      <c r="C911" s="3" t="str">
        <f t="shared" si="44"/>
        <v>260318</v>
      </c>
      <c r="D911" s="3" t="str">
        <f t="shared" si="45"/>
        <v>C00150000</v>
      </c>
      <c r="E911" s="42">
        <v>46145.425000000003</v>
      </c>
      <c r="F911" s="11">
        <v>150</v>
      </c>
      <c r="G911" s="41">
        <v>68.540000000000006</v>
      </c>
      <c r="H911" s="41">
        <v>61.9</v>
      </c>
      <c r="I911" s="41">
        <v>65.75</v>
      </c>
      <c r="J911" s="27">
        <v>0</v>
      </c>
      <c r="K911" s="28">
        <v>0</v>
      </c>
      <c r="L911" s="41" t="s">
        <v>113</v>
      </c>
      <c r="M911" s="41">
        <v>1</v>
      </c>
      <c r="N911" s="57">
        <v>2.4022999999999999</v>
      </c>
      <c r="O911" t="s">
        <v>62</v>
      </c>
      <c r="P911" s="9">
        <v>46098</v>
      </c>
      <c r="Q911">
        <v>213.5</v>
      </c>
    </row>
    <row r="912" spans="1:17" x14ac:dyDescent="0.25">
      <c r="A912" s="10" t="s">
        <v>607</v>
      </c>
      <c r="B912" s="3" t="str">
        <f t="shared" si="46"/>
        <v>AMZN</v>
      </c>
      <c r="C912" s="3" t="str">
        <f t="shared" si="44"/>
        <v>260318</v>
      </c>
      <c r="D912" s="3" t="str">
        <f t="shared" si="45"/>
        <v>C00170000</v>
      </c>
      <c r="E912" s="41" t="s">
        <v>608</v>
      </c>
      <c r="F912" s="11">
        <v>170</v>
      </c>
      <c r="G912" s="41">
        <v>44</v>
      </c>
      <c r="H912" s="41">
        <v>41.9</v>
      </c>
      <c r="I912" s="41">
        <v>45.8</v>
      </c>
      <c r="J912" s="25">
        <v>6.88</v>
      </c>
      <c r="K912" s="26">
        <v>0.18529999999999999</v>
      </c>
      <c r="L912" s="41">
        <v>5</v>
      </c>
      <c r="M912" s="41">
        <v>7</v>
      </c>
      <c r="N912" s="57">
        <v>1.6758</v>
      </c>
      <c r="O912" t="s">
        <v>62</v>
      </c>
      <c r="P912" s="9">
        <v>46098</v>
      </c>
      <c r="Q912">
        <v>213.5</v>
      </c>
    </row>
    <row r="913" spans="1:17" x14ac:dyDescent="0.25">
      <c r="A913" s="10" t="s">
        <v>609</v>
      </c>
      <c r="B913" s="3" t="str">
        <f t="shared" si="46"/>
        <v>AMZN</v>
      </c>
      <c r="C913" s="3" t="str">
        <f t="shared" si="44"/>
        <v>260318</v>
      </c>
      <c r="D913" s="3" t="str">
        <f t="shared" si="45"/>
        <v>C00175000</v>
      </c>
      <c r="E913" s="42">
        <v>46359.660416666666</v>
      </c>
      <c r="F913" s="11">
        <v>175</v>
      </c>
      <c r="G913" s="41">
        <v>35.200000000000003</v>
      </c>
      <c r="H913" s="41">
        <v>36.9</v>
      </c>
      <c r="I913" s="41">
        <v>40.75</v>
      </c>
      <c r="J913" s="27">
        <v>0</v>
      </c>
      <c r="K913" s="28">
        <v>0</v>
      </c>
      <c r="L913" s="41" t="s">
        <v>113</v>
      </c>
      <c r="M913" s="41">
        <v>1</v>
      </c>
      <c r="N913" s="57">
        <v>1.4706999999999999</v>
      </c>
      <c r="O913" t="s">
        <v>62</v>
      </c>
      <c r="P913" s="9">
        <v>46098</v>
      </c>
      <c r="Q913">
        <v>213.5</v>
      </c>
    </row>
    <row r="914" spans="1:17" x14ac:dyDescent="0.25">
      <c r="A914" s="10" t="s">
        <v>610</v>
      </c>
      <c r="B914" s="3" t="str">
        <f t="shared" si="46"/>
        <v>AMZN</v>
      </c>
      <c r="C914" s="3" t="str">
        <f t="shared" si="44"/>
        <v>260318</v>
      </c>
      <c r="D914" s="3" t="str">
        <f t="shared" si="45"/>
        <v>C00180000</v>
      </c>
      <c r="E914" s="41" t="s">
        <v>611</v>
      </c>
      <c r="F914" s="11">
        <v>180</v>
      </c>
      <c r="G914" s="41">
        <v>34.18</v>
      </c>
      <c r="H914" s="41">
        <v>32.200000000000003</v>
      </c>
      <c r="I914" s="41">
        <v>35.75</v>
      </c>
      <c r="J914" s="29">
        <v>-2.99</v>
      </c>
      <c r="K914" s="30">
        <v>-8.0399999999999999E-2</v>
      </c>
      <c r="L914" s="41">
        <v>1</v>
      </c>
      <c r="M914" s="41">
        <v>7</v>
      </c>
      <c r="N914" s="57">
        <v>1.4063000000000001</v>
      </c>
      <c r="O914" t="s">
        <v>62</v>
      </c>
      <c r="P914" s="9">
        <v>46098</v>
      </c>
      <c r="Q914">
        <v>213.5</v>
      </c>
    </row>
    <row r="915" spans="1:17" x14ac:dyDescent="0.25">
      <c r="A915" s="10" t="s">
        <v>612</v>
      </c>
      <c r="B915" s="3" t="str">
        <f t="shared" si="46"/>
        <v>AMZN</v>
      </c>
      <c r="C915" s="3" t="str">
        <f t="shared" si="44"/>
        <v>260318</v>
      </c>
      <c r="D915" s="3" t="str">
        <f t="shared" si="45"/>
        <v>C00190000</v>
      </c>
      <c r="E915" s="41" t="s">
        <v>613</v>
      </c>
      <c r="F915" s="11">
        <v>190</v>
      </c>
      <c r="G915" s="41">
        <v>24.05</v>
      </c>
      <c r="H915" s="41">
        <v>23.1</v>
      </c>
      <c r="I915" s="41">
        <v>24.25</v>
      </c>
      <c r="J915" s="25">
        <v>1.92</v>
      </c>
      <c r="K915" s="26">
        <v>8.6800000000000002E-2</v>
      </c>
      <c r="L915" s="41">
        <v>3</v>
      </c>
      <c r="M915" s="41">
        <v>48</v>
      </c>
      <c r="N915" s="57">
        <v>0.82420000000000004</v>
      </c>
      <c r="O915" t="s">
        <v>62</v>
      </c>
      <c r="P915" s="9">
        <v>46098</v>
      </c>
      <c r="Q915">
        <v>213.5</v>
      </c>
    </row>
    <row r="916" spans="1:17" x14ac:dyDescent="0.25">
      <c r="A916" s="10" t="s">
        <v>614</v>
      </c>
      <c r="B916" s="3" t="str">
        <f t="shared" si="46"/>
        <v>AMZN</v>
      </c>
      <c r="C916" s="3" t="str">
        <f t="shared" si="44"/>
        <v>260318</v>
      </c>
      <c r="D916" s="3" t="str">
        <f t="shared" si="45"/>
        <v>C00192500</v>
      </c>
      <c r="E916" s="41" t="s">
        <v>615</v>
      </c>
      <c r="F916" s="11">
        <v>192.5</v>
      </c>
      <c r="G916" s="41">
        <v>21.63</v>
      </c>
      <c r="H916" s="41">
        <v>19.55</v>
      </c>
      <c r="I916" s="41">
        <v>23.3</v>
      </c>
      <c r="J916" s="25">
        <v>6.63</v>
      </c>
      <c r="K916" s="26">
        <v>0.442</v>
      </c>
      <c r="L916" s="41">
        <v>2</v>
      </c>
      <c r="M916" s="41">
        <v>11</v>
      </c>
      <c r="N916" s="57">
        <v>0.91800000000000004</v>
      </c>
      <c r="O916" t="s">
        <v>62</v>
      </c>
      <c r="P916" s="9">
        <v>46098</v>
      </c>
      <c r="Q916">
        <v>213.5</v>
      </c>
    </row>
    <row r="917" spans="1:17" x14ac:dyDescent="0.25">
      <c r="A917" s="10" t="s">
        <v>616</v>
      </c>
      <c r="B917" s="3" t="str">
        <f t="shared" si="46"/>
        <v>AMZN</v>
      </c>
      <c r="C917" s="3" t="str">
        <f t="shared" si="44"/>
        <v>260318</v>
      </c>
      <c r="D917" s="3" t="str">
        <f t="shared" si="45"/>
        <v>C00195000</v>
      </c>
      <c r="E917" s="41" t="s">
        <v>615</v>
      </c>
      <c r="F917" s="11">
        <v>195</v>
      </c>
      <c r="G917" s="41">
        <v>19.21</v>
      </c>
      <c r="H917" s="41">
        <v>17.350000000000001</v>
      </c>
      <c r="I917" s="41">
        <v>19.45</v>
      </c>
      <c r="J917" s="25">
        <v>6.41</v>
      </c>
      <c r="K917" s="26">
        <v>0.50080000000000002</v>
      </c>
      <c r="L917" s="41">
        <v>2</v>
      </c>
      <c r="M917" s="58">
        <v>1057</v>
      </c>
      <c r="N917" s="57">
        <v>1.0356000000000001</v>
      </c>
      <c r="O917" t="s">
        <v>62</v>
      </c>
      <c r="P917" s="9">
        <v>46098</v>
      </c>
      <c r="Q917">
        <v>213.5</v>
      </c>
    </row>
    <row r="918" spans="1:17" x14ac:dyDescent="0.25">
      <c r="A918" s="10" t="s">
        <v>617</v>
      </c>
      <c r="B918" s="3" t="str">
        <f t="shared" si="46"/>
        <v>AMZN</v>
      </c>
      <c r="C918" s="3" t="str">
        <f t="shared" si="44"/>
        <v>260318</v>
      </c>
      <c r="D918" s="3" t="str">
        <f t="shared" si="45"/>
        <v>C00197500</v>
      </c>
      <c r="E918" s="41" t="s">
        <v>618</v>
      </c>
      <c r="F918" s="11">
        <v>197.5</v>
      </c>
      <c r="G918" s="41">
        <v>15.25</v>
      </c>
      <c r="H918" s="41">
        <v>14.85</v>
      </c>
      <c r="I918" s="41">
        <v>18.399999999999999</v>
      </c>
      <c r="J918" s="25">
        <v>1.05</v>
      </c>
      <c r="K918" s="26">
        <v>7.3899999999999993E-2</v>
      </c>
      <c r="L918" s="41">
        <v>1</v>
      </c>
      <c r="M918" s="41">
        <v>38</v>
      </c>
      <c r="N918" s="57">
        <v>0.81840000000000002</v>
      </c>
      <c r="O918" t="s">
        <v>62</v>
      </c>
      <c r="P918" s="9">
        <v>46098</v>
      </c>
      <c r="Q918">
        <v>213.5</v>
      </c>
    </row>
    <row r="919" spans="1:17" x14ac:dyDescent="0.25">
      <c r="A919" s="10" t="s">
        <v>619</v>
      </c>
      <c r="B919" s="3" t="str">
        <f t="shared" si="46"/>
        <v>AMZN</v>
      </c>
      <c r="C919" s="3" t="str">
        <f t="shared" si="44"/>
        <v>260318</v>
      </c>
      <c r="D919" s="3" t="str">
        <f t="shared" si="45"/>
        <v>C00200000</v>
      </c>
      <c r="E919" s="41" t="s">
        <v>620</v>
      </c>
      <c r="F919" s="11">
        <v>200</v>
      </c>
      <c r="G919" s="41">
        <v>13.53</v>
      </c>
      <c r="H919" s="41">
        <v>12.7</v>
      </c>
      <c r="I919" s="41">
        <v>15.6</v>
      </c>
      <c r="J919" s="25">
        <v>1.63</v>
      </c>
      <c r="K919" s="26">
        <v>0.13700000000000001</v>
      </c>
      <c r="L919" s="41">
        <v>21</v>
      </c>
      <c r="M919" s="41">
        <v>314</v>
      </c>
      <c r="N919" s="57">
        <v>0.72850000000000004</v>
      </c>
      <c r="O919" t="s">
        <v>62</v>
      </c>
      <c r="P919" s="9">
        <v>46098</v>
      </c>
      <c r="Q919">
        <v>213.5</v>
      </c>
    </row>
    <row r="920" spans="1:17" x14ac:dyDescent="0.25">
      <c r="A920" s="10" t="s">
        <v>621</v>
      </c>
      <c r="B920" s="3" t="str">
        <f t="shared" si="46"/>
        <v>AMZN</v>
      </c>
      <c r="C920" s="3" t="str">
        <f t="shared" si="44"/>
        <v>260318</v>
      </c>
      <c r="D920" s="3" t="str">
        <f t="shared" si="45"/>
        <v>C00202500</v>
      </c>
      <c r="E920" s="41" t="s">
        <v>622</v>
      </c>
      <c r="F920" s="11">
        <v>202.5</v>
      </c>
      <c r="G920" s="41">
        <v>11.62</v>
      </c>
      <c r="H920" s="41">
        <v>11.15</v>
      </c>
      <c r="I920" s="41">
        <v>12.05</v>
      </c>
      <c r="J920" s="25">
        <v>2.62</v>
      </c>
      <c r="K920" s="26">
        <v>0.29110000000000003</v>
      </c>
      <c r="L920" s="41">
        <v>9</v>
      </c>
      <c r="M920" s="41">
        <v>317</v>
      </c>
      <c r="N920" s="57">
        <v>0.61040000000000005</v>
      </c>
      <c r="O920" t="s">
        <v>62</v>
      </c>
      <c r="P920" s="9">
        <v>46098</v>
      </c>
      <c r="Q920">
        <v>213.5</v>
      </c>
    </row>
    <row r="921" spans="1:17" x14ac:dyDescent="0.25">
      <c r="A921" s="10" t="s">
        <v>623</v>
      </c>
      <c r="B921" s="3" t="str">
        <f t="shared" si="46"/>
        <v>AMZN</v>
      </c>
      <c r="C921" s="3" t="str">
        <f t="shared" si="44"/>
        <v>260318</v>
      </c>
      <c r="D921" s="3" t="str">
        <f t="shared" si="45"/>
        <v>C00205000</v>
      </c>
      <c r="E921" s="41" t="s">
        <v>624</v>
      </c>
      <c r="F921" s="11">
        <v>205</v>
      </c>
      <c r="G921" s="41">
        <v>9.11</v>
      </c>
      <c r="H921" s="41">
        <v>8.75</v>
      </c>
      <c r="I921" s="41">
        <v>9.15</v>
      </c>
      <c r="J921" s="25">
        <v>1.76</v>
      </c>
      <c r="K921" s="26">
        <v>0.23949999999999999</v>
      </c>
      <c r="L921" s="41">
        <v>66</v>
      </c>
      <c r="M921" s="41">
        <v>653</v>
      </c>
      <c r="N921" s="57">
        <v>0.52249999999999996</v>
      </c>
      <c r="O921" t="s">
        <v>62</v>
      </c>
      <c r="P921" s="9">
        <v>46098</v>
      </c>
      <c r="Q921">
        <v>213.5</v>
      </c>
    </row>
    <row r="922" spans="1:17" x14ac:dyDescent="0.25">
      <c r="A922" s="10" t="s">
        <v>625</v>
      </c>
      <c r="B922" s="3" t="str">
        <f t="shared" si="46"/>
        <v>AMZN</v>
      </c>
      <c r="C922" s="3" t="str">
        <f t="shared" si="44"/>
        <v>260318</v>
      </c>
      <c r="D922" s="3" t="str">
        <f t="shared" si="45"/>
        <v>C00207500</v>
      </c>
      <c r="E922" s="41" t="s">
        <v>626</v>
      </c>
      <c r="F922" s="11">
        <v>207.5</v>
      </c>
      <c r="G922" s="41">
        <v>6.6</v>
      </c>
      <c r="H922" s="41">
        <v>6.35</v>
      </c>
      <c r="I922" s="41">
        <v>6.8</v>
      </c>
      <c r="J922" s="25">
        <v>1.63</v>
      </c>
      <c r="K922" s="26">
        <v>0.32800000000000001</v>
      </c>
      <c r="L922" s="41">
        <v>85</v>
      </c>
      <c r="M922" s="58">
        <v>1158</v>
      </c>
      <c r="N922" s="57">
        <v>0.45019999999999999</v>
      </c>
      <c r="O922" t="s">
        <v>62</v>
      </c>
      <c r="P922" s="9">
        <v>46098</v>
      </c>
      <c r="Q922">
        <v>213.5</v>
      </c>
    </row>
    <row r="923" spans="1:17" x14ac:dyDescent="0.25">
      <c r="A923" s="10" t="s">
        <v>627</v>
      </c>
      <c r="B923" s="3" t="str">
        <f t="shared" si="46"/>
        <v>AMZN</v>
      </c>
      <c r="C923" s="3" t="str">
        <f t="shared" si="44"/>
        <v>260318</v>
      </c>
      <c r="D923" s="3" t="str">
        <f t="shared" si="45"/>
        <v>C00210000</v>
      </c>
      <c r="E923" s="41" t="s">
        <v>628</v>
      </c>
      <c r="F923" s="11">
        <v>210</v>
      </c>
      <c r="G923" s="41">
        <v>4.5599999999999996</v>
      </c>
      <c r="H923" s="41">
        <v>4.3</v>
      </c>
      <c r="I923" s="41">
        <v>4.4000000000000004</v>
      </c>
      <c r="J923" s="25">
        <v>1.1599999999999999</v>
      </c>
      <c r="K923" s="26">
        <v>0.3412</v>
      </c>
      <c r="L923" s="41">
        <v>634</v>
      </c>
      <c r="M923" s="58">
        <v>2476</v>
      </c>
      <c r="N923" s="57">
        <v>0.34939999999999999</v>
      </c>
      <c r="O923" t="s">
        <v>62</v>
      </c>
      <c r="P923" s="9">
        <v>46098</v>
      </c>
      <c r="Q923">
        <v>213.5</v>
      </c>
    </row>
    <row r="924" spans="1:17" x14ac:dyDescent="0.25">
      <c r="A924" s="10" t="s">
        <v>629</v>
      </c>
      <c r="B924" s="3" t="str">
        <f t="shared" si="46"/>
        <v>AMZN</v>
      </c>
      <c r="C924" s="3" t="str">
        <f t="shared" si="44"/>
        <v>260318</v>
      </c>
      <c r="D924" s="3" t="str">
        <f t="shared" si="45"/>
        <v>C00212500</v>
      </c>
      <c r="E924" s="41" t="s">
        <v>630</v>
      </c>
      <c r="F924" s="11">
        <v>212.5</v>
      </c>
      <c r="G924" s="41">
        <v>2.4900000000000002</v>
      </c>
      <c r="H924" s="41">
        <v>2.4500000000000002</v>
      </c>
      <c r="I924" s="41">
        <v>2.4900000000000002</v>
      </c>
      <c r="J924" s="25">
        <v>0.53</v>
      </c>
      <c r="K924" s="26">
        <v>0.27039999999999997</v>
      </c>
      <c r="L924" s="58">
        <v>7123</v>
      </c>
      <c r="M924" s="58">
        <v>5235</v>
      </c>
      <c r="N924" s="57">
        <v>0.30570000000000003</v>
      </c>
      <c r="O924" t="s">
        <v>62</v>
      </c>
      <c r="P924" s="9">
        <v>46098</v>
      </c>
      <c r="Q924">
        <v>213.5</v>
      </c>
    </row>
    <row r="925" spans="1:17" x14ac:dyDescent="0.25">
      <c r="A925" s="10" t="s">
        <v>631</v>
      </c>
      <c r="B925" s="3" t="str">
        <f t="shared" si="46"/>
        <v>AMZN</v>
      </c>
      <c r="C925" s="3" t="str">
        <f t="shared" si="44"/>
        <v>260318</v>
      </c>
      <c r="D925" s="3" t="str">
        <f t="shared" si="45"/>
        <v>C00215000</v>
      </c>
      <c r="E925" s="41" t="s">
        <v>632</v>
      </c>
      <c r="F925" s="11">
        <v>215</v>
      </c>
      <c r="G925" s="41">
        <v>1.1000000000000001</v>
      </c>
      <c r="H925" s="41">
        <v>1.0900000000000001</v>
      </c>
      <c r="I925" s="41">
        <v>1.1100000000000001</v>
      </c>
      <c r="J925" s="25">
        <v>0.18</v>
      </c>
      <c r="K925" s="26">
        <v>0.19570000000000001</v>
      </c>
      <c r="L925" s="58">
        <v>35433</v>
      </c>
      <c r="M925" s="58">
        <v>5075</v>
      </c>
      <c r="N925" s="57">
        <v>0.27539999999999998</v>
      </c>
      <c r="O925" t="s">
        <v>62</v>
      </c>
      <c r="P925" s="9">
        <v>46098</v>
      </c>
      <c r="Q925">
        <v>213.5</v>
      </c>
    </row>
    <row r="926" spans="1:17" x14ac:dyDescent="0.25">
      <c r="A926" s="10" t="s">
        <v>633</v>
      </c>
      <c r="B926" s="3" t="str">
        <f t="shared" si="46"/>
        <v>AMZN</v>
      </c>
      <c r="C926" s="3" t="str">
        <f t="shared" si="44"/>
        <v>260318</v>
      </c>
      <c r="D926" s="3" t="str">
        <f t="shared" si="45"/>
        <v>C00217500</v>
      </c>
      <c r="E926" s="41" t="s">
        <v>632</v>
      </c>
      <c r="F926" s="11">
        <v>217.5</v>
      </c>
      <c r="G926" s="41">
        <v>0.36</v>
      </c>
      <c r="H926" s="41">
        <v>0.35</v>
      </c>
      <c r="I926" s="41">
        <v>0.36</v>
      </c>
      <c r="J926" s="29">
        <v>-0.02</v>
      </c>
      <c r="K926" s="30">
        <v>-5.4100000000000002E-2</v>
      </c>
      <c r="L926" s="58">
        <v>14546</v>
      </c>
      <c r="M926" s="58">
        <v>2839</v>
      </c>
      <c r="N926" s="57">
        <v>0.25590000000000002</v>
      </c>
      <c r="O926" t="s">
        <v>62</v>
      </c>
      <c r="P926" s="9">
        <v>46098</v>
      </c>
      <c r="Q926">
        <v>213.5</v>
      </c>
    </row>
    <row r="927" spans="1:17" x14ac:dyDescent="0.25">
      <c r="A927" s="10" t="s">
        <v>634</v>
      </c>
      <c r="B927" s="3" t="str">
        <f t="shared" si="46"/>
        <v>AMZN</v>
      </c>
      <c r="C927" s="3" t="str">
        <f t="shared" si="44"/>
        <v>260318</v>
      </c>
      <c r="D927" s="3" t="str">
        <f t="shared" si="45"/>
        <v>C00220000</v>
      </c>
      <c r="E927" s="41" t="s">
        <v>632</v>
      </c>
      <c r="F927" s="11">
        <v>220</v>
      </c>
      <c r="G927" s="41">
        <v>0.11</v>
      </c>
      <c r="H927" s="41">
        <v>0.11</v>
      </c>
      <c r="I927" s="41">
        <v>0.12</v>
      </c>
      <c r="J927" s="29">
        <v>-0.04</v>
      </c>
      <c r="K927" s="30">
        <v>-0.26669999999999999</v>
      </c>
      <c r="L927" s="58">
        <v>11989</v>
      </c>
      <c r="M927" s="58">
        <v>2006</v>
      </c>
      <c r="N927" s="57">
        <v>0.2656</v>
      </c>
      <c r="O927" t="s">
        <v>62</v>
      </c>
      <c r="P927" s="9">
        <v>46098</v>
      </c>
      <c r="Q927">
        <v>213.5</v>
      </c>
    </row>
    <row r="928" spans="1:17" x14ac:dyDescent="0.25">
      <c r="A928" s="10" t="s">
        <v>635</v>
      </c>
      <c r="B928" s="3" t="str">
        <f t="shared" si="46"/>
        <v>AMZN</v>
      </c>
      <c r="C928" s="3" t="str">
        <f t="shared" si="44"/>
        <v>260318</v>
      </c>
      <c r="D928" s="3" t="str">
        <f t="shared" si="45"/>
        <v>C00222500</v>
      </c>
      <c r="E928" s="41" t="s">
        <v>626</v>
      </c>
      <c r="F928" s="11">
        <v>222.5</v>
      </c>
      <c r="G928" s="41">
        <v>0.04</v>
      </c>
      <c r="H928" s="41">
        <v>0.04</v>
      </c>
      <c r="I928" s="41">
        <v>0.05</v>
      </c>
      <c r="J928" s="29">
        <v>-0.02</v>
      </c>
      <c r="K928" s="30">
        <v>-0.33329999999999999</v>
      </c>
      <c r="L928" s="41">
        <v>568</v>
      </c>
      <c r="M928" s="41">
        <v>632</v>
      </c>
      <c r="N928" s="57">
        <v>0.29099999999999998</v>
      </c>
      <c r="O928" t="s">
        <v>62</v>
      </c>
      <c r="P928" s="9">
        <v>46098</v>
      </c>
      <c r="Q928">
        <v>213.5</v>
      </c>
    </row>
    <row r="929" spans="1:17" x14ac:dyDescent="0.25">
      <c r="A929" s="10" t="s">
        <v>636</v>
      </c>
      <c r="B929" s="3" t="str">
        <f t="shared" si="46"/>
        <v>AMZN</v>
      </c>
      <c r="C929" s="3" t="str">
        <f t="shared" si="44"/>
        <v>260318</v>
      </c>
      <c r="D929" s="3" t="str">
        <f t="shared" si="45"/>
        <v>C00225000</v>
      </c>
      <c r="E929" s="41" t="s">
        <v>637</v>
      </c>
      <c r="F929" s="11">
        <v>225</v>
      </c>
      <c r="G929" s="41">
        <v>0.02</v>
      </c>
      <c r="H929" s="41">
        <v>0.02</v>
      </c>
      <c r="I929" s="41">
        <v>0.03</v>
      </c>
      <c r="J929" s="29">
        <v>-0.02</v>
      </c>
      <c r="K929" s="30">
        <v>-0.5</v>
      </c>
      <c r="L929" s="58">
        <v>1581</v>
      </c>
      <c r="M929" s="58">
        <v>1625</v>
      </c>
      <c r="N929" s="57">
        <v>0.3281</v>
      </c>
      <c r="O929" t="s">
        <v>62</v>
      </c>
      <c r="P929" s="9">
        <v>46098</v>
      </c>
      <c r="Q929">
        <v>213.5</v>
      </c>
    </row>
    <row r="930" spans="1:17" x14ac:dyDescent="0.25">
      <c r="A930" s="10" t="s">
        <v>638</v>
      </c>
      <c r="B930" s="3" t="str">
        <f t="shared" si="46"/>
        <v>AMZN</v>
      </c>
      <c r="C930" s="3" t="str">
        <f t="shared" si="44"/>
        <v>260318</v>
      </c>
      <c r="D930" s="3" t="str">
        <f t="shared" si="45"/>
        <v>C00227500</v>
      </c>
      <c r="E930" s="41" t="s">
        <v>632</v>
      </c>
      <c r="F930" s="11">
        <v>227.5</v>
      </c>
      <c r="G930" s="41">
        <v>0.01</v>
      </c>
      <c r="H930" s="41">
        <v>0.01</v>
      </c>
      <c r="I930" s="41">
        <v>0.02</v>
      </c>
      <c r="J930" s="29">
        <v>-0.01</v>
      </c>
      <c r="K930" s="30">
        <v>-0.33329999999999999</v>
      </c>
      <c r="L930" s="41">
        <v>937</v>
      </c>
      <c r="M930" s="41">
        <v>367</v>
      </c>
      <c r="N930" s="57">
        <v>0.36720000000000003</v>
      </c>
      <c r="O930" t="s">
        <v>62</v>
      </c>
      <c r="P930" s="9">
        <v>46098</v>
      </c>
      <c r="Q930">
        <v>213.5</v>
      </c>
    </row>
    <row r="931" spans="1:17" x14ac:dyDescent="0.25">
      <c r="A931" s="10" t="s">
        <v>639</v>
      </c>
      <c r="B931" s="3" t="str">
        <f t="shared" si="46"/>
        <v>AMZN</v>
      </c>
      <c r="C931" s="3" t="str">
        <f t="shared" si="44"/>
        <v>260318</v>
      </c>
      <c r="D931" s="3" t="str">
        <f t="shared" si="45"/>
        <v>C00230000</v>
      </c>
      <c r="E931" s="41" t="s">
        <v>640</v>
      </c>
      <c r="F931" s="11">
        <v>230</v>
      </c>
      <c r="G931" s="41">
        <v>0.02</v>
      </c>
      <c r="H931" s="41">
        <v>0.01</v>
      </c>
      <c r="I931" s="41">
        <v>0.02</v>
      </c>
      <c r="J931" s="25">
        <v>0.01</v>
      </c>
      <c r="K931" s="26">
        <v>1</v>
      </c>
      <c r="L931" s="41">
        <v>97</v>
      </c>
      <c r="M931" s="58">
        <v>1972</v>
      </c>
      <c r="N931" s="57">
        <v>0.4219</v>
      </c>
      <c r="O931" t="s">
        <v>62</v>
      </c>
      <c r="P931" s="9">
        <v>46098</v>
      </c>
      <c r="Q931">
        <v>213.5</v>
      </c>
    </row>
    <row r="932" spans="1:17" x14ac:dyDescent="0.25">
      <c r="A932" s="10" t="s">
        <v>641</v>
      </c>
      <c r="B932" s="3" t="str">
        <f t="shared" si="46"/>
        <v>AMZN</v>
      </c>
      <c r="C932" s="3" t="str">
        <f t="shared" si="44"/>
        <v>260318</v>
      </c>
      <c r="D932" s="3" t="str">
        <f t="shared" si="45"/>
        <v>C00232500</v>
      </c>
      <c r="E932" s="41" t="s">
        <v>642</v>
      </c>
      <c r="F932" s="11">
        <v>232.5</v>
      </c>
      <c r="G932" s="41">
        <v>0.01</v>
      </c>
      <c r="H932" s="41">
        <v>0</v>
      </c>
      <c r="I932" s="41">
        <v>0.01</v>
      </c>
      <c r="J932" s="27">
        <v>0</v>
      </c>
      <c r="K932" s="28">
        <v>0</v>
      </c>
      <c r="L932" s="41">
        <v>71</v>
      </c>
      <c r="M932" s="41">
        <v>55</v>
      </c>
      <c r="N932" s="57">
        <v>0.4375</v>
      </c>
      <c r="O932" t="s">
        <v>62</v>
      </c>
      <c r="P932" s="9">
        <v>46098</v>
      </c>
      <c r="Q932">
        <v>213.5</v>
      </c>
    </row>
    <row r="933" spans="1:17" x14ac:dyDescent="0.25">
      <c r="A933" s="10" t="s">
        <v>643</v>
      </c>
      <c r="B933" s="3" t="str">
        <f t="shared" si="46"/>
        <v>AMZN</v>
      </c>
      <c r="C933" s="3" t="str">
        <f t="shared" si="44"/>
        <v>260318</v>
      </c>
      <c r="D933" s="3" t="str">
        <f t="shared" si="45"/>
        <v>C00235000</v>
      </c>
      <c r="E933" s="41" t="s">
        <v>644</v>
      </c>
      <c r="F933" s="11">
        <v>235</v>
      </c>
      <c r="G933" s="41">
        <v>0.01</v>
      </c>
      <c r="H933" s="41">
        <v>0</v>
      </c>
      <c r="I933" s="41">
        <v>0.01</v>
      </c>
      <c r="J933" s="27">
        <v>0</v>
      </c>
      <c r="K933" s="28">
        <v>0</v>
      </c>
      <c r="L933" s="41">
        <v>5</v>
      </c>
      <c r="M933" s="41">
        <v>442</v>
      </c>
      <c r="N933" s="57">
        <v>0.4844</v>
      </c>
      <c r="O933" t="s">
        <v>62</v>
      </c>
      <c r="P933" s="9">
        <v>46098</v>
      </c>
      <c r="Q933">
        <v>213.5</v>
      </c>
    </row>
    <row r="934" spans="1:17" x14ac:dyDescent="0.25">
      <c r="A934" s="10" t="s">
        <v>645</v>
      </c>
      <c r="B934" s="3" t="str">
        <f t="shared" si="46"/>
        <v>AMZN</v>
      </c>
      <c r="C934" s="3" t="str">
        <f t="shared" si="44"/>
        <v>260318</v>
      </c>
      <c r="D934" s="3" t="str">
        <f t="shared" si="45"/>
        <v>C00240000</v>
      </c>
      <c r="E934" s="41" t="s">
        <v>646</v>
      </c>
      <c r="F934" s="11">
        <v>240</v>
      </c>
      <c r="G934" s="41">
        <v>0.01</v>
      </c>
      <c r="H934" s="41">
        <v>0</v>
      </c>
      <c r="I934" s="41">
        <v>0.01</v>
      </c>
      <c r="J934" s="27">
        <v>0</v>
      </c>
      <c r="K934" s="28">
        <v>0</v>
      </c>
      <c r="L934" s="41">
        <v>21</v>
      </c>
      <c r="M934" s="41">
        <v>138</v>
      </c>
      <c r="N934" s="57">
        <v>0.54690000000000005</v>
      </c>
      <c r="O934" t="s">
        <v>62</v>
      </c>
      <c r="P934" s="9">
        <v>46098</v>
      </c>
      <c r="Q934">
        <v>213.5</v>
      </c>
    </row>
    <row r="935" spans="1:17" x14ac:dyDescent="0.25">
      <c r="A935" s="10" t="s">
        <v>647</v>
      </c>
      <c r="B935" s="3" t="str">
        <f t="shared" si="46"/>
        <v>AMZN</v>
      </c>
      <c r="C935" s="3" t="str">
        <f t="shared" si="44"/>
        <v>260318</v>
      </c>
      <c r="D935" s="3" t="str">
        <f t="shared" si="45"/>
        <v>C00245000</v>
      </c>
      <c r="E935" s="41" t="s">
        <v>632</v>
      </c>
      <c r="F935" s="11">
        <v>245</v>
      </c>
      <c r="G935" s="41">
        <v>0.12</v>
      </c>
      <c r="H935" s="41">
        <v>0</v>
      </c>
      <c r="I935" s="41">
        <v>0.12</v>
      </c>
      <c r="J935" s="25">
        <v>0.11</v>
      </c>
      <c r="K935" s="26">
        <v>11</v>
      </c>
      <c r="L935" s="41">
        <v>3</v>
      </c>
      <c r="M935" s="41">
        <v>457</v>
      </c>
      <c r="N935" s="57">
        <v>0.82809999999999995</v>
      </c>
      <c r="O935" t="s">
        <v>62</v>
      </c>
      <c r="P935" s="9">
        <v>46098</v>
      </c>
      <c r="Q935">
        <v>213.5</v>
      </c>
    </row>
    <row r="936" spans="1:17" x14ac:dyDescent="0.25">
      <c r="A936" s="10" t="s">
        <v>648</v>
      </c>
      <c r="B936" s="3" t="str">
        <f t="shared" si="46"/>
        <v>AMZN</v>
      </c>
      <c r="C936" s="3" t="str">
        <f t="shared" si="44"/>
        <v>260318</v>
      </c>
      <c r="D936" s="3" t="str">
        <f t="shared" si="45"/>
        <v>C00250000</v>
      </c>
      <c r="E936" s="41" t="s">
        <v>649</v>
      </c>
      <c r="F936" s="11">
        <v>250</v>
      </c>
      <c r="G936" s="41">
        <v>0.11</v>
      </c>
      <c r="H936" s="41">
        <v>0</v>
      </c>
      <c r="I936" s="41">
        <v>0.04</v>
      </c>
      <c r="J936" s="25">
        <v>0.09</v>
      </c>
      <c r="K936" s="26">
        <v>4.5</v>
      </c>
      <c r="L936" s="41">
        <v>2</v>
      </c>
      <c r="M936" s="41">
        <v>10</v>
      </c>
      <c r="N936" s="57">
        <v>0.8125</v>
      </c>
      <c r="O936" t="s">
        <v>62</v>
      </c>
      <c r="P936" s="9">
        <v>46098</v>
      </c>
      <c r="Q936">
        <v>213.5</v>
      </c>
    </row>
    <row r="937" spans="1:17" x14ac:dyDescent="0.25">
      <c r="A937" s="10" t="s">
        <v>650</v>
      </c>
      <c r="B937" s="3" t="str">
        <f t="shared" si="46"/>
        <v>AMZN</v>
      </c>
      <c r="C937" s="3" t="str">
        <f t="shared" si="44"/>
        <v>260318</v>
      </c>
      <c r="D937" s="3" t="str">
        <f t="shared" si="45"/>
        <v>C00260000</v>
      </c>
      <c r="E937" s="41" t="s">
        <v>651</v>
      </c>
      <c r="F937" s="11">
        <v>260</v>
      </c>
      <c r="G937" s="41">
        <v>0.04</v>
      </c>
      <c r="H937" s="41">
        <v>0</v>
      </c>
      <c r="I937" s="41">
        <v>0.08</v>
      </c>
      <c r="J937" s="29">
        <v>-0.01</v>
      </c>
      <c r="K937" s="30">
        <v>-0.2</v>
      </c>
      <c r="L937" s="41">
        <v>52</v>
      </c>
      <c r="M937" s="41">
        <v>20</v>
      </c>
      <c r="N937" s="57">
        <v>1.0703</v>
      </c>
      <c r="O937" t="s">
        <v>62</v>
      </c>
      <c r="P937" s="9">
        <v>46098</v>
      </c>
      <c r="Q937">
        <v>213.5</v>
      </c>
    </row>
    <row r="938" spans="1:17" x14ac:dyDescent="0.25">
      <c r="A938" s="10" t="s">
        <v>652</v>
      </c>
      <c r="B938" s="3" t="str">
        <f t="shared" si="46"/>
        <v>AMZN</v>
      </c>
      <c r="C938" s="3" t="str">
        <f t="shared" si="44"/>
        <v>260318</v>
      </c>
      <c r="D938" s="3" t="str">
        <f t="shared" si="45"/>
        <v>C00265000</v>
      </c>
      <c r="E938" s="41" t="s">
        <v>613</v>
      </c>
      <c r="F938" s="11">
        <v>265</v>
      </c>
      <c r="G938" s="41">
        <v>0.06</v>
      </c>
      <c r="H938" s="41" t="s">
        <v>113</v>
      </c>
      <c r="I938" s="41">
        <v>0.15</v>
      </c>
      <c r="J938" s="25">
        <v>0.03</v>
      </c>
      <c r="K938" s="26">
        <v>1</v>
      </c>
      <c r="L938" s="41">
        <v>69</v>
      </c>
      <c r="M938" s="41">
        <v>16</v>
      </c>
      <c r="N938" s="57">
        <v>1.3789</v>
      </c>
      <c r="O938" t="s">
        <v>62</v>
      </c>
      <c r="P938" s="9">
        <v>46098</v>
      </c>
      <c r="Q938">
        <v>213.5</v>
      </c>
    </row>
    <row r="939" spans="1:17" x14ac:dyDescent="0.25">
      <c r="A939" s="10" t="s">
        <v>653</v>
      </c>
      <c r="B939" s="3" t="str">
        <f t="shared" si="46"/>
        <v>AMZN</v>
      </c>
      <c r="C939" s="3" t="str">
        <f t="shared" si="44"/>
        <v>260318</v>
      </c>
      <c r="D939" s="3" t="str">
        <f t="shared" si="45"/>
        <v>C00270000</v>
      </c>
      <c r="E939" s="41" t="s">
        <v>640</v>
      </c>
      <c r="F939" s="11">
        <v>270</v>
      </c>
      <c r="G939" s="41">
        <v>0.02</v>
      </c>
      <c r="H939" s="41" t="s">
        <v>113</v>
      </c>
      <c r="I939" s="41">
        <v>7.0000000000000007E-2</v>
      </c>
      <c r="J939" s="29">
        <v>-0.01</v>
      </c>
      <c r="K939" s="30">
        <v>-0.33329999999999999</v>
      </c>
      <c r="L939" s="41">
        <v>123</v>
      </c>
      <c r="M939" s="41">
        <v>4</v>
      </c>
      <c r="N939" s="57">
        <v>1.3359000000000001</v>
      </c>
      <c r="O939" t="s">
        <v>62</v>
      </c>
      <c r="P939" s="9">
        <v>46098</v>
      </c>
      <c r="Q939">
        <v>213.5</v>
      </c>
    </row>
    <row r="940" spans="1:17" x14ac:dyDescent="0.25">
      <c r="A940" s="10" t="s">
        <v>654</v>
      </c>
      <c r="B940" s="3" t="str">
        <f t="shared" si="46"/>
        <v>AMZN</v>
      </c>
      <c r="C940" s="3" t="str">
        <f t="shared" si="44"/>
        <v>260318</v>
      </c>
      <c r="D940" s="3" t="str">
        <f t="shared" si="45"/>
        <v>C00275000</v>
      </c>
      <c r="E940" s="41" t="s">
        <v>655</v>
      </c>
      <c r="F940" s="11">
        <v>275</v>
      </c>
      <c r="G940" s="41">
        <v>0.01</v>
      </c>
      <c r="H940" s="41">
        <v>0</v>
      </c>
      <c r="I940" s="41">
        <v>0.03</v>
      </c>
      <c r="J940" s="29">
        <v>-0.14000000000000001</v>
      </c>
      <c r="K940" s="30">
        <v>-0.93330000000000002</v>
      </c>
      <c r="L940" s="41">
        <v>187</v>
      </c>
      <c r="M940" s="41">
        <v>110</v>
      </c>
      <c r="N940" s="57">
        <v>1.2031000000000001</v>
      </c>
      <c r="O940" t="s">
        <v>62</v>
      </c>
      <c r="P940" s="9">
        <v>46098</v>
      </c>
      <c r="Q940">
        <v>213.5</v>
      </c>
    </row>
    <row r="941" spans="1:17" x14ac:dyDescent="0.25">
      <c r="A941" s="10" t="s">
        <v>656</v>
      </c>
      <c r="B941" s="3" t="str">
        <f t="shared" si="46"/>
        <v>AMZN</v>
      </c>
      <c r="C941" s="3" t="str">
        <f t="shared" si="44"/>
        <v>260318</v>
      </c>
      <c r="D941" s="3" t="str">
        <f t="shared" si="45"/>
        <v>C00280000</v>
      </c>
      <c r="E941" s="41" t="s">
        <v>657</v>
      </c>
      <c r="F941" s="11">
        <v>280</v>
      </c>
      <c r="G941" s="41">
        <v>0.03</v>
      </c>
      <c r="H941" s="41" t="s">
        <v>113</v>
      </c>
      <c r="I941" s="41">
        <v>7.0000000000000007E-2</v>
      </c>
      <c r="J941" s="29">
        <v>-7.0000000000000007E-2</v>
      </c>
      <c r="K941" s="30">
        <v>-0.7</v>
      </c>
      <c r="L941" s="41">
        <v>201</v>
      </c>
      <c r="M941" s="41">
        <v>107</v>
      </c>
      <c r="N941" s="57">
        <v>1.5117</v>
      </c>
      <c r="O941" t="s">
        <v>62</v>
      </c>
      <c r="P941" s="9">
        <v>46098</v>
      </c>
      <c r="Q941">
        <v>213.5</v>
      </c>
    </row>
    <row r="942" spans="1:17" x14ac:dyDescent="0.25">
      <c r="A942" s="10" t="s">
        <v>658</v>
      </c>
      <c r="B942" s="3" t="str">
        <f t="shared" si="46"/>
        <v>AMZN</v>
      </c>
      <c r="C942" s="3" t="str">
        <f t="shared" si="44"/>
        <v>260318</v>
      </c>
      <c r="D942" s="3" t="str">
        <f t="shared" si="45"/>
        <v>C00285000</v>
      </c>
      <c r="E942" s="41" t="s">
        <v>659</v>
      </c>
      <c r="F942" s="11">
        <v>285</v>
      </c>
      <c r="G942" s="41">
        <v>0.13</v>
      </c>
      <c r="H942" s="41" t="s">
        <v>113</v>
      </c>
      <c r="I942" s="41">
        <v>0.16</v>
      </c>
      <c r="J942" s="25">
        <v>0.12</v>
      </c>
      <c r="K942" s="26">
        <v>12</v>
      </c>
      <c r="L942" s="41">
        <v>54</v>
      </c>
      <c r="M942" s="41">
        <v>1</v>
      </c>
      <c r="N942" s="57">
        <v>1.7754000000000001</v>
      </c>
      <c r="O942" t="s">
        <v>62</v>
      </c>
      <c r="P942" s="9">
        <v>46098</v>
      </c>
      <c r="Q942">
        <v>213.5</v>
      </c>
    </row>
    <row r="943" spans="1:17" x14ac:dyDescent="0.25">
      <c r="A943" s="10" t="s">
        <v>660</v>
      </c>
      <c r="B943" s="3" t="str">
        <f t="shared" si="46"/>
        <v>AMZN</v>
      </c>
      <c r="C943" s="3" t="str">
        <f t="shared" si="44"/>
        <v>260318</v>
      </c>
      <c r="D943" s="3" t="str">
        <f t="shared" si="45"/>
        <v>P00145000</v>
      </c>
      <c r="E943" s="41" t="s">
        <v>661</v>
      </c>
      <c r="F943" s="11">
        <v>145</v>
      </c>
      <c r="G943" s="41">
        <v>0.06</v>
      </c>
      <c r="H943" s="41">
        <v>0</v>
      </c>
      <c r="I943" s="41">
        <v>0.01</v>
      </c>
      <c r="J943" s="25">
        <v>0.03</v>
      </c>
      <c r="K943" s="26">
        <v>1</v>
      </c>
      <c r="L943" s="41">
        <v>94</v>
      </c>
      <c r="M943" s="41">
        <v>1</v>
      </c>
      <c r="N943" s="57">
        <v>1.6875</v>
      </c>
      <c r="O943" t="s">
        <v>65</v>
      </c>
      <c r="P943" s="9">
        <v>46098</v>
      </c>
      <c r="Q943">
        <v>213.5</v>
      </c>
    </row>
    <row r="944" spans="1:17" x14ac:dyDescent="0.25">
      <c r="A944" s="10" t="s">
        <v>662</v>
      </c>
      <c r="B944" s="3" t="str">
        <f t="shared" si="46"/>
        <v>AMZN</v>
      </c>
      <c r="C944" s="3" t="str">
        <f t="shared" si="44"/>
        <v>260318</v>
      </c>
      <c r="D944" s="3" t="str">
        <f t="shared" si="45"/>
        <v>P00150000</v>
      </c>
      <c r="E944" s="41" t="s">
        <v>661</v>
      </c>
      <c r="F944" s="11">
        <v>150</v>
      </c>
      <c r="G944" s="41">
        <v>0.11</v>
      </c>
      <c r="H944" s="41">
        <v>0</v>
      </c>
      <c r="I944" s="41">
        <v>7.0000000000000007E-2</v>
      </c>
      <c r="J944" s="25">
        <v>7.0000000000000007E-2</v>
      </c>
      <c r="K944" s="26">
        <v>1.75</v>
      </c>
      <c r="L944" s="41">
        <v>94</v>
      </c>
      <c r="M944" s="41">
        <v>0</v>
      </c>
      <c r="N944" s="57">
        <v>1.8281000000000001</v>
      </c>
      <c r="O944" t="s">
        <v>65</v>
      </c>
      <c r="P944" s="9">
        <v>46098</v>
      </c>
      <c r="Q944">
        <v>213.5</v>
      </c>
    </row>
    <row r="945" spans="1:17" x14ac:dyDescent="0.25">
      <c r="A945" s="10" t="s">
        <v>663</v>
      </c>
      <c r="B945" s="3" t="str">
        <f t="shared" si="46"/>
        <v>AMZN</v>
      </c>
      <c r="C945" s="3" t="str">
        <f t="shared" si="44"/>
        <v>260318</v>
      </c>
      <c r="D945" s="3" t="str">
        <f t="shared" si="45"/>
        <v>P00155000</v>
      </c>
      <c r="E945" s="41" t="s">
        <v>664</v>
      </c>
      <c r="F945" s="11">
        <v>155</v>
      </c>
      <c r="G945" s="41">
        <v>0.02</v>
      </c>
      <c r="H945" s="41">
        <v>0</v>
      </c>
      <c r="I945" s="41">
        <v>0.16</v>
      </c>
      <c r="J945" s="27">
        <v>0</v>
      </c>
      <c r="K945" s="28">
        <v>0</v>
      </c>
      <c r="L945" s="41">
        <v>1</v>
      </c>
      <c r="M945" s="41">
        <v>3</v>
      </c>
      <c r="N945" s="57">
        <v>1.8476999999999999</v>
      </c>
      <c r="O945" t="s">
        <v>65</v>
      </c>
      <c r="P945" s="9">
        <v>46098</v>
      </c>
      <c r="Q945">
        <v>213.5</v>
      </c>
    </row>
    <row r="946" spans="1:17" x14ac:dyDescent="0.25">
      <c r="A946" s="10" t="s">
        <v>665</v>
      </c>
      <c r="B946" s="3" t="str">
        <f t="shared" si="46"/>
        <v>AMZN</v>
      </c>
      <c r="C946" s="3" t="str">
        <f t="shared" si="44"/>
        <v>260318</v>
      </c>
      <c r="D946" s="3" t="str">
        <f t="shared" si="45"/>
        <v>P00160000</v>
      </c>
      <c r="E946" s="41" t="s">
        <v>666</v>
      </c>
      <c r="F946" s="11">
        <v>160</v>
      </c>
      <c r="G946" s="41">
        <v>0.01</v>
      </c>
      <c r="H946" s="41">
        <v>0</v>
      </c>
      <c r="I946" s="41">
        <v>0.16</v>
      </c>
      <c r="J946" s="27">
        <v>0</v>
      </c>
      <c r="K946" s="28">
        <v>0</v>
      </c>
      <c r="L946" s="41">
        <v>2</v>
      </c>
      <c r="M946" s="41">
        <v>33</v>
      </c>
      <c r="N946" s="57">
        <v>1.6836</v>
      </c>
      <c r="O946" t="s">
        <v>65</v>
      </c>
      <c r="P946" s="9">
        <v>46098</v>
      </c>
      <c r="Q946">
        <v>213.5</v>
      </c>
    </row>
    <row r="947" spans="1:17" x14ac:dyDescent="0.25">
      <c r="A947" s="10" t="s">
        <v>667</v>
      </c>
      <c r="B947" s="3" t="str">
        <f t="shared" si="46"/>
        <v>AMZN</v>
      </c>
      <c r="C947" s="3" t="str">
        <f t="shared" si="44"/>
        <v>260318</v>
      </c>
      <c r="D947" s="3" t="str">
        <f t="shared" si="45"/>
        <v>P00165000</v>
      </c>
      <c r="E947" s="42">
        <v>46359.629166666666</v>
      </c>
      <c r="F947" s="11">
        <v>165</v>
      </c>
      <c r="G947" s="41">
        <v>0.01</v>
      </c>
      <c r="H947" s="41">
        <v>0</v>
      </c>
      <c r="I947" s="41">
        <v>0.15</v>
      </c>
      <c r="J947" s="27">
        <v>0</v>
      </c>
      <c r="K947" s="28">
        <v>0</v>
      </c>
      <c r="L947" s="41">
        <v>90</v>
      </c>
      <c r="M947" s="41">
        <v>113</v>
      </c>
      <c r="N947" s="57">
        <v>1.5078</v>
      </c>
      <c r="O947" t="s">
        <v>65</v>
      </c>
      <c r="P947" s="9">
        <v>46098</v>
      </c>
      <c r="Q947">
        <v>213.5</v>
      </c>
    </row>
    <row r="948" spans="1:17" x14ac:dyDescent="0.25">
      <c r="A948" s="10" t="s">
        <v>668</v>
      </c>
      <c r="B948" s="3" t="str">
        <f t="shared" si="46"/>
        <v>AMZN</v>
      </c>
      <c r="C948" s="3" t="str">
        <f t="shared" ref="C948:C1011" si="47">+MID(A948,5,6)</f>
        <v>260318</v>
      </c>
      <c r="D948" s="3" t="str">
        <f t="shared" ref="D948:D1011" si="48">+MID(A948,11,10)</f>
        <v>P00167500</v>
      </c>
      <c r="E948" s="42">
        <v>46359.604861111111</v>
      </c>
      <c r="F948" s="11">
        <v>167.5</v>
      </c>
      <c r="G948" s="41">
        <v>0.02</v>
      </c>
      <c r="H948" s="41">
        <v>0</v>
      </c>
      <c r="I948" s="41">
        <v>0.15</v>
      </c>
      <c r="J948" s="27">
        <v>0</v>
      </c>
      <c r="K948" s="28">
        <v>0</v>
      </c>
      <c r="L948" s="41" t="s">
        <v>113</v>
      </c>
      <c r="M948" s="41">
        <v>3</v>
      </c>
      <c r="N948" s="57">
        <v>1.4297</v>
      </c>
      <c r="O948" t="s">
        <v>65</v>
      </c>
      <c r="P948" s="9">
        <v>46098</v>
      </c>
      <c r="Q948">
        <v>213.5</v>
      </c>
    </row>
    <row r="949" spans="1:17" x14ac:dyDescent="0.25">
      <c r="A949" s="10" t="s">
        <v>669</v>
      </c>
      <c r="B949" s="3" t="str">
        <f t="shared" si="46"/>
        <v>AMZN</v>
      </c>
      <c r="C949" s="3" t="str">
        <f t="shared" si="47"/>
        <v>260318</v>
      </c>
      <c r="D949" s="3" t="str">
        <f t="shared" si="48"/>
        <v>P00170000</v>
      </c>
      <c r="E949" s="42">
        <v>46359.658333333333</v>
      </c>
      <c r="F949" s="11">
        <v>170</v>
      </c>
      <c r="G949" s="41">
        <v>0.03</v>
      </c>
      <c r="H949" s="41">
        <v>0</v>
      </c>
      <c r="I949" s="41">
        <v>0.01</v>
      </c>
      <c r="J949" s="27">
        <v>0</v>
      </c>
      <c r="K949" s="28">
        <v>0</v>
      </c>
      <c r="L949" s="58">
        <v>1002</v>
      </c>
      <c r="M949" s="41">
        <v>956</v>
      </c>
      <c r="N949" s="57">
        <v>1</v>
      </c>
      <c r="O949" t="s">
        <v>65</v>
      </c>
      <c r="P949" s="9">
        <v>46098</v>
      </c>
      <c r="Q949">
        <v>213.5</v>
      </c>
    </row>
    <row r="950" spans="1:17" x14ac:dyDescent="0.25">
      <c r="A950" s="10" t="s">
        <v>670</v>
      </c>
      <c r="B950" s="3" t="str">
        <f t="shared" si="46"/>
        <v>AMZN</v>
      </c>
      <c r="C950" s="3" t="str">
        <f t="shared" si="47"/>
        <v>260318</v>
      </c>
      <c r="D950" s="3" t="str">
        <f t="shared" si="48"/>
        <v>P00172500</v>
      </c>
      <c r="E950" s="41" t="s">
        <v>671</v>
      </c>
      <c r="F950" s="11">
        <v>172.5</v>
      </c>
      <c r="G950" s="41">
        <v>0.01</v>
      </c>
      <c r="H950" s="41">
        <v>0</v>
      </c>
      <c r="I950" s="41">
        <v>0.04</v>
      </c>
      <c r="J950" s="27">
        <v>0</v>
      </c>
      <c r="K950" s="28">
        <v>0</v>
      </c>
      <c r="L950" s="41">
        <v>1</v>
      </c>
      <c r="M950" s="41">
        <v>124</v>
      </c>
      <c r="N950" s="57">
        <v>1.0938000000000001</v>
      </c>
      <c r="O950" t="s">
        <v>65</v>
      </c>
      <c r="P950" s="9">
        <v>46098</v>
      </c>
      <c r="Q950">
        <v>213.5</v>
      </c>
    </row>
    <row r="951" spans="1:17" x14ac:dyDescent="0.25">
      <c r="A951" s="10" t="s">
        <v>672</v>
      </c>
      <c r="B951" s="3" t="str">
        <f t="shared" si="46"/>
        <v>AMZN</v>
      </c>
      <c r="C951" s="3" t="str">
        <f t="shared" si="47"/>
        <v>260318</v>
      </c>
      <c r="D951" s="3" t="str">
        <f t="shared" si="48"/>
        <v>P00175000</v>
      </c>
      <c r="E951" s="41" t="s">
        <v>673</v>
      </c>
      <c r="F951" s="11">
        <v>175</v>
      </c>
      <c r="G951" s="41">
        <v>0.02</v>
      </c>
      <c r="H951" s="41">
        <v>0</v>
      </c>
      <c r="I951" s="41">
        <v>0.01</v>
      </c>
      <c r="J951" s="27">
        <v>0</v>
      </c>
      <c r="K951" s="28">
        <v>0</v>
      </c>
      <c r="L951" s="41">
        <v>17</v>
      </c>
      <c r="M951" s="58">
        <v>1818</v>
      </c>
      <c r="N951" s="57">
        <v>0.90629999999999999</v>
      </c>
      <c r="O951" t="s">
        <v>65</v>
      </c>
      <c r="P951" s="9">
        <v>46098</v>
      </c>
      <c r="Q951">
        <v>213.5</v>
      </c>
    </row>
    <row r="952" spans="1:17" x14ac:dyDescent="0.25">
      <c r="A952" s="10" t="s">
        <v>674</v>
      </c>
      <c r="B952" s="3" t="str">
        <f t="shared" si="46"/>
        <v>AMZN</v>
      </c>
      <c r="C952" s="3" t="str">
        <f t="shared" si="47"/>
        <v>260318</v>
      </c>
      <c r="D952" s="3" t="str">
        <f t="shared" si="48"/>
        <v>P00177500</v>
      </c>
      <c r="E952" s="41" t="s">
        <v>675</v>
      </c>
      <c r="F952" s="11">
        <v>177.5</v>
      </c>
      <c r="G952" s="41">
        <v>0.01</v>
      </c>
      <c r="H952" s="41">
        <v>0</v>
      </c>
      <c r="I952" s="41">
        <v>0.01</v>
      </c>
      <c r="J952" s="29">
        <v>-0.01</v>
      </c>
      <c r="K952" s="30">
        <v>-0.5</v>
      </c>
      <c r="L952" s="41">
        <v>26</v>
      </c>
      <c r="M952" s="41">
        <v>165</v>
      </c>
      <c r="N952" s="57">
        <v>0.84379999999999999</v>
      </c>
      <c r="O952" t="s">
        <v>65</v>
      </c>
      <c r="P952" s="9">
        <v>46098</v>
      </c>
      <c r="Q952">
        <v>213.5</v>
      </c>
    </row>
    <row r="953" spans="1:17" x14ac:dyDescent="0.25">
      <c r="A953" s="10" t="s">
        <v>676</v>
      </c>
      <c r="B953" s="3" t="str">
        <f t="shared" si="46"/>
        <v>AMZN</v>
      </c>
      <c r="C953" s="3" t="str">
        <f t="shared" si="47"/>
        <v>260318</v>
      </c>
      <c r="D953" s="3" t="str">
        <f t="shared" si="48"/>
        <v>P00180000</v>
      </c>
      <c r="E953" s="41" t="s">
        <v>677</v>
      </c>
      <c r="F953" s="11">
        <v>180</v>
      </c>
      <c r="G953" s="41">
        <v>0.01</v>
      </c>
      <c r="H953" s="41">
        <v>0</v>
      </c>
      <c r="I953" s="41">
        <v>0.02</v>
      </c>
      <c r="J953" s="27">
        <v>0</v>
      </c>
      <c r="K953" s="28">
        <v>0</v>
      </c>
      <c r="L953" s="41">
        <v>6</v>
      </c>
      <c r="M953" s="58">
        <v>1165</v>
      </c>
      <c r="N953" s="57">
        <v>0.82809999999999995</v>
      </c>
      <c r="O953" t="s">
        <v>65</v>
      </c>
      <c r="P953" s="9">
        <v>46098</v>
      </c>
      <c r="Q953">
        <v>213.5</v>
      </c>
    </row>
    <row r="954" spans="1:17" x14ac:dyDescent="0.25">
      <c r="A954" s="10" t="s">
        <v>678</v>
      </c>
      <c r="B954" s="3" t="str">
        <f t="shared" si="46"/>
        <v>AMZN</v>
      </c>
      <c r="C954" s="3" t="str">
        <f t="shared" si="47"/>
        <v>260318</v>
      </c>
      <c r="D954" s="3" t="str">
        <f t="shared" si="48"/>
        <v>P00182500</v>
      </c>
      <c r="E954" s="41" t="s">
        <v>679</v>
      </c>
      <c r="F954" s="11">
        <v>182.5</v>
      </c>
      <c r="G954" s="41">
        <v>0.01</v>
      </c>
      <c r="H954" s="41">
        <v>0</v>
      </c>
      <c r="I954" s="41">
        <v>0.01</v>
      </c>
      <c r="J954" s="27">
        <v>0</v>
      </c>
      <c r="K954" s="28">
        <v>0</v>
      </c>
      <c r="L954" s="41">
        <v>39</v>
      </c>
      <c r="M954" s="41">
        <v>110</v>
      </c>
      <c r="N954" s="57">
        <v>0.71879999999999999</v>
      </c>
      <c r="O954" t="s">
        <v>65</v>
      </c>
      <c r="P954" s="9">
        <v>46098</v>
      </c>
      <c r="Q954">
        <v>213.5</v>
      </c>
    </row>
    <row r="955" spans="1:17" x14ac:dyDescent="0.25">
      <c r="A955" s="10" t="s">
        <v>680</v>
      </c>
      <c r="B955" s="3" t="str">
        <f t="shared" si="46"/>
        <v>AMZN</v>
      </c>
      <c r="C955" s="3" t="str">
        <f t="shared" si="47"/>
        <v>260318</v>
      </c>
      <c r="D955" s="3" t="str">
        <f t="shared" si="48"/>
        <v>P00185000</v>
      </c>
      <c r="E955" s="41" t="s">
        <v>626</v>
      </c>
      <c r="F955" s="11">
        <v>185</v>
      </c>
      <c r="G955" s="41">
        <v>0.01</v>
      </c>
      <c r="H955" s="41">
        <v>0.01</v>
      </c>
      <c r="I955" s="41">
        <v>0.02</v>
      </c>
      <c r="J955" s="29">
        <v>-0.01</v>
      </c>
      <c r="K955" s="30">
        <v>-0.5</v>
      </c>
      <c r="L955" s="41">
        <v>103</v>
      </c>
      <c r="M955" s="41">
        <v>551</v>
      </c>
      <c r="N955" s="57">
        <v>0.74219999999999997</v>
      </c>
      <c r="O955" t="s">
        <v>65</v>
      </c>
      <c r="P955" s="9">
        <v>46098</v>
      </c>
      <c r="Q955">
        <v>213.5</v>
      </c>
    </row>
    <row r="956" spans="1:17" x14ac:dyDescent="0.25">
      <c r="A956" s="10" t="s">
        <v>681</v>
      </c>
      <c r="B956" s="3" t="str">
        <f t="shared" si="46"/>
        <v>AMZN</v>
      </c>
      <c r="C956" s="3" t="str">
        <f t="shared" si="47"/>
        <v>260318</v>
      </c>
      <c r="D956" s="3" t="str">
        <f t="shared" si="48"/>
        <v>P00187500</v>
      </c>
      <c r="E956" s="41" t="s">
        <v>675</v>
      </c>
      <c r="F956" s="11">
        <v>187.5</v>
      </c>
      <c r="G956" s="41">
        <v>0.01</v>
      </c>
      <c r="H956" s="41">
        <v>0.01</v>
      </c>
      <c r="I956" s="41">
        <v>0.02</v>
      </c>
      <c r="J956" s="29">
        <v>-0.03</v>
      </c>
      <c r="K956" s="30">
        <v>-0.75</v>
      </c>
      <c r="L956" s="41">
        <v>41</v>
      </c>
      <c r="M956" s="41">
        <v>617</v>
      </c>
      <c r="N956" s="57">
        <v>0.67969999999999997</v>
      </c>
      <c r="O956" t="s">
        <v>65</v>
      </c>
      <c r="P956" s="9">
        <v>46098</v>
      </c>
      <c r="Q956">
        <v>213.5</v>
      </c>
    </row>
    <row r="957" spans="1:17" x14ac:dyDescent="0.25">
      <c r="A957" s="10" t="s">
        <v>682</v>
      </c>
      <c r="B957" s="3" t="str">
        <f t="shared" si="46"/>
        <v>AMZN</v>
      </c>
      <c r="C957" s="3" t="str">
        <f t="shared" si="47"/>
        <v>260318</v>
      </c>
      <c r="D957" s="3" t="str">
        <f t="shared" si="48"/>
        <v>P00190000</v>
      </c>
      <c r="E957" s="41" t="s">
        <v>683</v>
      </c>
      <c r="F957" s="11">
        <v>190</v>
      </c>
      <c r="G957" s="41">
        <v>0.01</v>
      </c>
      <c r="H957" s="41">
        <v>0.01</v>
      </c>
      <c r="I957" s="41">
        <v>0.02</v>
      </c>
      <c r="J957" s="29">
        <v>-0.04</v>
      </c>
      <c r="K957" s="30">
        <v>-0.8</v>
      </c>
      <c r="L957" s="41">
        <v>42</v>
      </c>
      <c r="M957" s="41">
        <v>910</v>
      </c>
      <c r="N957" s="57">
        <v>0.61719999999999997</v>
      </c>
      <c r="O957" t="s">
        <v>65</v>
      </c>
      <c r="P957" s="9">
        <v>46098</v>
      </c>
      <c r="Q957">
        <v>213.5</v>
      </c>
    </row>
    <row r="958" spans="1:17" x14ac:dyDescent="0.25">
      <c r="A958" s="10" t="s">
        <v>684</v>
      </c>
      <c r="B958" s="3" t="str">
        <f t="shared" si="46"/>
        <v>AMZN</v>
      </c>
      <c r="C958" s="3" t="str">
        <f t="shared" si="47"/>
        <v>260318</v>
      </c>
      <c r="D958" s="3" t="str">
        <f t="shared" si="48"/>
        <v>P00192500</v>
      </c>
      <c r="E958" s="41" t="s">
        <v>685</v>
      </c>
      <c r="F958" s="11">
        <v>192.5</v>
      </c>
      <c r="G958" s="41">
        <v>0.02</v>
      </c>
      <c r="H958" s="41">
        <v>0.01</v>
      </c>
      <c r="I958" s="41">
        <v>0.02</v>
      </c>
      <c r="J958" s="29">
        <v>-0.05</v>
      </c>
      <c r="K958" s="30">
        <v>-0.71430000000000005</v>
      </c>
      <c r="L958" s="41">
        <v>61</v>
      </c>
      <c r="M958" s="58">
        <v>1207</v>
      </c>
      <c r="N958" s="57">
        <v>0.55469999999999997</v>
      </c>
      <c r="O958" t="s">
        <v>65</v>
      </c>
      <c r="P958" s="9">
        <v>46098</v>
      </c>
      <c r="Q958">
        <v>213.5</v>
      </c>
    </row>
    <row r="959" spans="1:17" x14ac:dyDescent="0.25">
      <c r="A959" s="10" t="s">
        <v>686</v>
      </c>
      <c r="B959" s="3" t="str">
        <f t="shared" si="46"/>
        <v>AMZN</v>
      </c>
      <c r="C959" s="3" t="str">
        <f t="shared" si="47"/>
        <v>260318</v>
      </c>
      <c r="D959" s="3" t="str">
        <f t="shared" si="48"/>
        <v>P00195000</v>
      </c>
      <c r="E959" s="41" t="s">
        <v>687</v>
      </c>
      <c r="F959" s="11">
        <v>195</v>
      </c>
      <c r="G959" s="41">
        <v>0.03</v>
      </c>
      <c r="H959" s="41">
        <v>0.02</v>
      </c>
      <c r="I959" s="41">
        <v>0.03</v>
      </c>
      <c r="J959" s="29">
        <v>-0.06</v>
      </c>
      <c r="K959" s="30">
        <v>-0.66669999999999996</v>
      </c>
      <c r="L959" s="41">
        <v>125</v>
      </c>
      <c r="M959" s="58">
        <v>4593</v>
      </c>
      <c r="N959" s="57">
        <v>0.52339999999999998</v>
      </c>
      <c r="O959" t="s">
        <v>65</v>
      </c>
      <c r="P959" s="9">
        <v>46098</v>
      </c>
      <c r="Q959">
        <v>213.5</v>
      </c>
    </row>
    <row r="960" spans="1:17" x14ac:dyDescent="0.25">
      <c r="A960" s="10" t="s">
        <v>688</v>
      </c>
      <c r="B960" s="3" t="str">
        <f t="shared" si="46"/>
        <v>AMZN</v>
      </c>
      <c r="C960" s="3" t="str">
        <f t="shared" si="47"/>
        <v>260318</v>
      </c>
      <c r="D960" s="3" t="str">
        <f t="shared" si="48"/>
        <v>P00197500</v>
      </c>
      <c r="E960" s="41" t="s">
        <v>689</v>
      </c>
      <c r="F960" s="11">
        <v>197.5</v>
      </c>
      <c r="G960" s="41">
        <v>0.03</v>
      </c>
      <c r="H960" s="41">
        <v>0.02</v>
      </c>
      <c r="I960" s="41">
        <v>0.03</v>
      </c>
      <c r="J960" s="29">
        <v>-0.12</v>
      </c>
      <c r="K960" s="30">
        <v>-0.8</v>
      </c>
      <c r="L960" s="41">
        <v>235</v>
      </c>
      <c r="M960" s="41">
        <v>955</v>
      </c>
      <c r="N960" s="57">
        <v>0.46879999999999999</v>
      </c>
      <c r="O960" t="s">
        <v>65</v>
      </c>
      <c r="P960" s="9">
        <v>46098</v>
      </c>
      <c r="Q960">
        <v>213.5</v>
      </c>
    </row>
    <row r="961" spans="1:17" x14ac:dyDescent="0.25">
      <c r="A961" s="10" t="s">
        <v>690</v>
      </c>
      <c r="B961" s="3" t="str">
        <f t="shared" si="46"/>
        <v>AMZN</v>
      </c>
      <c r="C961" s="3" t="str">
        <f t="shared" si="47"/>
        <v>260318</v>
      </c>
      <c r="D961" s="3" t="str">
        <f t="shared" si="48"/>
        <v>P00200000</v>
      </c>
      <c r="E961" s="41" t="s">
        <v>691</v>
      </c>
      <c r="F961" s="11">
        <v>200</v>
      </c>
      <c r="G961" s="41">
        <v>0.03</v>
      </c>
      <c r="H961" s="41">
        <v>0.04</v>
      </c>
      <c r="I961" s="41">
        <v>0.05</v>
      </c>
      <c r="J961" s="29">
        <v>-0.21</v>
      </c>
      <c r="K961" s="30">
        <v>-0.84</v>
      </c>
      <c r="L961" s="41">
        <v>445</v>
      </c>
      <c r="M961" s="58">
        <v>2073</v>
      </c>
      <c r="N961" s="57">
        <v>0.43359999999999999</v>
      </c>
      <c r="O961" t="s">
        <v>65</v>
      </c>
      <c r="P961" s="9">
        <v>46098</v>
      </c>
      <c r="Q961">
        <v>213.5</v>
      </c>
    </row>
    <row r="962" spans="1:17" x14ac:dyDescent="0.25">
      <c r="A962" s="10" t="s">
        <v>692</v>
      </c>
      <c r="B962" s="3" t="str">
        <f t="shared" si="46"/>
        <v>AMZN</v>
      </c>
      <c r="C962" s="3" t="str">
        <f t="shared" si="47"/>
        <v>260318</v>
      </c>
      <c r="D962" s="3" t="str">
        <f t="shared" si="48"/>
        <v>P00202500</v>
      </c>
      <c r="E962" s="41" t="s">
        <v>630</v>
      </c>
      <c r="F962" s="11">
        <v>202.5</v>
      </c>
      <c r="G962" s="41">
        <v>7.0000000000000007E-2</v>
      </c>
      <c r="H962" s="41">
        <v>0.06</v>
      </c>
      <c r="I962" s="41">
        <v>7.0000000000000007E-2</v>
      </c>
      <c r="J962" s="29">
        <v>-0.26</v>
      </c>
      <c r="K962" s="30">
        <v>-0.8125</v>
      </c>
      <c r="L962" s="41">
        <v>783</v>
      </c>
      <c r="M962" s="58">
        <v>1715</v>
      </c>
      <c r="N962" s="57">
        <v>0.38279999999999997</v>
      </c>
      <c r="O962" t="s">
        <v>65</v>
      </c>
      <c r="P962" s="9">
        <v>46098</v>
      </c>
      <c r="Q962">
        <v>213.5</v>
      </c>
    </row>
    <row r="963" spans="1:17" x14ac:dyDescent="0.25">
      <c r="A963" s="10" t="s">
        <v>693</v>
      </c>
      <c r="B963" s="3" t="str">
        <f t="shared" ref="B963:B1026" si="49">+MID(A963,1,4)</f>
        <v>AMZN</v>
      </c>
      <c r="C963" s="3" t="str">
        <f t="shared" si="47"/>
        <v>260318</v>
      </c>
      <c r="D963" s="3" t="str">
        <f t="shared" si="48"/>
        <v>P00205000</v>
      </c>
      <c r="E963" s="41" t="s">
        <v>630</v>
      </c>
      <c r="F963" s="11">
        <v>205</v>
      </c>
      <c r="G963" s="41">
        <v>0.11</v>
      </c>
      <c r="H963" s="41">
        <v>0.11</v>
      </c>
      <c r="I963" s="41">
        <v>0.12</v>
      </c>
      <c r="J963" s="29">
        <v>-0.42</v>
      </c>
      <c r="K963" s="30">
        <v>-0.79249999999999998</v>
      </c>
      <c r="L963" s="58">
        <v>1242</v>
      </c>
      <c r="M963" s="58">
        <v>1890</v>
      </c>
      <c r="N963" s="57">
        <v>0.34179999999999999</v>
      </c>
      <c r="O963" t="s">
        <v>65</v>
      </c>
      <c r="P963" s="9">
        <v>46098</v>
      </c>
      <c r="Q963">
        <v>213.5</v>
      </c>
    </row>
    <row r="964" spans="1:17" x14ac:dyDescent="0.25">
      <c r="A964" s="10" t="s">
        <v>694</v>
      </c>
      <c r="B964" s="3" t="str">
        <f t="shared" si="49"/>
        <v>AMZN</v>
      </c>
      <c r="C964" s="3" t="str">
        <f t="shared" si="47"/>
        <v>260318</v>
      </c>
      <c r="D964" s="3" t="str">
        <f t="shared" si="48"/>
        <v>P00207500</v>
      </c>
      <c r="E964" s="41" t="s">
        <v>632</v>
      </c>
      <c r="F964" s="11">
        <v>207.5</v>
      </c>
      <c r="G964" s="41">
        <v>0.25</v>
      </c>
      <c r="H964" s="41">
        <v>0.24</v>
      </c>
      <c r="I964" s="41">
        <v>0.25</v>
      </c>
      <c r="J964" s="29">
        <v>-0.64</v>
      </c>
      <c r="K964" s="30">
        <v>-0.71909999999999996</v>
      </c>
      <c r="L964" s="41">
        <v>901</v>
      </c>
      <c r="M964" s="58">
        <v>1701</v>
      </c>
      <c r="N964" s="57">
        <v>0.3125</v>
      </c>
      <c r="O964" t="s">
        <v>65</v>
      </c>
      <c r="P964" s="9">
        <v>46098</v>
      </c>
      <c r="Q964">
        <v>213.5</v>
      </c>
    </row>
    <row r="965" spans="1:17" x14ac:dyDescent="0.25">
      <c r="A965" s="10" t="s">
        <v>695</v>
      </c>
      <c r="B965" s="3" t="str">
        <f t="shared" si="49"/>
        <v>AMZN</v>
      </c>
      <c r="C965" s="3" t="str">
        <f t="shared" si="47"/>
        <v>260318</v>
      </c>
      <c r="D965" s="3" t="str">
        <f t="shared" si="48"/>
        <v>P00210000</v>
      </c>
      <c r="E965" s="41" t="s">
        <v>630</v>
      </c>
      <c r="F965" s="11">
        <v>210</v>
      </c>
      <c r="G965" s="41">
        <v>0.54</v>
      </c>
      <c r="H965" s="41">
        <v>0.53</v>
      </c>
      <c r="I965" s="41">
        <v>0.55000000000000004</v>
      </c>
      <c r="J965" s="29">
        <v>-1.03</v>
      </c>
      <c r="K965" s="30">
        <v>-0.65610000000000002</v>
      </c>
      <c r="L965" s="58">
        <v>7517</v>
      </c>
      <c r="M965" s="58">
        <v>1981</v>
      </c>
      <c r="N965" s="57">
        <v>0.28660000000000002</v>
      </c>
      <c r="O965" t="s">
        <v>65</v>
      </c>
      <c r="P965" s="9">
        <v>46098</v>
      </c>
      <c r="Q965">
        <v>213.5</v>
      </c>
    </row>
    <row r="966" spans="1:17" x14ac:dyDescent="0.25">
      <c r="A966" s="10" t="s">
        <v>696</v>
      </c>
      <c r="B966" s="3" t="str">
        <f t="shared" si="49"/>
        <v>AMZN</v>
      </c>
      <c r="C966" s="3" t="str">
        <f t="shared" si="47"/>
        <v>260318</v>
      </c>
      <c r="D966" s="3" t="str">
        <f t="shared" si="48"/>
        <v>P00212500</v>
      </c>
      <c r="E966" s="41" t="s">
        <v>630</v>
      </c>
      <c r="F966" s="11">
        <v>212.5</v>
      </c>
      <c r="G966" s="41">
        <v>1.17</v>
      </c>
      <c r="H966" s="41">
        <v>1.1399999999999999</v>
      </c>
      <c r="I966" s="41">
        <v>1.1599999999999999</v>
      </c>
      <c r="J966" s="29">
        <v>-1.37</v>
      </c>
      <c r="K966" s="30">
        <v>-0.53939999999999999</v>
      </c>
      <c r="L966" s="58">
        <v>6904</v>
      </c>
      <c r="M966" s="41">
        <v>568</v>
      </c>
      <c r="N966" s="57">
        <v>0.25900000000000001</v>
      </c>
      <c r="O966" t="s">
        <v>65</v>
      </c>
      <c r="P966" s="9">
        <v>46098</v>
      </c>
      <c r="Q966">
        <v>213.5</v>
      </c>
    </row>
    <row r="967" spans="1:17" x14ac:dyDescent="0.25">
      <c r="A967" s="10" t="s">
        <v>697</v>
      </c>
      <c r="B967" s="3" t="str">
        <f t="shared" si="49"/>
        <v>AMZN</v>
      </c>
      <c r="C967" s="3" t="str">
        <f t="shared" si="47"/>
        <v>260318</v>
      </c>
      <c r="D967" s="3" t="str">
        <f t="shared" si="48"/>
        <v>P00215000</v>
      </c>
      <c r="E967" s="41" t="s">
        <v>691</v>
      </c>
      <c r="F967" s="11">
        <v>215</v>
      </c>
      <c r="G967" s="41">
        <v>2.2000000000000002</v>
      </c>
      <c r="H967" s="41">
        <v>2.2000000000000002</v>
      </c>
      <c r="I967" s="41">
        <v>2.2400000000000002</v>
      </c>
      <c r="J967" s="29">
        <v>-1.8</v>
      </c>
      <c r="K967" s="30">
        <v>-0.45</v>
      </c>
      <c r="L967" s="58">
        <v>3971</v>
      </c>
      <c r="M967" s="41">
        <v>814</v>
      </c>
      <c r="N967" s="57">
        <v>0.22020000000000001</v>
      </c>
      <c r="O967" t="s">
        <v>65</v>
      </c>
      <c r="P967" s="9">
        <v>46098</v>
      </c>
      <c r="Q967">
        <v>213.5</v>
      </c>
    </row>
    <row r="968" spans="1:17" x14ac:dyDescent="0.25">
      <c r="A968" s="10" t="s">
        <v>698</v>
      </c>
      <c r="B968" s="3" t="str">
        <f t="shared" si="49"/>
        <v>AMZN</v>
      </c>
      <c r="C968" s="3" t="str">
        <f t="shared" si="47"/>
        <v>260318</v>
      </c>
      <c r="D968" s="3" t="str">
        <f t="shared" si="48"/>
        <v>P00217500</v>
      </c>
      <c r="E968" s="41" t="s">
        <v>651</v>
      </c>
      <c r="F968" s="11">
        <v>217.5</v>
      </c>
      <c r="G968" s="41">
        <v>4.1500000000000004</v>
      </c>
      <c r="H968" s="41">
        <v>3.85</v>
      </c>
      <c r="I968" s="41">
        <v>4.1500000000000004</v>
      </c>
      <c r="J968" s="29">
        <v>-1.96</v>
      </c>
      <c r="K968" s="30">
        <v>-0.32079999999999997</v>
      </c>
      <c r="L968" s="41">
        <v>168</v>
      </c>
      <c r="M968" s="41">
        <v>159</v>
      </c>
      <c r="N968" s="57">
        <v>0.21</v>
      </c>
      <c r="O968" t="s">
        <v>65</v>
      </c>
      <c r="P968" s="9">
        <v>46098</v>
      </c>
      <c r="Q968">
        <v>213.5</v>
      </c>
    </row>
    <row r="969" spans="1:17" x14ac:dyDescent="0.25">
      <c r="A969" s="10" t="s">
        <v>699</v>
      </c>
      <c r="B969" s="3" t="str">
        <f t="shared" si="49"/>
        <v>AMZN</v>
      </c>
      <c r="C969" s="3" t="str">
        <f t="shared" si="47"/>
        <v>260318</v>
      </c>
      <c r="D969" s="3" t="str">
        <f t="shared" si="48"/>
        <v>P00220000</v>
      </c>
      <c r="E969" s="41" t="s">
        <v>615</v>
      </c>
      <c r="F969" s="11">
        <v>220</v>
      </c>
      <c r="G969" s="41">
        <v>6.44</v>
      </c>
      <c r="H969" s="41">
        <v>6</v>
      </c>
      <c r="I969" s="41">
        <v>7</v>
      </c>
      <c r="J969" s="29">
        <v>-1.98</v>
      </c>
      <c r="K969" s="30">
        <v>-0.23519999999999999</v>
      </c>
      <c r="L969" s="41">
        <v>14</v>
      </c>
      <c r="M969" s="41">
        <v>174</v>
      </c>
      <c r="N969" s="57">
        <v>0.40429999999999999</v>
      </c>
      <c r="O969" t="s">
        <v>65</v>
      </c>
      <c r="P969" s="9">
        <v>46098</v>
      </c>
      <c r="Q969">
        <v>213.5</v>
      </c>
    </row>
    <row r="970" spans="1:17" x14ac:dyDescent="0.25">
      <c r="A970" s="10" t="s">
        <v>700</v>
      </c>
      <c r="B970" s="3" t="str">
        <f t="shared" si="49"/>
        <v>AMZN</v>
      </c>
      <c r="C970" s="3" t="str">
        <f t="shared" si="47"/>
        <v>260318</v>
      </c>
      <c r="D970" s="3" t="str">
        <f t="shared" si="48"/>
        <v>P00222500</v>
      </c>
      <c r="E970" s="41" t="s">
        <v>701</v>
      </c>
      <c r="F970" s="11">
        <v>222.5</v>
      </c>
      <c r="G970" s="41">
        <v>8.1</v>
      </c>
      <c r="H970" s="41">
        <v>7.5</v>
      </c>
      <c r="I970" s="41">
        <v>9.5</v>
      </c>
      <c r="J970" s="29">
        <v>-4.82</v>
      </c>
      <c r="K970" s="30">
        <v>-0.37309999999999999</v>
      </c>
      <c r="L970" s="41">
        <v>12</v>
      </c>
      <c r="M970" s="41">
        <v>20</v>
      </c>
      <c r="N970" s="57">
        <v>0.50049999999999994</v>
      </c>
      <c r="O970" t="s">
        <v>65</v>
      </c>
      <c r="P970" s="9">
        <v>46098</v>
      </c>
      <c r="Q970">
        <v>213.5</v>
      </c>
    </row>
    <row r="971" spans="1:17" x14ac:dyDescent="0.25">
      <c r="A971" s="10" t="s">
        <v>702</v>
      </c>
      <c r="B971" s="3" t="str">
        <f t="shared" si="49"/>
        <v>AMZN</v>
      </c>
      <c r="C971" s="3" t="str">
        <f t="shared" si="47"/>
        <v>260318</v>
      </c>
      <c r="D971" s="3" t="str">
        <f t="shared" si="48"/>
        <v>P00225000</v>
      </c>
      <c r="E971" s="42">
        <v>46329.440972222219</v>
      </c>
      <c r="F971" s="11">
        <v>225</v>
      </c>
      <c r="G971" s="41">
        <v>11.71</v>
      </c>
      <c r="H971" s="41">
        <v>9.1999999999999993</v>
      </c>
      <c r="I971" s="41">
        <v>12.85</v>
      </c>
      <c r="J971" s="27">
        <v>0</v>
      </c>
      <c r="K971" s="28">
        <v>0</v>
      </c>
      <c r="L971" s="41">
        <v>2</v>
      </c>
      <c r="M971" s="41">
        <v>4</v>
      </c>
      <c r="N971" s="57">
        <v>0.81100000000000005</v>
      </c>
      <c r="O971" t="s">
        <v>65</v>
      </c>
      <c r="P971" s="9">
        <v>46098</v>
      </c>
      <c r="Q971">
        <v>213.5</v>
      </c>
    </row>
    <row r="972" spans="1:17" x14ac:dyDescent="0.25">
      <c r="A972" s="10" t="s">
        <v>703</v>
      </c>
      <c r="B972" s="3" t="str">
        <f t="shared" si="49"/>
        <v>AMZN</v>
      </c>
      <c r="C972" s="3" t="str">
        <f t="shared" si="47"/>
        <v>260318</v>
      </c>
      <c r="D972" s="3" t="str">
        <f t="shared" si="48"/>
        <v>P00227500</v>
      </c>
      <c r="E972" s="41" t="s">
        <v>704</v>
      </c>
      <c r="F972" s="11">
        <v>227.5</v>
      </c>
      <c r="G972" s="41">
        <v>19.2</v>
      </c>
      <c r="H972" s="41">
        <v>11.65</v>
      </c>
      <c r="I972" s="41">
        <v>15.35</v>
      </c>
      <c r="J972" s="27">
        <v>0</v>
      </c>
      <c r="K972" s="28">
        <v>0</v>
      </c>
      <c r="L972" s="41">
        <v>1</v>
      </c>
      <c r="M972" s="41">
        <v>0</v>
      </c>
      <c r="N972" s="57">
        <v>0.91259999999999997</v>
      </c>
      <c r="O972" t="s">
        <v>65</v>
      </c>
      <c r="P972" s="9">
        <v>46098</v>
      </c>
      <c r="Q972">
        <v>213.5</v>
      </c>
    </row>
    <row r="973" spans="1:17" x14ac:dyDescent="0.25">
      <c r="A973" s="10" t="s">
        <v>705</v>
      </c>
      <c r="B973" s="3" t="str">
        <f t="shared" si="49"/>
        <v>AMZN</v>
      </c>
      <c r="C973" s="3" t="str">
        <f t="shared" si="47"/>
        <v>260318</v>
      </c>
      <c r="D973" s="3" t="str">
        <f t="shared" si="48"/>
        <v>P00230000</v>
      </c>
      <c r="E973" s="42">
        <v>46359.656944444447</v>
      </c>
      <c r="F973" s="11">
        <v>230</v>
      </c>
      <c r="G973" s="41">
        <v>20.329999999999998</v>
      </c>
      <c r="H973" s="41">
        <v>14.3</v>
      </c>
      <c r="I973" s="41">
        <v>17.850000000000001</v>
      </c>
      <c r="J973" s="27">
        <v>0</v>
      </c>
      <c r="K973" s="28">
        <v>0</v>
      </c>
      <c r="L973" s="41" t="s">
        <v>113</v>
      </c>
      <c r="M973" s="41" t="s">
        <v>113</v>
      </c>
      <c r="N973" s="57">
        <v>1.0093000000000001</v>
      </c>
      <c r="O973" t="s">
        <v>65</v>
      </c>
      <c r="P973" s="9">
        <v>46098</v>
      </c>
      <c r="Q973">
        <v>213.5</v>
      </c>
    </row>
    <row r="974" spans="1:17" x14ac:dyDescent="0.25">
      <c r="A974" s="10" t="s">
        <v>706</v>
      </c>
      <c r="B974" s="3" t="str">
        <f t="shared" si="49"/>
        <v>AMZN</v>
      </c>
      <c r="C974" s="3" t="str">
        <f t="shared" si="47"/>
        <v>260318</v>
      </c>
      <c r="D974" s="3" t="str">
        <f t="shared" si="48"/>
        <v>P00235000</v>
      </c>
      <c r="E974" s="42">
        <v>46329.450694444444</v>
      </c>
      <c r="F974" s="11">
        <v>235</v>
      </c>
      <c r="G974" s="41">
        <v>21.1</v>
      </c>
      <c r="H974" s="41">
        <v>19.25</v>
      </c>
      <c r="I974" s="41">
        <v>23.15</v>
      </c>
      <c r="J974" s="27">
        <v>0</v>
      </c>
      <c r="K974" s="28">
        <v>0</v>
      </c>
      <c r="L974" s="41" t="s">
        <v>113</v>
      </c>
      <c r="M974" s="41" t="s">
        <v>113</v>
      </c>
      <c r="N974" s="57">
        <v>1.2705</v>
      </c>
      <c r="O974" t="s">
        <v>65</v>
      </c>
      <c r="P974" s="9">
        <v>46098</v>
      </c>
      <c r="Q974">
        <v>213.5</v>
      </c>
    </row>
    <row r="975" spans="1:17" x14ac:dyDescent="0.25">
      <c r="A975" s="10" t="s">
        <v>707</v>
      </c>
      <c r="B975" s="3" t="str">
        <f t="shared" si="49"/>
        <v>AMZN</v>
      </c>
      <c r="C975" s="3" t="str">
        <f t="shared" si="47"/>
        <v>260318</v>
      </c>
      <c r="D975" s="3" t="str">
        <f t="shared" si="48"/>
        <v>P00245000</v>
      </c>
      <c r="E975" s="41" t="s">
        <v>615</v>
      </c>
      <c r="F975" s="11">
        <v>245</v>
      </c>
      <c r="G975" s="41">
        <v>31.29</v>
      </c>
      <c r="H975" s="41">
        <v>29.3</v>
      </c>
      <c r="I975" s="41">
        <v>33.15</v>
      </c>
      <c r="J975" s="25">
        <v>2.86</v>
      </c>
      <c r="K975" s="26">
        <v>0.10059999999999999</v>
      </c>
      <c r="L975" s="41">
        <v>2</v>
      </c>
      <c r="M975" s="41">
        <v>0</v>
      </c>
      <c r="N975" s="57">
        <v>1.6143000000000001</v>
      </c>
      <c r="O975" t="s">
        <v>65</v>
      </c>
      <c r="P975" s="9">
        <v>46098</v>
      </c>
      <c r="Q975">
        <v>213.5</v>
      </c>
    </row>
    <row r="976" spans="1:17" x14ac:dyDescent="0.25">
      <c r="A976" s="10" t="s">
        <v>708</v>
      </c>
      <c r="B976" s="3" t="str">
        <f t="shared" si="49"/>
        <v>AMZN</v>
      </c>
      <c r="C976" s="3" t="str">
        <f t="shared" si="47"/>
        <v>260318</v>
      </c>
      <c r="D976" s="3" t="str">
        <f t="shared" si="48"/>
        <v>P00260000</v>
      </c>
      <c r="E976" s="41" t="s">
        <v>611</v>
      </c>
      <c r="F976" s="11">
        <v>260</v>
      </c>
      <c r="G976" s="41">
        <v>46.1</v>
      </c>
      <c r="H976" s="41">
        <v>44.3</v>
      </c>
      <c r="I976" s="41">
        <v>48.15</v>
      </c>
      <c r="J976" s="29">
        <v>-5.0999999999999996</v>
      </c>
      <c r="K976" s="30">
        <v>-9.9599999999999994E-2</v>
      </c>
      <c r="L976" s="41">
        <v>1</v>
      </c>
      <c r="M976" s="41">
        <v>1</v>
      </c>
      <c r="N976" s="57">
        <v>2.0703</v>
      </c>
      <c r="O976" t="s">
        <v>65</v>
      </c>
      <c r="P976" s="9">
        <v>46098</v>
      </c>
      <c r="Q976">
        <v>213.5</v>
      </c>
    </row>
    <row r="977" spans="1:17" x14ac:dyDescent="0.25">
      <c r="A977" s="12" t="s">
        <v>709</v>
      </c>
      <c r="B977" s="3" t="str">
        <f t="shared" si="49"/>
        <v>AMZN</v>
      </c>
      <c r="C977" s="3" t="str">
        <f t="shared" si="47"/>
        <v>260320</v>
      </c>
      <c r="D977" s="3" t="str">
        <f t="shared" si="48"/>
        <v>C00085000</v>
      </c>
      <c r="E977" s="44">
        <v>46100.621527777781</v>
      </c>
      <c r="F977" s="13">
        <v>85</v>
      </c>
      <c r="G977" s="43">
        <v>122.09</v>
      </c>
      <c r="H977" s="43">
        <v>121.9</v>
      </c>
      <c r="I977" s="43">
        <v>125.6</v>
      </c>
      <c r="J977" s="32">
        <v>-2.08</v>
      </c>
      <c r="K977" s="33">
        <v>-1.6799999999999999E-2</v>
      </c>
      <c r="L977" s="43">
        <v>2</v>
      </c>
      <c r="M977" s="60">
        <v>4544</v>
      </c>
      <c r="N977" s="59">
        <v>10.9277</v>
      </c>
      <c r="O977" t="s">
        <v>62</v>
      </c>
      <c r="P977" s="9">
        <v>46100</v>
      </c>
      <c r="Q977">
        <v>209.18</v>
      </c>
    </row>
    <row r="978" spans="1:17" x14ac:dyDescent="0.25">
      <c r="A978" s="12" t="s">
        <v>710</v>
      </c>
      <c r="B978" s="3" t="str">
        <f t="shared" si="49"/>
        <v>AMZN</v>
      </c>
      <c r="C978" s="3" t="str">
        <f t="shared" si="47"/>
        <v>260320</v>
      </c>
      <c r="D978" s="3" t="str">
        <f t="shared" si="48"/>
        <v>C00090000</v>
      </c>
      <c r="E978" s="44">
        <v>46100.496527777781</v>
      </c>
      <c r="F978" s="13">
        <v>90</v>
      </c>
      <c r="G978" s="43">
        <v>117.22</v>
      </c>
      <c r="H978" s="43">
        <v>116.7</v>
      </c>
      <c r="I978" s="43">
        <v>121.05</v>
      </c>
      <c r="J978" s="32">
        <v>-2.0499999999999998</v>
      </c>
      <c r="K978" s="33">
        <v>-1.72E-2</v>
      </c>
      <c r="L978" s="43">
        <v>5</v>
      </c>
      <c r="M978" s="43">
        <v>296</v>
      </c>
      <c r="N978" s="59">
        <v>6.6093999999999999</v>
      </c>
      <c r="O978" t="s">
        <v>62</v>
      </c>
      <c r="P978" s="9">
        <v>46100</v>
      </c>
      <c r="Q978">
        <v>209.18</v>
      </c>
    </row>
    <row r="979" spans="1:17" x14ac:dyDescent="0.25">
      <c r="A979" s="12" t="s">
        <v>711</v>
      </c>
      <c r="B979" s="3" t="str">
        <f t="shared" si="49"/>
        <v>AMZN</v>
      </c>
      <c r="C979" s="3" t="str">
        <f t="shared" si="47"/>
        <v>260320</v>
      </c>
      <c r="D979" s="3" t="str">
        <f t="shared" si="48"/>
        <v>C00095000</v>
      </c>
      <c r="E979" s="44">
        <v>46100.493750000001</v>
      </c>
      <c r="F979" s="13">
        <v>95</v>
      </c>
      <c r="G979" s="43">
        <v>112.24</v>
      </c>
      <c r="H979" s="43">
        <v>111.7</v>
      </c>
      <c r="I979" s="43">
        <v>116</v>
      </c>
      <c r="J979" s="32">
        <v>-2.02</v>
      </c>
      <c r="K979" s="33">
        <v>-1.77E-2</v>
      </c>
      <c r="L979" s="43">
        <v>3</v>
      </c>
      <c r="M979" s="43">
        <v>306</v>
      </c>
      <c r="N979" s="59">
        <v>6.0312999999999999</v>
      </c>
      <c r="O979" t="s">
        <v>62</v>
      </c>
      <c r="P979" s="9">
        <v>46100</v>
      </c>
      <c r="Q979">
        <v>209.18</v>
      </c>
    </row>
    <row r="980" spans="1:17" x14ac:dyDescent="0.25">
      <c r="A980" s="12" t="s">
        <v>712</v>
      </c>
      <c r="B980" s="3" t="str">
        <f t="shared" si="49"/>
        <v>AMZN</v>
      </c>
      <c r="C980" s="3" t="str">
        <f t="shared" si="47"/>
        <v>260320</v>
      </c>
      <c r="D980" s="3" t="str">
        <f t="shared" si="48"/>
        <v>C00100000</v>
      </c>
      <c r="E980" s="44">
        <v>46100.604166666664</v>
      </c>
      <c r="F980" s="13">
        <v>100</v>
      </c>
      <c r="G980" s="43">
        <v>107.82</v>
      </c>
      <c r="H980" s="43">
        <v>106.75</v>
      </c>
      <c r="I980" s="43">
        <v>110.9</v>
      </c>
      <c r="J980" s="32">
        <v>-1.38</v>
      </c>
      <c r="K980" s="33">
        <v>-1.26E-2</v>
      </c>
      <c r="L980" s="43">
        <v>259</v>
      </c>
      <c r="M980" s="43">
        <v>513</v>
      </c>
      <c r="N980" s="59">
        <v>5.4687999999999999</v>
      </c>
      <c r="O980" t="s">
        <v>62</v>
      </c>
      <c r="P980" s="9">
        <v>46100</v>
      </c>
      <c r="Q980">
        <v>209.18</v>
      </c>
    </row>
    <row r="981" spans="1:17" x14ac:dyDescent="0.25">
      <c r="A981" s="12" t="s">
        <v>713</v>
      </c>
      <c r="B981" s="3" t="str">
        <f t="shared" si="49"/>
        <v>AMZN</v>
      </c>
      <c r="C981" s="3" t="str">
        <f t="shared" si="47"/>
        <v>260320</v>
      </c>
      <c r="D981" s="3" t="str">
        <f t="shared" si="48"/>
        <v>C00105000</v>
      </c>
      <c r="E981" s="44">
        <v>46099.655555555553</v>
      </c>
      <c r="F981" s="13">
        <v>105</v>
      </c>
      <c r="G981" s="43">
        <v>104.19</v>
      </c>
      <c r="H981" s="43">
        <v>101.65</v>
      </c>
      <c r="I981" s="43">
        <v>106</v>
      </c>
      <c r="J981" s="31">
        <v>0</v>
      </c>
      <c r="K981" s="34">
        <v>0</v>
      </c>
      <c r="L981" s="43">
        <v>10</v>
      </c>
      <c r="M981" s="43">
        <v>69</v>
      </c>
      <c r="N981" s="59">
        <v>5.125</v>
      </c>
      <c r="O981" t="s">
        <v>62</v>
      </c>
      <c r="P981" s="9">
        <v>46100</v>
      </c>
      <c r="Q981">
        <v>209.18</v>
      </c>
    </row>
    <row r="982" spans="1:17" x14ac:dyDescent="0.25">
      <c r="A982" s="12" t="s">
        <v>714</v>
      </c>
      <c r="B982" s="3" t="str">
        <f t="shared" si="49"/>
        <v>AMZN</v>
      </c>
      <c r="C982" s="3" t="str">
        <f t="shared" si="47"/>
        <v>260320</v>
      </c>
      <c r="D982" s="3" t="str">
        <f t="shared" si="48"/>
        <v>C00110000</v>
      </c>
      <c r="E982" s="44">
        <v>46100.513888888891</v>
      </c>
      <c r="F982" s="13">
        <v>110</v>
      </c>
      <c r="G982" s="43">
        <v>96.01</v>
      </c>
      <c r="H982" s="43">
        <v>96.65</v>
      </c>
      <c r="I982" s="43">
        <v>101</v>
      </c>
      <c r="J982" s="32">
        <v>-3.13</v>
      </c>
      <c r="K982" s="33">
        <v>-3.1600000000000003E-2</v>
      </c>
      <c r="L982" s="43">
        <v>3</v>
      </c>
      <c r="M982" s="43">
        <v>264</v>
      </c>
      <c r="N982" s="59">
        <v>4.7968999999999999</v>
      </c>
      <c r="O982" t="s">
        <v>62</v>
      </c>
      <c r="P982" s="9">
        <v>46100</v>
      </c>
      <c r="Q982">
        <v>209.18</v>
      </c>
    </row>
    <row r="983" spans="1:17" x14ac:dyDescent="0.25">
      <c r="A983" s="12" t="s">
        <v>715</v>
      </c>
      <c r="B983" s="3" t="str">
        <f t="shared" si="49"/>
        <v>AMZN</v>
      </c>
      <c r="C983" s="3" t="str">
        <f t="shared" si="47"/>
        <v>260320</v>
      </c>
      <c r="D983" s="3" t="str">
        <f t="shared" si="48"/>
        <v>C00115000</v>
      </c>
      <c r="E983" s="44">
        <v>46100.620138888888</v>
      </c>
      <c r="F983" s="13">
        <v>115</v>
      </c>
      <c r="G983" s="43">
        <v>92</v>
      </c>
      <c r="H983" s="43">
        <v>91.65</v>
      </c>
      <c r="I983" s="43">
        <v>96</v>
      </c>
      <c r="J983" s="32">
        <v>-2.5</v>
      </c>
      <c r="K983" s="33">
        <v>-2.6499999999999999E-2</v>
      </c>
      <c r="L983" s="43">
        <v>5</v>
      </c>
      <c r="M983" s="43">
        <v>79</v>
      </c>
      <c r="N983" s="59">
        <v>4.5</v>
      </c>
      <c r="O983" t="s">
        <v>62</v>
      </c>
      <c r="P983" s="9">
        <v>46100</v>
      </c>
      <c r="Q983">
        <v>209.18</v>
      </c>
    </row>
    <row r="984" spans="1:17" x14ac:dyDescent="0.25">
      <c r="A984" s="12" t="s">
        <v>716</v>
      </c>
      <c r="B984" s="3" t="str">
        <f t="shared" si="49"/>
        <v>AMZN</v>
      </c>
      <c r="C984" s="3" t="str">
        <f t="shared" si="47"/>
        <v>260320</v>
      </c>
      <c r="D984" s="3" t="str">
        <f t="shared" si="48"/>
        <v>C00120000</v>
      </c>
      <c r="E984" s="44">
        <v>46100.620138888888</v>
      </c>
      <c r="F984" s="13">
        <v>120</v>
      </c>
      <c r="G984" s="43">
        <v>88.7</v>
      </c>
      <c r="H984" s="43">
        <v>86.65</v>
      </c>
      <c r="I984" s="43">
        <v>91</v>
      </c>
      <c r="J984" s="32">
        <v>-0.57999999999999996</v>
      </c>
      <c r="K984" s="33">
        <v>-6.4999999999999997E-3</v>
      </c>
      <c r="L984" s="43">
        <v>15</v>
      </c>
      <c r="M984" s="43">
        <v>202</v>
      </c>
      <c r="N984" s="59">
        <v>4.2031000000000001</v>
      </c>
      <c r="O984" t="s">
        <v>62</v>
      </c>
      <c r="P984" s="9">
        <v>46100</v>
      </c>
      <c r="Q984">
        <v>209.18</v>
      </c>
    </row>
    <row r="985" spans="1:17" x14ac:dyDescent="0.25">
      <c r="A985" s="12" t="s">
        <v>717</v>
      </c>
      <c r="B985" s="3" t="str">
        <f t="shared" si="49"/>
        <v>AMZN</v>
      </c>
      <c r="C985" s="3" t="str">
        <f t="shared" si="47"/>
        <v>260320</v>
      </c>
      <c r="D985" s="3" t="str">
        <f t="shared" si="48"/>
        <v>C00125000</v>
      </c>
      <c r="E985" s="44">
        <v>46100.629861111112</v>
      </c>
      <c r="F985" s="13">
        <v>125</v>
      </c>
      <c r="G985" s="43">
        <v>83.91</v>
      </c>
      <c r="H985" s="43">
        <v>81.650000000000006</v>
      </c>
      <c r="I985" s="43">
        <v>86.05</v>
      </c>
      <c r="J985" s="32">
        <v>-0.28999999999999998</v>
      </c>
      <c r="K985" s="33">
        <v>-3.3999999999999998E-3</v>
      </c>
      <c r="L985" s="43">
        <v>85</v>
      </c>
      <c r="M985" s="60">
        <v>1101</v>
      </c>
      <c r="N985" s="59">
        <v>4.0625</v>
      </c>
      <c r="O985" t="s">
        <v>62</v>
      </c>
      <c r="P985" s="9">
        <v>46100</v>
      </c>
      <c r="Q985">
        <v>209.18</v>
      </c>
    </row>
    <row r="986" spans="1:17" x14ac:dyDescent="0.25">
      <c r="A986" s="12" t="s">
        <v>718</v>
      </c>
      <c r="B986" s="3" t="str">
        <f t="shared" si="49"/>
        <v>AMZN</v>
      </c>
      <c r="C986" s="3" t="str">
        <f t="shared" si="47"/>
        <v>260320</v>
      </c>
      <c r="D986" s="3" t="str">
        <f t="shared" si="48"/>
        <v>C00130000</v>
      </c>
      <c r="E986" s="44">
        <v>46100.629861111112</v>
      </c>
      <c r="F986" s="13">
        <v>130</v>
      </c>
      <c r="G986" s="43">
        <v>79.06</v>
      </c>
      <c r="H986" s="43">
        <v>76.75</v>
      </c>
      <c r="I986" s="43">
        <v>81.05</v>
      </c>
      <c r="J986" s="32">
        <v>-0.33</v>
      </c>
      <c r="K986" s="33">
        <v>-4.1999999999999997E-3</v>
      </c>
      <c r="L986" s="43">
        <v>10</v>
      </c>
      <c r="M986" s="43">
        <v>303</v>
      </c>
      <c r="N986" s="59">
        <v>3.9961000000000002</v>
      </c>
      <c r="O986" t="s">
        <v>62</v>
      </c>
      <c r="P986" s="9">
        <v>46100</v>
      </c>
      <c r="Q986">
        <v>209.18</v>
      </c>
    </row>
    <row r="987" spans="1:17" x14ac:dyDescent="0.25">
      <c r="A987" s="12" t="s">
        <v>719</v>
      </c>
      <c r="B987" s="3" t="str">
        <f t="shared" si="49"/>
        <v>AMZN</v>
      </c>
      <c r="C987" s="3" t="str">
        <f t="shared" si="47"/>
        <v>260320</v>
      </c>
      <c r="D987" s="3" t="str">
        <f t="shared" si="48"/>
        <v>C00135000</v>
      </c>
      <c r="E987" s="44">
        <v>46100.552083333336</v>
      </c>
      <c r="F987" s="13">
        <v>135</v>
      </c>
      <c r="G987" s="43">
        <v>73.62</v>
      </c>
      <c r="H987" s="43">
        <v>72.05</v>
      </c>
      <c r="I987" s="43">
        <v>75.75</v>
      </c>
      <c r="J987" s="32">
        <v>-0.77</v>
      </c>
      <c r="K987" s="33">
        <v>-1.04E-2</v>
      </c>
      <c r="L987" s="43">
        <v>155</v>
      </c>
      <c r="M987" s="43">
        <v>138</v>
      </c>
      <c r="N987" s="59">
        <v>3.7109000000000001</v>
      </c>
      <c r="O987" t="s">
        <v>62</v>
      </c>
      <c r="P987" s="9">
        <v>46100</v>
      </c>
      <c r="Q987">
        <v>209.18</v>
      </c>
    </row>
    <row r="988" spans="1:17" x14ac:dyDescent="0.25">
      <c r="A988" s="12" t="s">
        <v>720</v>
      </c>
      <c r="B988" s="3" t="str">
        <f t="shared" si="49"/>
        <v>AMZN</v>
      </c>
      <c r="C988" s="3" t="str">
        <f t="shared" si="47"/>
        <v>260320</v>
      </c>
      <c r="D988" s="3" t="str">
        <f t="shared" si="48"/>
        <v>C00140000</v>
      </c>
      <c r="E988" s="44">
        <v>46100.647222222222</v>
      </c>
      <c r="F988" s="13">
        <v>140</v>
      </c>
      <c r="G988" s="43">
        <v>68.2</v>
      </c>
      <c r="H988" s="43">
        <v>66.650000000000006</v>
      </c>
      <c r="I988" s="43">
        <v>70.900000000000006</v>
      </c>
      <c r="J988" s="32">
        <v>-1.46</v>
      </c>
      <c r="K988" s="33">
        <v>-2.1000000000000001E-2</v>
      </c>
      <c r="L988" s="43">
        <v>172</v>
      </c>
      <c r="M988" s="43">
        <v>214</v>
      </c>
      <c r="N988" s="59">
        <v>2.6875</v>
      </c>
      <c r="O988" t="s">
        <v>62</v>
      </c>
      <c r="P988" s="9">
        <v>46100</v>
      </c>
      <c r="Q988">
        <v>209.18</v>
      </c>
    </row>
    <row r="989" spans="1:17" x14ac:dyDescent="0.25">
      <c r="A989" s="12" t="s">
        <v>721</v>
      </c>
      <c r="B989" s="3" t="str">
        <f t="shared" si="49"/>
        <v>AMZN</v>
      </c>
      <c r="C989" s="3" t="str">
        <f t="shared" si="47"/>
        <v>260320</v>
      </c>
      <c r="D989" s="3" t="str">
        <f t="shared" si="48"/>
        <v>C00145000</v>
      </c>
      <c r="E989" s="44">
        <v>46100.512499999997</v>
      </c>
      <c r="F989" s="13">
        <v>145</v>
      </c>
      <c r="G989" s="43">
        <v>63.8</v>
      </c>
      <c r="H989" s="43">
        <v>61.7</v>
      </c>
      <c r="I989" s="43">
        <v>65.900000000000006</v>
      </c>
      <c r="J989" s="32">
        <v>-0.49</v>
      </c>
      <c r="K989" s="33">
        <v>-7.6E-3</v>
      </c>
      <c r="L989" s="43">
        <v>13</v>
      </c>
      <c r="M989" s="43">
        <v>177</v>
      </c>
      <c r="N989" s="59">
        <v>2.7187999999999999</v>
      </c>
      <c r="O989" t="s">
        <v>62</v>
      </c>
      <c r="P989" s="9">
        <v>46100</v>
      </c>
      <c r="Q989">
        <v>209.18</v>
      </c>
    </row>
    <row r="990" spans="1:17" x14ac:dyDescent="0.25">
      <c r="A990" s="12" t="s">
        <v>722</v>
      </c>
      <c r="B990" s="3" t="str">
        <f t="shared" si="49"/>
        <v>AMZN</v>
      </c>
      <c r="C990" s="3" t="str">
        <f t="shared" si="47"/>
        <v>260320</v>
      </c>
      <c r="D990" s="3" t="str">
        <f t="shared" si="48"/>
        <v>C00150000</v>
      </c>
      <c r="E990" s="44">
        <v>46100.651388888888</v>
      </c>
      <c r="F990" s="13">
        <v>150</v>
      </c>
      <c r="G990" s="43">
        <v>58.24</v>
      </c>
      <c r="H990" s="43">
        <v>57</v>
      </c>
      <c r="I990" s="43">
        <v>60.5</v>
      </c>
      <c r="J990" s="32">
        <v>-1.21</v>
      </c>
      <c r="K990" s="33">
        <v>-2.0400000000000001E-2</v>
      </c>
      <c r="L990" s="43">
        <v>37</v>
      </c>
      <c r="M990" s="60">
        <v>2438</v>
      </c>
      <c r="N990" s="59">
        <v>4.6620999999999997</v>
      </c>
      <c r="O990" t="s">
        <v>62</v>
      </c>
      <c r="P990" s="9">
        <v>46100</v>
      </c>
      <c r="Q990">
        <v>209.18</v>
      </c>
    </row>
    <row r="991" spans="1:17" x14ac:dyDescent="0.25">
      <c r="A991" s="12" t="s">
        <v>723</v>
      </c>
      <c r="B991" s="3" t="str">
        <f t="shared" si="49"/>
        <v>AMZN</v>
      </c>
      <c r="C991" s="3" t="str">
        <f t="shared" si="47"/>
        <v>260320</v>
      </c>
      <c r="D991" s="3" t="str">
        <f t="shared" si="48"/>
        <v>C00155000</v>
      </c>
      <c r="E991" s="44">
        <v>46100.563888888886</v>
      </c>
      <c r="F991" s="13">
        <v>155</v>
      </c>
      <c r="G991" s="43">
        <v>52.52</v>
      </c>
      <c r="H991" s="43">
        <v>51.7</v>
      </c>
      <c r="I991" s="43">
        <v>56</v>
      </c>
      <c r="J991" s="32">
        <v>-2.0499999999999998</v>
      </c>
      <c r="K991" s="33">
        <v>-3.7600000000000001E-2</v>
      </c>
      <c r="L991" s="43">
        <v>6</v>
      </c>
      <c r="M991" s="43">
        <v>309</v>
      </c>
      <c r="N991" s="59">
        <v>2.4922</v>
      </c>
      <c r="O991" t="s">
        <v>62</v>
      </c>
      <c r="P991" s="9">
        <v>46100</v>
      </c>
      <c r="Q991">
        <v>209.18</v>
      </c>
    </row>
    <row r="992" spans="1:17" x14ac:dyDescent="0.25">
      <c r="A992" s="12" t="s">
        <v>724</v>
      </c>
      <c r="B992" s="3" t="str">
        <f t="shared" si="49"/>
        <v>AMZN</v>
      </c>
      <c r="C992" s="3" t="str">
        <f t="shared" si="47"/>
        <v>260320</v>
      </c>
      <c r="D992" s="3" t="str">
        <f t="shared" si="48"/>
        <v>C00160000</v>
      </c>
      <c r="E992" s="44">
        <v>46100.657638888886</v>
      </c>
      <c r="F992" s="13">
        <v>160</v>
      </c>
      <c r="G992" s="43">
        <v>48.86</v>
      </c>
      <c r="H992" s="43">
        <v>47.25</v>
      </c>
      <c r="I992" s="43">
        <v>50</v>
      </c>
      <c r="J992" s="32">
        <v>-0.34</v>
      </c>
      <c r="K992" s="33">
        <v>-6.8999999999999999E-3</v>
      </c>
      <c r="L992" s="43">
        <v>24</v>
      </c>
      <c r="M992" s="60">
        <v>2065</v>
      </c>
      <c r="N992" s="59">
        <v>3.6093999999999999</v>
      </c>
      <c r="O992" t="s">
        <v>62</v>
      </c>
      <c r="P992" s="9">
        <v>46100</v>
      </c>
      <c r="Q992">
        <v>209.18</v>
      </c>
    </row>
    <row r="993" spans="1:17" x14ac:dyDescent="0.25">
      <c r="A993" s="12" t="s">
        <v>725</v>
      </c>
      <c r="B993" s="3" t="str">
        <f t="shared" si="49"/>
        <v>AMZN</v>
      </c>
      <c r="C993" s="3" t="str">
        <f t="shared" si="47"/>
        <v>260320</v>
      </c>
      <c r="D993" s="3" t="str">
        <f t="shared" si="48"/>
        <v>C00165000</v>
      </c>
      <c r="E993" s="44">
        <v>46100.54791666667</v>
      </c>
      <c r="F993" s="13">
        <v>165</v>
      </c>
      <c r="G993" s="43">
        <v>41.93</v>
      </c>
      <c r="H993" s="43">
        <v>41.85</v>
      </c>
      <c r="I993" s="43">
        <v>44.8</v>
      </c>
      <c r="J993" s="32">
        <v>-3.05</v>
      </c>
      <c r="K993" s="33">
        <v>-6.7799999999999999E-2</v>
      </c>
      <c r="L993" s="43">
        <v>39</v>
      </c>
      <c r="M993" s="60">
        <v>3522</v>
      </c>
      <c r="N993" s="59">
        <v>3.1387</v>
      </c>
      <c r="O993" t="s">
        <v>62</v>
      </c>
      <c r="P993" s="9">
        <v>46100</v>
      </c>
      <c r="Q993">
        <v>209.18</v>
      </c>
    </row>
    <row r="994" spans="1:17" x14ac:dyDescent="0.25">
      <c r="A994" s="12" t="s">
        <v>726</v>
      </c>
      <c r="B994" s="3" t="str">
        <f t="shared" si="49"/>
        <v>AMZN</v>
      </c>
      <c r="C994" s="3" t="str">
        <f t="shared" si="47"/>
        <v>260320</v>
      </c>
      <c r="D994" s="3" t="str">
        <f t="shared" si="48"/>
        <v>C00170000</v>
      </c>
      <c r="E994" s="44">
        <v>46100.65625</v>
      </c>
      <c r="F994" s="13">
        <v>170</v>
      </c>
      <c r="G994" s="43">
        <v>38.65</v>
      </c>
      <c r="H994" s="43">
        <v>37.6</v>
      </c>
      <c r="I994" s="43">
        <v>40.1</v>
      </c>
      <c r="J994" s="32">
        <v>-2.38</v>
      </c>
      <c r="K994" s="33">
        <v>-5.8000000000000003E-2</v>
      </c>
      <c r="L994" s="43">
        <v>32</v>
      </c>
      <c r="M994" s="43">
        <v>751</v>
      </c>
      <c r="N994" s="59">
        <v>1.7968999999999999</v>
      </c>
      <c r="O994" t="s">
        <v>62</v>
      </c>
      <c r="P994" s="9">
        <v>46100</v>
      </c>
      <c r="Q994">
        <v>209.18</v>
      </c>
    </row>
    <row r="995" spans="1:17" x14ac:dyDescent="0.25">
      <c r="A995" s="12" t="s">
        <v>727</v>
      </c>
      <c r="B995" s="3" t="str">
        <f t="shared" si="49"/>
        <v>AMZN</v>
      </c>
      <c r="C995" s="3" t="str">
        <f t="shared" si="47"/>
        <v>260320</v>
      </c>
      <c r="D995" s="3" t="str">
        <f t="shared" si="48"/>
        <v>C00175000</v>
      </c>
      <c r="E995" s="44">
        <v>46100.655555555553</v>
      </c>
      <c r="F995" s="13">
        <v>175</v>
      </c>
      <c r="G995" s="43">
        <v>33.549999999999997</v>
      </c>
      <c r="H995" s="43">
        <v>32.700000000000003</v>
      </c>
      <c r="I995" s="43">
        <v>35.1</v>
      </c>
      <c r="J995" s="32">
        <v>-2.89</v>
      </c>
      <c r="K995" s="33">
        <v>-7.9299999999999995E-2</v>
      </c>
      <c r="L995" s="43">
        <v>34</v>
      </c>
      <c r="M995" s="43">
        <v>847</v>
      </c>
      <c r="N995" s="59">
        <v>1.6797</v>
      </c>
      <c r="O995" t="s">
        <v>62</v>
      </c>
      <c r="P995" s="9">
        <v>46100</v>
      </c>
      <c r="Q995">
        <v>209.18</v>
      </c>
    </row>
    <row r="996" spans="1:17" x14ac:dyDescent="0.25">
      <c r="A996" s="12" t="s">
        <v>728</v>
      </c>
      <c r="B996" s="3" t="str">
        <f t="shared" si="49"/>
        <v>AMZN</v>
      </c>
      <c r="C996" s="3" t="str">
        <f t="shared" si="47"/>
        <v>260320</v>
      </c>
      <c r="D996" s="3" t="str">
        <f t="shared" si="48"/>
        <v>C00180000</v>
      </c>
      <c r="E996" s="44">
        <v>46100.652083333334</v>
      </c>
      <c r="F996" s="13">
        <v>180</v>
      </c>
      <c r="G996" s="43">
        <v>28.24</v>
      </c>
      <c r="H996" s="43">
        <v>27.7</v>
      </c>
      <c r="I996" s="43">
        <v>29.05</v>
      </c>
      <c r="J996" s="32">
        <v>-0.61</v>
      </c>
      <c r="K996" s="33">
        <v>-2.1100000000000001E-2</v>
      </c>
      <c r="L996" s="43">
        <v>57</v>
      </c>
      <c r="M996" s="60">
        <v>3306</v>
      </c>
      <c r="N996" s="59">
        <v>1.6445000000000001</v>
      </c>
      <c r="O996" t="s">
        <v>62</v>
      </c>
      <c r="P996" s="9">
        <v>46100</v>
      </c>
      <c r="Q996">
        <v>209.18</v>
      </c>
    </row>
    <row r="997" spans="1:17" x14ac:dyDescent="0.25">
      <c r="A997" s="12" t="s">
        <v>729</v>
      </c>
      <c r="B997" s="3" t="str">
        <f t="shared" si="49"/>
        <v>AMZN</v>
      </c>
      <c r="C997" s="3" t="str">
        <f t="shared" si="47"/>
        <v>260320</v>
      </c>
      <c r="D997" s="3" t="str">
        <f t="shared" si="48"/>
        <v>C00185000</v>
      </c>
      <c r="E997" s="44">
        <v>46100.585416666669</v>
      </c>
      <c r="F997" s="13">
        <v>185</v>
      </c>
      <c r="G997" s="43">
        <v>24</v>
      </c>
      <c r="H997" s="43">
        <v>23.1</v>
      </c>
      <c r="I997" s="43">
        <v>25</v>
      </c>
      <c r="J997" s="32">
        <v>-0.43</v>
      </c>
      <c r="K997" s="33">
        <v>-1.7600000000000001E-2</v>
      </c>
      <c r="L997" s="43">
        <v>359</v>
      </c>
      <c r="M997" s="60">
        <v>1191</v>
      </c>
      <c r="N997" s="59">
        <v>1.3926000000000001</v>
      </c>
      <c r="O997" t="s">
        <v>62</v>
      </c>
      <c r="P997" s="9">
        <v>46100</v>
      </c>
      <c r="Q997">
        <v>209.18</v>
      </c>
    </row>
    <row r="998" spans="1:17" x14ac:dyDescent="0.25">
      <c r="A998" s="12" t="s">
        <v>730</v>
      </c>
      <c r="B998" s="3" t="str">
        <f t="shared" si="49"/>
        <v>AMZN</v>
      </c>
      <c r="C998" s="3" t="str">
        <f t="shared" si="47"/>
        <v>260320</v>
      </c>
      <c r="D998" s="3" t="str">
        <f t="shared" si="48"/>
        <v>C00187500</v>
      </c>
      <c r="E998" s="44">
        <v>46100.5</v>
      </c>
      <c r="F998" s="13">
        <v>187.5</v>
      </c>
      <c r="G998" s="43">
        <v>21.2</v>
      </c>
      <c r="H998" s="43">
        <v>20.149999999999999</v>
      </c>
      <c r="I998" s="43">
        <v>21.55</v>
      </c>
      <c r="J998" s="32">
        <v>-0.98</v>
      </c>
      <c r="K998" s="33">
        <v>-4.4200000000000003E-2</v>
      </c>
      <c r="L998" s="43">
        <v>3</v>
      </c>
      <c r="M998" s="60">
        <v>1162</v>
      </c>
      <c r="N998" s="59">
        <v>1.2656000000000001</v>
      </c>
      <c r="O998" t="s">
        <v>62</v>
      </c>
      <c r="P998" s="9">
        <v>46100</v>
      </c>
      <c r="Q998">
        <v>209.18</v>
      </c>
    </row>
    <row r="999" spans="1:17" x14ac:dyDescent="0.25">
      <c r="A999" s="12" t="s">
        <v>731</v>
      </c>
      <c r="B999" s="3" t="str">
        <f t="shared" si="49"/>
        <v>AMZN</v>
      </c>
      <c r="C999" s="3" t="str">
        <f t="shared" si="47"/>
        <v>260320</v>
      </c>
      <c r="D999" s="3" t="str">
        <f t="shared" si="48"/>
        <v>C00190000</v>
      </c>
      <c r="E999" s="44">
        <v>46100.655555555553</v>
      </c>
      <c r="F999" s="13">
        <v>190</v>
      </c>
      <c r="G999" s="43">
        <v>18.62</v>
      </c>
      <c r="H999" s="43">
        <v>17.8</v>
      </c>
      <c r="I999" s="43">
        <v>19.100000000000001</v>
      </c>
      <c r="J999" s="32">
        <v>-1.44</v>
      </c>
      <c r="K999" s="33">
        <v>-7.1800000000000003E-2</v>
      </c>
      <c r="L999" s="43">
        <v>521</v>
      </c>
      <c r="M999" s="60">
        <v>3944</v>
      </c>
      <c r="N999" s="59">
        <v>1.1797</v>
      </c>
      <c r="O999" t="s">
        <v>62</v>
      </c>
      <c r="P999" s="9">
        <v>46100</v>
      </c>
      <c r="Q999">
        <v>209.18</v>
      </c>
    </row>
    <row r="1000" spans="1:17" x14ac:dyDescent="0.25">
      <c r="A1000" s="12" t="s">
        <v>732</v>
      </c>
      <c r="B1000" s="3" t="str">
        <f t="shared" si="49"/>
        <v>AMZN</v>
      </c>
      <c r="C1000" s="3" t="str">
        <f t="shared" si="47"/>
        <v>260320</v>
      </c>
      <c r="D1000" s="3" t="str">
        <f t="shared" si="48"/>
        <v>C00192500</v>
      </c>
      <c r="E1000" s="44">
        <v>46100.649305555555</v>
      </c>
      <c r="F1000" s="13">
        <v>192.5</v>
      </c>
      <c r="G1000" s="43">
        <v>15.95</v>
      </c>
      <c r="H1000" s="43">
        <v>15.4</v>
      </c>
      <c r="I1000" s="43">
        <v>16.7</v>
      </c>
      <c r="J1000" s="32">
        <v>-1.1599999999999999</v>
      </c>
      <c r="K1000" s="33">
        <v>-6.7799999999999999E-2</v>
      </c>
      <c r="L1000" s="43">
        <v>12</v>
      </c>
      <c r="M1000" s="43">
        <v>460</v>
      </c>
      <c r="N1000" s="59">
        <v>1.1152</v>
      </c>
      <c r="O1000" t="s">
        <v>62</v>
      </c>
      <c r="P1000" s="9">
        <v>46100</v>
      </c>
      <c r="Q1000">
        <v>209.18</v>
      </c>
    </row>
    <row r="1001" spans="1:17" x14ac:dyDescent="0.25">
      <c r="A1001" s="12" t="s">
        <v>733</v>
      </c>
      <c r="B1001" s="3" t="str">
        <f t="shared" si="49"/>
        <v>AMZN</v>
      </c>
      <c r="C1001" s="3" t="str">
        <f t="shared" si="47"/>
        <v>260320</v>
      </c>
      <c r="D1001" s="3" t="str">
        <f t="shared" si="48"/>
        <v>C00195000</v>
      </c>
      <c r="E1001" s="44">
        <v>46100.663888888892</v>
      </c>
      <c r="F1001" s="13">
        <v>195</v>
      </c>
      <c r="G1001" s="43">
        <v>13.8</v>
      </c>
      <c r="H1001" s="43">
        <v>13.75</v>
      </c>
      <c r="I1001" s="43">
        <v>14.05</v>
      </c>
      <c r="J1001" s="32">
        <v>-1.36</v>
      </c>
      <c r="K1001" s="33">
        <v>-8.9700000000000002E-2</v>
      </c>
      <c r="L1001" s="43">
        <v>279</v>
      </c>
      <c r="M1001" s="60">
        <v>2469</v>
      </c>
      <c r="N1001" s="59">
        <v>0.75780000000000003</v>
      </c>
      <c r="O1001" t="s">
        <v>62</v>
      </c>
      <c r="P1001" s="9">
        <v>46100</v>
      </c>
      <c r="Q1001">
        <v>209.18</v>
      </c>
    </row>
    <row r="1002" spans="1:17" x14ac:dyDescent="0.25">
      <c r="A1002" s="12" t="s">
        <v>734</v>
      </c>
      <c r="B1002" s="3" t="str">
        <f t="shared" si="49"/>
        <v>AMZN</v>
      </c>
      <c r="C1002" s="3" t="str">
        <f t="shared" si="47"/>
        <v>260320</v>
      </c>
      <c r="D1002" s="3" t="str">
        <f t="shared" si="48"/>
        <v>C00197500</v>
      </c>
      <c r="E1002" s="44">
        <v>46100.652777777781</v>
      </c>
      <c r="F1002" s="13">
        <v>197.5</v>
      </c>
      <c r="G1002" s="43">
        <v>10.99</v>
      </c>
      <c r="H1002" s="43">
        <v>11.2</v>
      </c>
      <c r="I1002" s="43">
        <v>12.15</v>
      </c>
      <c r="J1002" s="32">
        <v>-1.29</v>
      </c>
      <c r="K1002" s="33">
        <v>-0.105</v>
      </c>
      <c r="L1002" s="43">
        <v>64</v>
      </c>
      <c r="M1002" s="60">
        <v>1081</v>
      </c>
      <c r="N1002" s="59">
        <v>0.82620000000000005</v>
      </c>
      <c r="O1002" t="s">
        <v>62</v>
      </c>
      <c r="P1002" s="9">
        <v>46100</v>
      </c>
      <c r="Q1002">
        <v>209.18</v>
      </c>
    </row>
    <row r="1003" spans="1:17" x14ac:dyDescent="0.25">
      <c r="A1003" s="12" t="s">
        <v>735</v>
      </c>
      <c r="B1003" s="3" t="str">
        <f t="shared" si="49"/>
        <v>AMZN</v>
      </c>
      <c r="C1003" s="3" t="str">
        <f t="shared" si="47"/>
        <v>260320</v>
      </c>
      <c r="D1003" s="3" t="str">
        <f t="shared" si="48"/>
        <v>C00200000</v>
      </c>
      <c r="E1003" s="44">
        <v>46100.662499999999</v>
      </c>
      <c r="F1003" s="13">
        <v>200</v>
      </c>
      <c r="G1003" s="43">
        <v>9</v>
      </c>
      <c r="H1003" s="43">
        <v>8.65</v>
      </c>
      <c r="I1003" s="43">
        <v>9.1</v>
      </c>
      <c r="J1003" s="32">
        <v>-1.1000000000000001</v>
      </c>
      <c r="K1003" s="33">
        <v>-0.1089</v>
      </c>
      <c r="L1003" s="43">
        <v>649</v>
      </c>
      <c r="M1003" s="60">
        <v>6340</v>
      </c>
      <c r="N1003" s="59">
        <v>0.502</v>
      </c>
      <c r="O1003" t="s">
        <v>62</v>
      </c>
      <c r="P1003" s="9">
        <v>46100</v>
      </c>
      <c r="Q1003">
        <v>209.18</v>
      </c>
    </row>
    <row r="1004" spans="1:17" x14ac:dyDescent="0.25">
      <c r="A1004" s="12" t="s">
        <v>736</v>
      </c>
      <c r="B1004" s="3" t="str">
        <f t="shared" si="49"/>
        <v>AMZN</v>
      </c>
      <c r="C1004" s="3" t="str">
        <f t="shared" si="47"/>
        <v>260320</v>
      </c>
      <c r="D1004" s="3" t="str">
        <f t="shared" si="48"/>
        <v>C00202500</v>
      </c>
      <c r="E1004" s="44">
        <v>46100.662499999999</v>
      </c>
      <c r="F1004" s="13">
        <v>202.5</v>
      </c>
      <c r="G1004" s="43">
        <v>6.5</v>
      </c>
      <c r="H1004" s="43">
        <v>6.45</v>
      </c>
      <c r="I1004" s="43">
        <v>6.9</v>
      </c>
      <c r="J1004" s="32">
        <v>-0.99</v>
      </c>
      <c r="K1004" s="33">
        <v>-0.13220000000000001</v>
      </c>
      <c r="L1004" s="43">
        <v>214</v>
      </c>
      <c r="M1004" s="43">
        <v>605</v>
      </c>
      <c r="N1004" s="59">
        <v>0.53910000000000002</v>
      </c>
      <c r="O1004" t="s">
        <v>62</v>
      </c>
      <c r="P1004" s="9">
        <v>46100</v>
      </c>
      <c r="Q1004">
        <v>209.18</v>
      </c>
    </row>
    <row r="1005" spans="1:17" x14ac:dyDescent="0.25">
      <c r="A1005" s="12" t="s">
        <v>737</v>
      </c>
      <c r="B1005" s="3" t="str">
        <f t="shared" si="49"/>
        <v>AMZN</v>
      </c>
      <c r="C1005" s="3" t="str">
        <f t="shared" si="47"/>
        <v>260320</v>
      </c>
      <c r="D1005" s="3" t="str">
        <f t="shared" si="48"/>
        <v>C00205000</v>
      </c>
      <c r="E1005" s="44">
        <v>46100.665972222225</v>
      </c>
      <c r="F1005" s="13">
        <v>205</v>
      </c>
      <c r="G1005" s="43">
        <v>4.4000000000000004</v>
      </c>
      <c r="H1005" s="43">
        <v>4.25</v>
      </c>
      <c r="I1005" s="43">
        <v>4.45</v>
      </c>
      <c r="J1005" s="32">
        <v>-1.28</v>
      </c>
      <c r="K1005" s="33">
        <v>-0.22539999999999999</v>
      </c>
      <c r="L1005" s="60">
        <v>5864</v>
      </c>
      <c r="M1005" s="60">
        <v>6273</v>
      </c>
      <c r="N1005" s="59">
        <v>0.47270000000000001</v>
      </c>
      <c r="O1005" t="s">
        <v>62</v>
      </c>
      <c r="P1005" s="9">
        <v>46100</v>
      </c>
      <c r="Q1005">
        <v>209.18</v>
      </c>
    </row>
    <row r="1006" spans="1:17" x14ac:dyDescent="0.25">
      <c r="A1006" s="12" t="s">
        <v>738</v>
      </c>
      <c r="B1006" s="3" t="str">
        <f t="shared" si="49"/>
        <v>AMZN</v>
      </c>
      <c r="C1006" s="3" t="str">
        <f t="shared" si="47"/>
        <v>260320</v>
      </c>
      <c r="D1006" s="3" t="str">
        <f t="shared" si="48"/>
        <v>C00207500</v>
      </c>
      <c r="E1006" s="44">
        <v>46100.665972222225</v>
      </c>
      <c r="F1006" s="13">
        <v>207.5</v>
      </c>
      <c r="G1006" s="43">
        <v>2.44</v>
      </c>
      <c r="H1006" s="43">
        <v>2.4300000000000002</v>
      </c>
      <c r="I1006" s="43">
        <v>2.5099999999999998</v>
      </c>
      <c r="J1006" s="32">
        <v>-1.35</v>
      </c>
      <c r="K1006" s="33">
        <v>-0.35620000000000002</v>
      </c>
      <c r="L1006" s="60">
        <v>15604</v>
      </c>
      <c r="M1006" s="60">
        <v>2493</v>
      </c>
      <c r="N1006" s="59">
        <v>0.41649999999999998</v>
      </c>
      <c r="O1006" t="s">
        <v>62</v>
      </c>
      <c r="P1006" s="9">
        <v>46100</v>
      </c>
      <c r="Q1006">
        <v>209.18</v>
      </c>
    </row>
    <row r="1007" spans="1:17" x14ac:dyDescent="0.25">
      <c r="A1007" s="12" t="s">
        <v>739</v>
      </c>
      <c r="B1007" s="3" t="str">
        <f t="shared" si="49"/>
        <v>AMZN</v>
      </c>
      <c r="C1007" s="3" t="str">
        <f t="shared" si="47"/>
        <v>260320</v>
      </c>
      <c r="D1007" s="3" t="str">
        <f t="shared" si="48"/>
        <v>C00210000</v>
      </c>
      <c r="E1007" s="44">
        <v>46100.665972222225</v>
      </c>
      <c r="F1007" s="13">
        <v>210</v>
      </c>
      <c r="G1007" s="43">
        <v>1.1200000000000001</v>
      </c>
      <c r="H1007" s="43">
        <v>1.0900000000000001</v>
      </c>
      <c r="I1007" s="43">
        <v>1.1399999999999999</v>
      </c>
      <c r="J1007" s="32">
        <v>-1.1499999999999999</v>
      </c>
      <c r="K1007" s="33">
        <v>-0.50660000000000005</v>
      </c>
      <c r="L1007" s="60">
        <v>35096</v>
      </c>
      <c r="M1007" s="60">
        <v>20549</v>
      </c>
      <c r="N1007" s="59">
        <v>0.38619999999999999</v>
      </c>
      <c r="O1007" t="s">
        <v>62</v>
      </c>
      <c r="P1007" s="9">
        <v>46100</v>
      </c>
      <c r="Q1007">
        <v>209.18</v>
      </c>
    </row>
    <row r="1008" spans="1:17" x14ac:dyDescent="0.25">
      <c r="A1008" s="12" t="s">
        <v>740</v>
      </c>
      <c r="B1008" s="3" t="str">
        <f t="shared" si="49"/>
        <v>AMZN</v>
      </c>
      <c r="C1008" s="3" t="str">
        <f t="shared" si="47"/>
        <v>260320</v>
      </c>
      <c r="D1008" s="3" t="str">
        <f t="shared" si="48"/>
        <v>C00212500</v>
      </c>
      <c r="E1008" s="44">
        <v>46100.665972222225</v>
      </c>
      <c r="F1008" s="13">
        <v>212.5</v>
      </c>
      <c r="G1008" s="43">
        <v>0.37</v>
      </c>
      <c r="H1008" s="43">
        <v>0.36</v>
      </c>
      <c r="I1008" s="43">
        <v>0.39</v>
      </c>
      <c r="J1008" s="32">
        <v>-0.82</v>
      </c>
      <c r="K1008" s="33">
        <v>-0.68910000000000005</v>
      </c>
      <c r="L1008" s="60">
        <v>20933</v>
      </c>
      <c r="M1008" s="60">
        <v>8442</v>
      </c>
      <c r="N1008" s="59">
        <v>0.36720000000000003</v>
      </c>
      <c r="O1008" t="s">
        <v>62</v>
      </c>
      <c r="P1008" s="9">
        <v>46100</v>
      </c>
      <c r="Q1008">
        <v>209.18</v>
      </c>
    </row>
    <row r="1009" spans="1:17" x14ac:dyDescent="0.25">
      <c r="A1009" s="12" t="s">
        <v>741</v>
      </c>
      <c r="B1009" s="3" t="str">
        <f t="shared" si="49"/>
        <v>AMZN</v>
      </c>
      <c r="C1009" s="3" t="str">
        <f t="shared" si="47"/>
        <v>260320</v>
      </c>
      <c r="D1009" s="3" t="str">
        <f t="shared" si="48"/>
        <v>C00215000</v>
      </c>
      <c r="E1009" s="44">
        <v>46100.665972222225</v>
      </c>
      <c r="F1009" s="13">
        <v>215</v>
      </c>
      <c r="G1009" s="43">
        <v>0.12</v>
      </c>
      <c r="H1009" s="43">
        <v>0.11</v>
      </c>
      <c r="I1009" s="43">
        <v>0.12</v>
      </c>
      <c r="J1009" s="32">
        <v>-0.4</v>
      </c>
      <c r="K1009" s="33">
        <v>-0.76919999999999999</v>
      </c>
      <c r="L1009" s="60">
        <v>20065</v>
      </c>
      <c r="M1009" s="60">
        <v>35895</v>
      </c>
      <c r="N1009" s="59">
        <v>0.374</v>
      </c>
      <c r="O1009" t="s">
        <v>62</v>
      </c>
      <c r="P1009" s="9">
        <v>46100</v>
      </c>
      <c r="Q1009">
        <v>209.18</v>
      </c>
    </row>
    <row r="1010" spans="1:17" x14ac:dyDescent="0.25">
      <c r="A1010" s="12" t="s">
        <v>742</v>
      </c>
      <c r="B1010" s="3" t="str">
        <f t="shared" si="49"/>
        <v>AMZN</v>
      </c>
      <c r="C1010" s="3" t="str">
        <f t="shared" si="47"/>
        <v>260320</v>
      </c>
      <c r="D1010" s="3" t="str">
        <f t="shared" si="48"/>
        <v>C00217500</v>
      </c>
      <c r="E1010" s="44">
        <v>46100.665277777778</v>
      </c>
      <c r="F1010" s="13">
        <v>217.5</v>
      </c>
      <c r="G1010" s="43">
        <v>0.06</v>
      </c>
      <c r="H1010" s="43">
        <v>0.05</v>
      </c>
      <c r="I1010" s="43">
        <v>0.06</v>
      </c>
      <c r="J1010" s="32">
        <v>-0.18</v>
      </c>
      <c r="K1010" s="33">
        <v>-0.75</v>
      </c>
      <c r="L1010" s="60">
        <v>9353</v>
      </c>
      <c r="M1010" s="60">
        <v>23871</v>
      </c>
      <c r="N1010" s="59">
        <v>0.42380000000000001</v>
      </c>
      <c r="O1010" t="s">
        <v>62</v>
      </c>
      <c r="P1010" s="9">
        <v>46100</v>
      </c>
      <c r="Q1010">
        <v>209.18</v>
      </c>
    </row>
    <row r="1011" spans="1:17" x14ac:dyDescent="0.25">
      <c r="A1011" s="12" t="s">
        <v>743</v>
      </c>
      <c r="B1011" s="3" t="str">
        <f t="shared" si="49"/>
        <v>AMZN</v>
      </c>
      <c r="C1011" s="3" t="str">
        <f t="shared" si="47"/>
        <v>260320</v>
      </c>
      <c r="D1011" s="3" t="str">
        <f t="shared" si="48"/>
        <v>C00220000</v>
      </c>
      <c r="E1011" s="44">
        <v>46100.665972222225</v>
      </c>
      <c r="F1011" s="13">
        <v>220</v>
      </c>
      <c r="G1011" s="43">
        <v>0.03</v>
      </c>
      <c r="H1011" s="43">
        <v>0.03</v>
      </c>
      <c r="I1011" s="43">
        <v>0.04</v>
      </c>
      <c r="J1011" s="32">
        <v>-0.1</v>
      </c>
      <c r="K1011" s="33">
        <v>-0.76919999999999999</v>
      </c>
      <c r="L1011" s="60">
        <v>8414</v>
      </c>
      <c r="M1011" s="60">
        <v>50296</v>
      </c>
      <c r="N1011" s="59">
        <v>0.48830000000000001</v>
      </c>
      <c r="O1011" t="s">
        <v>62</v>
      </c>
      <c r="P1011" s="9">
        <v>46100</v>
      </c>
      <c r="Q1011">
        <v>209.18</v>
      </c>
    </row>
    <row r="1012" spans="1:17" x14ac:dyDescent="0.25">
      <c r="A1012" s="12" t="s">
        <v>744</v>
      </c>
      <c r="B1012" s="3" t="str">
        <f t="shared" si="49"/>
        <v>AMZN</v>
      </c>
      <c r="C1012" s="3" t="str">
        <f t="shared" ref="C1012:C1075" si="50">+MID(A1012,5,6)</f>
        <v>260320</v>
      </c>
      <c r="D1012" s="3" t="str">
        <f t="shared" ref="D1012:D1075" si="51">+MID(A1012,11,10)</f>
        <v>C00222500</v>
      </c>
      <c r="E1012" s="44">
        <v>46100.665972222225</v>
      </c>
      <c r="F1012" s="13">
        <v>222.5</v>
      </c>
      <c r="G1012" s="43">
        <v>0.01</v>
      </c>
      <c r="H1012" s="43">
        <v>0.01</v>
      </c>
      <c r="I1012" s="43">
        <v>0.02</v>
      </c>
      <c r="J1012" s="32">
        <v>-7.0000000000000007E-2</v>
      </c>
      <c r="K1012" s="33">
        <v>-0.875</v>
      </c>
      <c r="L1012" s="60">
        <v>7860</v>
      </c>
      <c r="M1012" s="60">
        <v>13824</v>
      </c>
      <c r="N1012" s="59">
        <v>0.50780000000000003</v>
      </c>
      <c r="O1012" t="s">
        <v>62</v>
      </c>
      <c r="P1012" s="9">
        <v>46100</v>
      </c>
      <c r="Q1012">
        <v>209.18</v>
      </c>
    </row>
    <row r="1013" spans="1:17" x14ac:dyDescent="0.25">
      <c r="A1013" s="12" t="s">
        <v>745</v>
      </c>
      <c r="B1013" s="3" t="str">
        <f t="shared" si="49"/>
        <v>AMZN</v>
      </c>
      <c r="C1013" s="3" t="str">
        <f t="shared" si="50"/>
        <v>260320</v>
      </c>
      <c r="D1013" s="3" t="str">
        <f t="shared" si="51"/>
        <v>C00225000</v>
      </c>
      <c r="E1013" s="44">
        <v>46100.665972222225</v>
      </c>
      <c r="F1013" s="13">
        <v>225</v>
      </c>
      <c r="G1013" s="43">
        <v>0.01</v>
      </c>
      <c r="H1013" s="43">
        <v>0.01</v>
      </c>
      <c r="I1013" s="43">
        <v>0.02</v>
      </c>
      <c r="J1013" s="32">
        <v>-0.04</v>
      </c>
      <c r="K1013" s="33">
        <v>-0.8</v>
      </c>
      <c r="L1013" s="60">
        <v>3325</v>
      </c>
      <c r="M1013" s="60">
        <v>23717</v>
      </c>
      <c r="N1013" s="59">
        <v>0.57809999999999995</v>
      </c>
      <c r="O1013" t="s">
        <v>62</v>
      </c>
      <c r="P1013" s="9">
        <v>46100</v>
      </c>
      <c r="Q1013">
        <v>209.18</v>
      </c>
    </row>
    <row r="1014" spans="1:17" x14ac:dyDescent="0.25">
      <c r="A1014" s="12" t="s">
        <v>746</v>
      </c>
      <c r="B1014" s="3" t="str">
        <f t="shared" si="49"/>
        <v>AMZN</v>
      </c>
      <c r="C1014" s="3" t="str">
        <f t="shared" si="50"/>
        <v>260320</v>
      </c>
      <c r="D1014" s="3" t="str">
        <f t="shared" si="51"/>
        <v>C00227500</v>
      </c>
      <c r="E1014" s="44">
        <v>46100.663888888892</v>
      </c>
      <c r="F1014" s="13">
        <v>227.5</v>
      </c>
      <c r="G1014" s="43">
        <v>0.01</v>
      </c>
      <c r="H1014" s="43">
        <v>0</v>
      </c>
      <c r="I1014" s="43">
        <v>0.01</v>
      </c>
      <c r="J1014" s="32">
        <v>-0.03</v>
      </c>
      <c r="K1014" s="33">
        <v>-0.75</v>
      </c>
      <c r="L1014" s="43">
        <v>639</v>
      </c>
      <c r="M1014" s="60">
        <v>7479</v>
      </c>
      <c r="N1014" s="59">
        <v>0.59379999999999999</v>
      </c>
      <c r="O1014" t="s">
        <v>62</v>
      </c>
      <c r="P1014" s="9">
        <v>46100</v>
      </c>
      <c r="Q1014">
        <v>209.18</v>
      </c>
    </row>
    <row r="1015" spans="1:17" x14ac:dyDescent="0.25">
      <c r="A1015" s="12" t="s">
        <v>747</v>
      </c>
      <c r="B1015" s="3" t="str">
        <f t="shared" si="49"/>
        <v>AMZN</v>
      </c>
      <c r="C1015" s="3" t="str">
        <f t="shared" si="50"/>
        <v>260320</v>
      </c>
      <c r="D1015" s="3" t="str">
        <f t="shared" si="51"/>
        <v>C00230000</v>
      </c>
      <c r="E1015" s="44">
        <v>46100.664583333331</v>
      </c>
      <c r="F1015" s="13">
        <v>230</v>
      </c>
      <c r="G1015" s="43">
        <v>0.01</v>
      </c>
      <c r="H1015" s="43">
        <v>0</v>
      </c>
      <c r="I1015" s="43">
        <v>0.01</v>
      </c>
      <c r="J1015" s="32">
        <v>-0.01</v>
      </c>
      <c r="K1015" s="33">
        <v>-0.5</v>
      </c>
      <c r="L1015" s="60">
        <v>3613</v>
      </c>
      <c r="M1015" s="60">
        <v>39351</v>
      </c>
      <c r="N1015" s="59">
        <v>0.65629999999999999</v>
      </c>
      <c r="O1015" t="s">
        <v>62</v>
      </c>
      <c r="P1015" s="9">
        <v>46100</v>
      </c>
      <c r="Q1015">
        <v>209.18</v>
      </c>
    </row>
    <row r="1016" spans="1:17" x14ac:dyDescent="0.25">
      <c r="A1016" s="12" t="s">
        <v>748</v>
      </c>
      <c r="B1016" s="3" t="str">
        <f t="shared" si="49"/>
        <v>AMZN</v>
      </c>
      <c r="C1016" s="3" t="str">
        <f t="shared" si="50"/>
        <v>260320</v>
      </c>
      <c r="D1016" s="3" t="str">
        <f t="shared" si="51"/>
        <v>C00232500</v>
      </c>
      <c r="E1016" s="44">
        <v>46100.602083333331</v>
      </c>
      <c r="F1016" s="13">
        <v>232.5</v>
      </c>
      <c r="G1016" s="43">
        <v>0.01</v>
      </c>
      <c r="H1016" s="43">
        <v>0</v>
      </c>
      <c r="I1016" s="43">
        <v>0.02</v>
      </c>
      <c r="J1016" s="43">
        <v>0</v>
      </c>
      <c r="K1016" s="61">
        <v>0</v>
      </c>
      <c r="L1016" s="60">
        <v>1612</v>
      </c>
      <c r="M1016" s="60">
        <v>3115</v>
      </c>
      <c r="N1016" s="59">
        <v>0.76559999999999995</v>
      </c>
      <c r="O1016" t="s">
        <v>62</v>
      </c>
      <c r="P1016" s="9">
        <v>46100</v>
      </c>
      <c r="Q1016">
        <v>209.18</v>
      </c>
    </row>
    <row r="1017" spans="1:17" x14ac:dyDescent="0.25">
      <c r="A1017" s="12" t="s">
        <v>749</v>
      </c>
      <c r="B1017" s="3" t="str">
        <f t="shared" si="49"/>
        <v>AMZN</v>
      </c>
      <c r="C1017" s="3" t="str">
        <f t="shared" si="50"/>
        <v>260320</v>
      </c>
      <c r="D1017" s="3" t="str">
        <f t="shared" si="51"/>
        <v>C00235000</v>
      </c>
      <c r="E1017" s="44">
        <v>46100.665277777778</v>
      </c>
      <c r="F1017" s="13">
        <v>235</v>
      </c>
      <c r="G1017" s="43">
        <v>0.01</v>
      </c>
      <c r="H1017" s="43">
        <v>0</v>
      </c>
      <c r="I1017" s="43">
        <v>0.01</v>
      </c>
      <c r="J1017" s="43">
        <v>0</v>
      </c>
      <c r="K1017" s="61">
        <v>0</v>
      </c>
      <c r="L1017" s="43">
        <v>372</v>
      </c>
      <c r="M1017" s="60">
        <v>19314</v>
      </c>
      <c r="N1017" s="59">
        <v>0.78129999999999999</v>
      </c>
      <c r="O1017" t="s">
        <v>62</v>
      </c>
      <c r="P1017" s="9">
        <v>46100</v>
      </c>
      <c r="Q1017">
        <v>209.18</v>
      </c>
    </row>
    <row r="1018" spans="1:17" x14ac:dyDescent="0.25">
      <c r="A1018" s="12" t="s">
        <v>750</v>
      </c>
      <c r="B1018" s="3" t="str">
        <f t="shared" si="49"/>
        <v>AMZN</v>
      </c>
      <c r="C1018" s="3" t="str">
        <f t="shared" si="50"/>
        <v>260320</v>
      </c>
      <c r="D1018" s="3" t="str">
        <f t="shared" si="51"/>
        <v>C00237500</v>
      </c>
      <c r="E1018" s="44">
        <v>46100.55972222222</v>
      </c>
      <c r="F1018" s="13">
        <v>237.5</v>
      </c>
      <c r="G1018" s="43">
        <v>0.01</v>
      </c>
      <c r="H1018" s="43">
        <v>0</v>
      </c>
      <c r="I1018" s="43">
        <v>7.0000000000000007E-2</v>
      </c>
      <c r="J1018" s="43">
        <v>0</v>
      </c>
      <c r="K1018" s="61">
        <v>0</v>
      </c>
      <c r="L1018" s="43">
        <v>60</v>
      </c>
      <c r="M1018" s="60">
        <v>1224</v>
      </c>
      <c r="N1018" s="59">
        <v>1.0390999999999999</v>
      </c>
      <c r="O1018" t="s">
        <v>62</v>
      </c>
      <c r="P1018" s="9">
        <v>46100</v>
      </c>
      <c r="Q1018">
        <v>209.18</v>
      </c>
    </row>
    <row r="1019" spans="1:17" x14ac:dyDescent="0.25">
      <c r="A1019" s="12" t="s">
        <v>751</v>
      </c>
      <c r="B1019" s="3" t="str">
        <f t="shared" si="49"/>
        <v>AMZN</v>
      </c>
      <c r="C1019" s="3" t="str">
        <f t="shared" si="50"/>
        <v>260320</v>
      </c>
      <c r="D1019" s="3" t="str">
        <f t="shared" si="51"/>
        <v>C00240000</v>
      </c>
      <c r="E1019" s="44">
        <v>46100.652083333334</v>
      </c>
      <c r="F1019" s="13">
        <v>240</v>
      </c>
      <c r="G1019" s="43">
        <v>0.01</v>
      </c>
      <c r="H1019" s="43">
        <v>0</v>
      </c>
      <c r="I1019" s="43">
        <v>0.01</v>
      </c>
      <c r="J1019" s="43">
        <v>0</v>
      </c>
      <c r="K1019" s="61">
        <v>0</v>
      </c>
      <c r="L1019" s="43">
        <v>163</v>
      </c>
      <c r="M1019" s="60">
        <v>38347</v>
      </c>
      <c r="N1019" s="59">
        <v>0.90629999999999999</v>
      </c>
      <c r="O1019" t="s">
        <v>62</v>
      </c>
      <c r="P1019" s="9">
        <v>46100</v>
      </c>
      <c r="Q1019">
        <v>209.18</v>
      </c>
    </row>
    <row r="1020" spans="1:17" x14ac:dyDescent="0.25">
      <c r="A1020" s="12" t="s">
        <v>752</v>
      </c>
      <c r="B1020" s="3" t="str">
        <f t="shared" si="49"/>
        <v>AMZN</v>
      </c>
      <c r="C1020" s="3" t="str">
        <f t="shared" si="50"/>
        <v>260320</v>
      </c>
      <c r="D1020" s="3" t="str">
        <f t="shared" si="51"/>
        <v>C00245000</v>
      </c>
      <c r="E1020" s="44">
        <v>46100.663888888892</v>
      </c>
      <c r="F1020" s="13">
        <v>245</v>
      </c>
      <c r="G1020" s="43">
        <v>0.01</v>
      </c>
      <c r="H1020" s="43">
        <v>0</v>
      </c>
      <c r="I1020" s="43">
        <v>0.01</v>
      </c>
      <c r="J1020" s="43">
        <v>0</v>
      </c>
      <c r="K1020" s="61">
        <v>0</v>
      </c>
      <c r="L1020" s="43">
        <v>184</v>
      </c>
      <c r="M1020" s="60">
        <v>16385</v>
      </c>
      <c r="N1020" s="59">
        <v>1.0313000000000001</v>
      </c>
      <c r="O1020" t="s">
        <v>62</v>
      </c>
      <c r="P1020" s="9">
        <v>46100</v>
      </c>
      <c r="Q1020">
        <v>209.18</v>
      </c>
    </row>
    <row r="1021" spans="1:17" x14ac:dyDescent="0.25">
      <c r="A1021" s="12" t="s">
        <v>753</v>
      </c>
      <c r="B1021" s="3" t="str">
        <f t="shared" si="49"/>
        <v>AMZN</v>
      </c>
      <c r="C1021" s="3" t="str">
        <f t="shared" si="50"/>
        <v>260320</v>
      </c>
      <c r="D1021" s="3" t="str">
        <f t="shared" si="51"/>
        <v>C00250000</v>
      </c>
      <c r="E1021" s="44">
        <v>46100.663194444445</v>
      </c>
      <c r="F1021" s="13">
        <v>250</v>
      </c>
      <c r="G1021" s="43">
        <v>0.01</v>
      </c>
      <c r="H1021" s="43">
        <v>0</v>
      </c>
      <c r="I1021" s="43">
        <v>0.01</v>
      </c>
      <c r="J1021" s="32">
        <v>-0.01</v>
      </c>
      <c r="K1021" s="33">
        <v>-0.5</v>
      </c>
      <c r="L1021" s="43">
        <v>438</v>
      </c>
      <c r="M1021" s="60">
        <v>27064</v>
      </c>
      <c r="N1021" s="59">
        <v>1.125</v>
      </c>
      <c r="O1021" t="s">
        <v>62</v>
      </c>
      <c r="P1021" s="9">
        <v>46100</v>
      </c>
      <c r="Q1021">
        <v>209.18</v>
      </c>
    </row>
    <row r="1022" spans="1:17" x14ac:dyDescent="0.25">
      <c r="A1022" s="12" t="s">
        <v>754</v>
      </c>
      <c r="B1022" s="3" t="str">
        <f t="shared" si="49"/>
        <v>AMZN</v>
      </c>
      <c r="C1022" s="3" t="str">
        <f t="shared" si="50"/>
        <v>260320</v>
      </c>
      <c r="D1022" s="3" t="str">
        <f t="shared" si="51"/>
        <v>C00255000</v>
      </c>
      <c r="E1022" s="44">
        <v>46100.663194444445</v>
      </c>
      <c r="F1022" s="13">
        <v>255</v>
      </c>
      <c r="G1022" s="43">
        <v>0.01</v>
      </c>
      <c r="H1022" s="43">
        <v>0</v>
      </c>
      <c r="I1022" s="43">
        <v>0.01</v>
      </c>
      <c r="J1022" s="43">
        <v>0</v>
      </c>
      <c r="K1022" s="61">
        <v>0</v>
      </c>
      <c r="L1022" s="43">
        <v>27</v>
      </c>
      <c r="M1022" s="60">
        <v>10626</v>
      </c>
      <c r="N1022" s="59">
        <v>1.25</v>
      </c>
      <c r="O1022" t="s">
        <v>62</v>
      </c>
      <c r="P1022" s="9">
        <v>46100</v>
      </c>
      <c r="Q1022">
        <v>209.18</v>
      </c>
    </row>
    <row r="1023" spans="1:17" x14ac:dyDescent="0.25">
      <c r="A1023" s="12" t="s">
        <v>755</v>
      </c>
      <c r="B1023" s="3" t="str">
        <f t="shared" si="49"/>
        <v>AMZN</v>
      </c>
      <c r="C1023" s="3" t="str">
        <f t="shared" si="50"/>
        <v>260320</v>
      </c>
      <c r="D1023" s="3" t="str">
        <f t="shared" si="51"/>
        <v>C00260000</v>
      </c>
      <c r="E1023" s="44">
        <v>46100.611805555556</v>
      </c>
      <c r="F1023" s="13">
        <v>260</v>
      </c>
      <c r="G1023" s="43">
        <v>0.01</v>
      </c>
      <c r="H1023" s="43">
        <v>0</v>
      </c>
      <c r="I1023" s="43">
        <v>0.01</v>
      </c>
      <c r="J1023" s="43">
        <v>0</v>
      </c>
      <c r="K1023" s="61">
        <v>0</v>
      </c>
      <c r="L1023" s="43">
        <v>5</v>
      </c>
      <c r="M1023" s="60">
        <v>21151</v>
      </c>
      <c r="N1023" s="59">
        <v>1.375</v>
      </c>
      <c r="O1023" t="s">
        <v>62</v>
      </c>
      <c r="P1023" s="9">
        <v>46100</v>
      </c>
      <c r="Q1023">
        <v>209.18</v>
      </c>
    </row>
    <row r="1024" spans="1:17" x14ac:dyDescent="0.25">
      <c r="A1024" s="12" t="s">
        <v>756</v>
      </c>
      <c r="B1024" s="3" t="str">
        <f t="shared" si="49"/>
        <v>AMZN</v>
      </c>
      <c r="C1024" s="3" t="str">
        <f t="shared" si="50"/>
        <v>260320</v>
      </c>
      <c r="D1024" s="3" t="str">
        <f t="shared" si="51"/>
        <v>C00265000</v>
      </c>
      <c r="E1024" s="44">
        <v>46100.559027777781</v>
      </c>
      <c r="F1024" s="13">
        <v>265</v>
      </c>
      <c r="G1024" s="43">
        <v>0.01</v>
      </c>
      <c r="H1024" s="43">
        <v>0</v>
      </c>
      <c r="I1024" s="43">
        <v>0.01</v>
      </c>
      <c r="J1024" s="43">
        <v>0</v>
      </c>
      <c r="K1024" s="61">
        <v>0</v>
      </c>
      <c r="L1024" s="43">
        <v>32</v>
      </c>
      <c r="M1024" s="60">
        <v>10035</v>
      </c>
      <c r="N1024" s="59">
        <v>1.4688000000000001</v>
      </c>
      <c r="O1024" t="s">
        <v>62</v>
      </c>
      <c r="P1024" s="9">
        <v>46100</v>
      </c>
      <c r="Q1024">
        <v>209.18</v>
      </c>
    </row>
    <row r="1025" spans="1:17" x14ac:dyDescent="0.25">
      <c r="A1025" s="12" t="s">
        <v>757</v>
      </c>
      <c r="B1025" s="3" t="str">
        <f t="shared" si="49"/>
        <v>AMZN</v>
      </c>
      <c r="C1025" s="3" t="str">
        <f t="shared" si="50"/>
        <v>260320</v>
      </c>
      <c r="D1025" s="3" t="str">
        <f t="shared" si="51"/>
        <v>C00270000</v>
      </c>
      <c r="E1025" s="44">
        <v>46100.557638888888</v>
      </c>
      <c r="F1025" s="13">
        <v>270</v>
      </c>
      <c r="G1025" s="43">
        <v>0.02</v>
      </c>
      <c r="H1025" s="43">
        <v>0</v>
      </c>
      <c r="I1025" s="43">
        <v>0.01</v>
      </c>
      <c r="J1025" s="35">
        <v>0.01</v>
      </c>
      <c r="K1025" s="36">
        <v>1</v>
      </c>
      <c r="L1025" s="43">
        <v>45</v>
      </c>
      <c r="M1025" s="60">
        <v>12913</v>
      </c>
      <c r="N1025" s="59">
        <v>1.5625</v>
      </c>
      <c r="O1025" t="s">
        <v>62</v>
      </c>
      <c r="P1025" s="9">
        <v>46100</v>
      </c>
      <c r="Q1025">
        <v>209.18</v>
      </c>
    </row>
    <row r="1026" spans="1:17" x14ac:dyDescent="0.25">
      <c r="A1026" s="12" t="s">
        <v>758</v>
      </c>
      <c r="B1026" s="3" t="str">
        <f t="shared" si="49"/>
        <v>AMZN</v>
      </c>
      <c r="C1026" s="3" t="str">
        <f t="shared" si="50"/>
        <v>260320</v>
      </c>
      <c r="D1026" s="3" t="str">
        <f t="shared" si="51"/>
        <v>C00275000</v>
      </c>
      <c r="E1026" s="44">
        <v>46099.584722222222</v>
      </c>
      <c r="F1026" s="13">
        <v>275</v>
      </c>
      <c r="G1026" s="43">
        <v>0.01</v>
      </c>
      <c r="H1026" s="43">
        <v>0</v>
      </c>
      <c r="I1026" s="43">
        <v>0.01</v>
      </c>
      <c r="J1026" s="43">
        <v>0</v>
      </c>
      <c r="K1026" s="61">
        <v>0</v>
      </c>
      <c r="L1026" s="43">
        <v>7</v>
      </c>
      <c r="M1026" s="60">
        <v>13362</v>
      </c>
      <c r="N1026" s="59">
        <v>1.6875</v>
      </c>
      <c r="O1026" t="s">
        <v>62</v>
      </c>
      <c r="P1026" s="9">
        <v>46100</v>
      </c>
      <c r="Q1026">
        <v>209.18</v>
      </c>
    </row>
    <row r="1027" spans="1:17" x14ac:dyDescent="0.25">
      <c r="A1027" s="12" t="s">
        <v>759</v>
      </c>
      <c r="B1027" s="3" t="str">
        <f t="shared" ref="B1027:B1090" si="52">+MID(A1027,1,4)</f>
        <v>AMZN</v>
      </c>
      <c r="C1027" s="3" t="str">
        <f t="shared" si="50"/>
        <v>260320</v>
      </c>
      <c r="D1027" s="3" t="str">
        <f t="shared" si="51"/>
        <v>C00280000</v>
      </c>
      <c r="E1027" s="44">
        <v>46100.654861111114</v>
      </c>
      <c r="F1027" s="13">
        <v>280</v>
      </c>
      <c r="G1027" s="43">
        <v>0.01</v>
      </c>
      <c r="H1027" s="43">
        <v>0</v>
      </c>
      <c r="I1027" s="43">
        <v>0.01</v>
      </c>
      <c r="J1027" s="43">
        <v>0</v>
      </c>
      <c r="K1027" s="61">
        <v>0</v>
      </c>
      <c r="L1027" s="43">
        <v>43</v>
      </c>
      <c r="M1027" s="60">
        <v>10267</v>
      </c>
      <c r="N1027" s="59">
        <v>1.75</v>
      </c>
      <c r="O1027" t="s">
        <v>62</v>
      </c>
      <c r="P1027" s="9">
        <v>46100</v>
      </c>
      <c r="Q1027">
        <v>209.18</v>
      </c>
    </row>
    <row r="1028" spans="1:17" x14ac:dyDescent="0.25">
      <c r="A1028" s="12" t="s">
        <v>760</v>
      </c>
      <c r="B1028" s="3" t="str">
        <f t="shared" si="52"/>
        <v>AMZN</v>
      </c>
      <c r="C1028" s="3" t="str">
        <f t="shared" si="50"/>
        <v>260320</v>
      </c>
      <c r="D1028" s="3" t="str">
        <f t="shared" si="51"/>
        <v>C00285000</v>
      </c>
      <c r="E1028" s="44">
        <v>46100.597222222219</v>
      </c>
      <c r="F1028" s="13">
        <v>285</v>
      </c>
      <c r="G1028" s="43">
        <v>0.01</v>
      </c>
      <c r="H1028" s="43">
        <v>0</v>
      </c>
      <c r="I1028" s="43">
        <v>0.01</v>
      </c>
      <c r="J1028" s="32">
        <v>-0.04</v>
      </c>
      <c r="K1028" s="33">
        <v>-0.8</v>
      </c>
      <c r="L1028" s="43">
        <v>10</v>
      </c>
      <c r="M1028" s="60">
        <v>5026</v>
      </c>
      <c r="N1028" s="59">
        <v>1.875</v>
      </c>
      <c r="O1028" t="s">
        <v>62</v>
      </c>
      <c r="P1028" s="9">
        <v>46100</v>
      </c>
      <c r="Q1028">
        <v>209.18</v>
      </c>
    </row>
    <row r="1029" spans="1:17" x14ac:dyDescent="0.25">
      <c r="A1029" s="12" t="s">
        <v>761</v>
      </c>
      <c r="B1029" s="3" t="str">
        <f t="shared" si="52"/>
        <v>AMZN</v>
      </c>
      <c r="C1029" s="3" t="str">
        <f t="shared" si="50"/>
        <v>260320</v>
      </c>
      <c r="D1029" s="3" t="str">
        <f t="shared" si="51"/>
        <v>C00290000</v>
      </c>
      <c r="E1029" s="44">
        <v>46098.581250000003</v>
      </c>
      <c r="F1029" s="13">
        <v>290</v>
      </c>
      <c r="G1029" s="43">
        <v>0.04</v>
      </c>
      <c r="H1029" s="43">
        <v>0</v>
      </c>
      <c r="I1029" s="43">
        <v>0.01</v>
      </c>
      <c r="J1029" s="35">
        <v>0.03</v>
      </c>
      <c r="K1029" s="36">
        <v>3</v>
      </c>
      <c r="L1029" s="43">
        <v>3</v>
      </c>
      <c r="M1029" s="60">
        <v>7468</v>
      </c>
      <c r="N1029" s="59">
        <v>1.9688000000000001</v>
      </c>
      <c r="O1029" t="s">
        <v>62</v>
      </c>
      <c r="P1029" s="9">
        <v>46100</v>
      </c>
      <c r="Q1029">
        <v>209.18</v>
      </c>
    </row>
    <row r="1030" spans="1:17" x14ac:dyDescent="0.25">
      <c r="A1030" s="12" t="s">
        <v>762</v>
      </c>
      <c r="B1030" s="3" t="str">
        <f t="shared" si="52"/>
        <v>AMZN</v>
      </c>
      <c r="C1030" s="3" t="str">
        <f t="shared" si="50"/>
        <v>260320</v>
      </c>
      <c r="D1030" s="3" t="str">
        <f t="shared" si="51"/>
        <v>C00295000</v>
      </c>
      <c r="E1030" s="44">
        <v>46100.557638888888</v>
      </c>
      <c r="F1030" s="13">
        <v>295</v>
      </c>
      <c r="G1030" s="43">
        <v>0.01</v>
      </c>
      <c r="H1030" s="43">
        <v>0</v>
      </c>
      <c r="I1030" s="43">
        <v>0.01</v>
      </c>
      <c r="J1030" s="43">
        <v>0</v>
      </c>
      <c r="K1030" s="61">
        <v>0</v>
      </c>
      <c r="L1030" s="43">
        <v>2</v>
      </c>
      <c r="M1030" s="60">
        <v>5200</v>
      </c>
      <c r="N1030" s="59">
        <v>2.0625</v>
      </c>
      <c r="O1030" t="s">
        <v>62</v>
      </c>
      <c r="P1030" s="9">
        <v>46100</v>
      </c>
      <c r="Q1030">
        <v>209.18</v>
      </c>
    </row>
    <row r="1031" spans="1:17" x14ac:dyDescent="0.25">
      <c r="A1031" s="12" t="s">
        <v>763</v>
      </c>
      <c r="B1031" s="3" t="str">
        <f t="shared" si="52"/>
        <v>AMZN</v>
      </c>
      <c r="C1031" s="3" t="str">
        <f t="shared" si="50"/>
        <v>260320</v>
      </c>
      <c r="D1031" s="3" t="str">
        <f t="shared" si="51"/>
        <v>C00300000</v>
      </c>
      <c r="E1031" s="44">
        <v>46099.59375</v>
      </c>
      <c r="F1031" s="13">
        <v>300</v>
      </c>
      <c r="G1031" s="43">
        <v>0.01</v>
      </c>
      <c r="H1031" s="43">
        <v>0</v>
      </c>
      <c r="I1031" s="43">
        <v>0.01</v>
      </c>
      <c r="J1031" s="43">
        <v>0</v>
      </c>
      <c r="K1031" s="61">
        <v>0</v>
      </c>
      <c r="L1031" s="43">
        <v>15</v>
      </c>
      <c r="M1031" s="60">
        <v>22979</v>
      </c>
      <c r="N1031" s="59">
        <v>2.125</v>
      </c>
      <c r="O1031" t="s">
        <v>62</v>
      </c>
      <c r="P1031" s="9">
        <v>46100</v>
      </c>
      <c r="Q1031">
        <v>209.18</v>
      </c>
    </row>
    <row r="1032" spans="1:17" x14ac:dyDescent="0.25">
      <c r="A1032" s="12" t="s">
        <v>764</v>
      </c>
      <c r="B1032" s="3" t="str">
        <f t="shared" si="52"/>
        <v>AMZN</v>
      </c>
      <c r="C1032" s="3" t="str">
        <f t="shared" si="50"/>
        <v>260320</v>
      </c>
      <c r="D1032" s="3" t="str">
        <f t="shared" si="51"/>
        <v>C00305000</v>
      </c>
      <c r="E1032" s="44">
        <v>46099.646527777775</v>
      </c>
      <c r="F1032" s="13">
        <v>305</v>
      </c>
      <c r="G1032" s="43">
        <v>0.01</v>
      </c>
      <c r="H1032" s="43">
        <v>0</v>
      </c>
      <c r="I1032" s="43">
        <v>0.01</v>
      </c>
      <c r="J1032" s="43">
        <v>0</v>
      </c>
      <c r="K1032" s="61">
        <v>0</v>
      </c>
      <c r="L1032" s="43">
        <v>1</v>
      </c>
      <c r="M1032" s="60">
        <v>3760</v>
      </c>
      <c r="N1032" s="59">
        <v>2.25</v>
      </c>
      <c r="O1032" t="s">
        <v>62</v>
      </c>
      <c r="P1032" s="9">
        <v>46100</v>
      </c>
      <c r="Q1032">
        <v>209.18</v>
      </c>
    </row>
    <row r="1033" spans="1:17" x14ac:dyDescent="0.25">
      <c r="A1033" s="12" t="s">
        <v>765</v>
      </c>
      <c r="B1033" s="3" t="str">
        <f t="shared" si="52"/>
        <v>AMZN</v>
      </c>
      <c r="C1033" s="3" t="str">
        <f t="shared" si="50"/>
        <v>260320</v>
      </c>
      <c r="D1033" s="3" t="str">
        <f t="shared" si="51"/>
        <v>C00310000</v>
      </c>
      <c r="E1033" s="44">
        <v>46100.615277777775</v>
      </c>
      <c r="F1033" s="13">
        <v>310</v>
      </c>
      <c r="G1033" s="43">
        <v>0.01</v>
      </c>
      <c r="H1033" s="43">
        <v>0</v>
      </c>
      <c r="I1033" s="43">
        <v>0.01</v>
      </c>
      <c r="J1033" s="43">
        <v>0</v>
      </c>
      <c r="K1033" s="61">
        <v>0</v>
      </c>
      <c r="L1033" s="43">
        <v>3</v>
      </c>
      <c r="M1033" s="60">
        <v>3037</v>
      </c>
      <c r="N1033" s="59">
        <v>2.3125</v>
      </c>
      <c r="O1033" t="s">
        <v>62</v>
      </c>
      <c r="P1033" s="9">
        <v>46100</v>
      </c>
      <c r="Q1033">
        <v>209.18</v>
      </c>
    </row>
    <row r="1034" spans="1:17" x14ac:dyDescent="0.25">
      <c r="A1034" s="12" t="s">
        <v>766</v>
      </c>
      <c r="B1034" s="3" t="str">
        <f t="shared" si="52"/>
        <v>AMZN</v>
      </c>
      <c r="C1034" s="3" t="str">
        <f t="shared" si="50"/>
        <v>260320</v>
      </c>
      <c r="D1034" s="3" t="str">
        <f t="shared" si="51"/>
        <v>C00315000</v>
      </c>
      <c r="E1034" s="44">
        <v>46086.605555555558</v>
      </c>
      <c r="F1034" s="13">
        <v>315</v>
      </c>
      <c r="G1034" s="43">
        <v>0.1</v>
      </c>
      <c r="H1034" s="43">
        <v>0</v>
      </c>
      <c r="I1034" s="43">
        <v>0.01</v>
      </c>
      <c r="J1034" s="43">
        <v>0</v>
      </c>
      <c r="K1034" s="61">
        <v>0</v>
      </c>
      <c r="L1034" s="43">
        <v>1</v>
      </c>
      <c r="M1034" s="60">
        <v>1267</v>
      </c>
      <c r="N1034" s="59">
        <v>2.4375</v>
      </c>
      <c r="O1034" t="s">
        <v>62</v>
      </c>
      <c r="P1034" s="9">
        <v>46100</v>
      </c>
      <c r="Q1034">
        <v>209.18</v>
      </c>
    </row>
    <row r="1035" spans="1:17" x14ac:dyDescent="0.25">
      <c r="A1035" s="12" t="s">
        <v>767</v>
      </c>
      <c r="B1035" s="3" t="str">
        <f t="shared" si="52"/>
        <v>AMZN</v>
      </c>
      <c r="C1035" s="3" t="str">
        <f t="shared" si="50"/>
        <v>260320</v>
      </c>
      <c r="D1035" s="3" t="str">
        <f t="shared" si="51"/>
        <v>C00320000</v>
      </c>
      <c r="E1035" s="44">
        <v>46099.614583333336</v>
      </c>
      <c r="F1035" s="13">
        <v>320</v>
      </c>
      <c r="G1035" s="43">
        <v>0.02</v>
      </c>
      <c r="H1035" s="43">
        <v>0</v>
      </c>
      <c r="I1035" s="43">
        <v>0.01</v>
      </c>
      <c r="J1035" s="43">
        <v>0</v>
      </c>
      <c r="K1035" s="61">
        <v>0</v>
      </c>
      <c r="L1035" s="43">
        <v>1</v>
      </c>
      <c r="M1035" s="60">
        <v>1683</v>
      </c>
      <c r="N1035" s="59">
        <v>2.5</v>
      </c>
      <c r="O1035" t="s">
        <v>62</v>
      </c>
      <c r="P1035" s="9">
        <v>46100</v>
      </c>
      <c r="Q1035">
        <v>209.18</v>
      </c>
    </row>
    <row r="1036" spans="1:17" x14ac:dyDescent="0.25">
      <c r="A1036" s="12" t="s">
        <v>768</v>
      </c>
      <c r="B1036" s="3" t="str">
        <f t="shared" si="52"/>
        <v>AMZN</v>
      </c>
      <c r="C1036" s="3" t="str">
        <f t="shared" si="50"/>
        <v>260320</v>
      </c>
      <c r="D1036" s="3" t="str">
        <f t="shared" si="51"/>
        <v>C00325000</v>
      </c>
      <c r="E1036" s="44">
        <v>46077.445138888892</v>
      </c>
      <c r="F1036" s="13">
        <v>325</v>
      </c>
      <c r="G1036" s="43">
        <v>0.02</v>
      </c>
      <c r="H1036" s="43">
        <v>0</v>
      </c>
      <c r="I1036" s="43">
        <v>0.01</v>
      </c>
      <c r="J1036" s="43">
        <v>0</v>
      </c>
      <c r="K1036" s="61">
        <v>0</v>
      </c>
      <c r="L1036" s="43">
        <v>1</v>
      </c>
      <c r="M1036" s="60">
        <v>1414</v>
      </c>
      <c r="N1036" s="59">
        <v>2.5625</v>
      </c>
      <c r="O1036" t="s">
        <v>62</v>
      </c>
      <c r="P1036" s="9">
        <v>46100</v>
      </c>
      <c r="Q1036">
        <v>209.18</v>
      </c>
    </row>
    <row r="1037" spans="1:17" x14ac:dyDescent="0.25">
      <c r="A1037" s="12" t="s">
        <v>769</v>
      </c>
      <c r="B1037" s="3" t="str">
        <f t="shared" si="52"/>
        <v>AMZN</v>
      </c>
      <c r="C1037" s="3" t="str">
        <f t="shared" si="50"/>
        <v>260320</v>
      </c>
      <c r="D1037" s="3" t="str">
        <f t="shared" si="51"/>
        <v>C00330000</v>
      </c>
      <c r="E1037" s="44">
        <v>46078.566666666666</v>
      </c>
      <c r="F1037" s="13">
        <v>330</v>
      </c>
      <c r="G1037" s="43">
        <v>0.01</v>
      </c>
      <c r="H1037" s="43">
        <v>0</v>
      </c>
      <c r="I1037" s="43">
        <v>0.01</v>
      </c>
      <c r="J1037" s="43">
        <v>0</v>
      </c>
      <c r="K1037" s="61">
        <v>0</v>
      </c>
      <c r="L1037" s="43">
        <v>5</v>
      </c>
      <c r="M1037" s="60">
        <v>2090</v>
      </c>
      <c r="N1037" s="59">
        <v>2.625</v>
      </c>
      <c r="O1037" t="s">
        <v>62</v>
      </c>
      <c r="P1037" s="9">
        <v>46100</v>
      </c>
      <c r="Q1037">
        <v>209.18</v>
      </c>
    </row>
    <row r="1038" spans="1:17" x14ac:dyDescent="0.25">
      <c r="A1038" s="12" t="s">
        <v>770</v>
      </c>
      <c r="B1038" s="3" t="str">
        <f t="shared" si="52"/>
        <v>AMZN</v>
      </c>
      <c r="C1038" s="3" t="str">
        <f t="shared" si="50"/>
        <v>260320</v>
      </c>
      <c r="D1038" s="3" t="str">
        <f t="shared" si="51"/>
        <v>C00335000</v>
      </c>
      <c r="E1038" s="44">
        <v>46100.657638888886</v>
      </c>
      <c r="F1038" s="13">
        <v>335</v>
      </c>
      <c r="G1038" s="43">
        <v>0.01</v>
      </c>
      <c r="H1038" s="43">
        <v>0</v>
      </c>
      <c r="I1038" s="43">
        <v>0.01</v>
      </c>
      <c r="J1038" s="32">
        <v>-0.02</v>
      </c>
      <c r="K1038" s="33">
        <v>-0.66669999999999996</v>
      </c>
      <c r="L1038" s="43">
        <v>32</v>
      </c>
      <c r="M1038" s="43">
        <v>446</v>
      </c>
      <c r="N1038" s="59">
        <v>2.75</v>
      </c>
      <c r="O1038" t="s">
        <v>62</v>
      </c>
      <c r="P1038" s="9">
        <v>46100</v>
      </c>
      <c r="Q1038">
        <v>209.18</v>
      </c>
    </row>
    <row r="1039" spans="1:17" x14ac:dyDescent="0.25">
      <c r="A1039" s="12" t="s">
        <v>771</v>
      </c>
      <c r="B1039" s="3" t="str">
        <f t="shared" si="52"/>
        <v>AMZN</v>
      </c>
      <c r="C1039" s="3" t="str">
        <f t="shared" si="50"/>
        <v>260320</v>
      </c>
      <c r="D1039" s="3" t="str">
        <f t="shared" si="51"/>
        <v>C00340000</v>
      </c>
      <c r="E1039" s="44">
        <v>46100.395833333336</v>
      </c>
      <c r="F1039" s="13">
        <v>340</v>
      </c>
      <c r="G1039" s="43">
        <v>0.02</v>
      </c>
      <c r="H1039" s="43">
        <v>0</v>
      </c>
      <c r="I1039" s="43">
        <v>0.01</v>
      </c>
      <c r="J1039" s="32">
        <v>-0.02</v>
      </c>
      <c r="K1039" s="33">
        <v>-0.5</v>
      </c>
      <c r="L1039" s="43">
        <v>1</v>
      </c>
      <c r="M1039" s="60">
        <v>5736</v>
      </c>
      <c r="N1039" s="59">
        <v>2.8125</v>
      </c>
      <c r="O1039" t="s">
        <v>62</v>
      </c>
      <c r="P1039" s="9">
        <v>46100</v>
      </c>
      <c r="Q1039">
        <v>209.18</v>
      </c>
    </row>
    <row r="1040" spans="1:17" x14ac:dyDescent="0.25">
      <c r="A1040" s="12" t="s">
        <v>772</v>
      </c>
      <c r="B1040" s="3" t="str">
        <f t="shared" si="52"/>
        <v>AMZN</v>
      </c>
      <c r="C1040" s="3" t="str">
        <f t="shared" si="50"/>
        <v>260320</v>
      </c>
      <c r="D1040" s="3" t="str">
        <f t="shared" si="51"/>
        <v>C00345000</v>
      </c>
      <c r="E1040" s="44">
        <v>46073.584722222222</v>
      </c>
      <c r="F1040" s="13">
        <v>345</v>
      </c>
      <c r="G1040" s="43">
        <v>0.02</v>
      </c>
      <c r="H1040" s="43">
        <v>0</v>
      </c>
      <c r="I1040" s="43">
        <v>0.01</v>
      </c>
      <c r="J1040" s="43">
        <v>0</v>
      </c>
      <c r="K1040" s="61">
        <v>0</v>
      </c>
      <c r="L1040" s="43">
        <v>13</v>
      </c>
      <c r="M1040" s="43">
        <v>412</v>
      </c>
      <c r="N1040" s="59">
        <v>2.875</v>
      </c>
      <c r="O1040" t="s">
        <v>62</v>
      </c>
      <c r="P1040" s="9">
        <v>46100</v>
      </c>
      <c r="Q1040">
        <v>209.18</v>
      </c>
    </row>
    <row r="1041" spans="1:17" x14ac:dyDescent="0.25">
      <c r="A1041" s="12" t="s">
        <v>773</v>
      </c>
      <c r="B1041" s="3" t="str">
        <f t="shared" si="52"/>
        <v>AMZN</v>
      </c>
      <c r="C1041" s="3" t="str">
        <f t="shared" si="50"/>
        <v>260320</v>
      </c>
      <c r="D1041" s="3" t="str">
        <f t="shared" si="51"/>
        <v>C00350000</v>
      </c>
      <c r="E1041" s="44">
        <v>46098.50277777778</v>
      </c>
      <c r="F1041" s="13">
        <v>350</v>
      </c>
      <c r="G1041" s="43">
        <v>0.06</v>
      </c>
      <c r="H1041" s="43">
        <v>0</v>
      </c>
      <c r="I1041" s="43">
        <v>0.01</v>
      </c>
      <c r="J1041" s="43">
        <v>0</v>
      </c>
      <c r="K1041" s="61">
        <v>0</v>
      </c>
      <c r="L1041" s="43">
        <v>49</v>
      </c>
      <c r="M1041" s="60">
        <v>3004</v>
      </c>
      <c r="N1041" s="59">
        <v>3</v>
      </c>
      <c r="O1041" t="s">
        <v>62</v>
      </c>
      <c r="P1041" s="9">
        <v>46100</v>
      </c>
      <c r="Q1041">
        <v>209.18</v>
      </c>
    </row>
    <row r="1042" spans="1:17" x14ac:dyDescent="0.25">
      <c r="A1042" s="12" t="s">
        <v>774</v>
      </c>
      <c r="B1042" s="3" t="str">
        <f t="shared" si="52"/>
        <v>AMZN</v>
      </c>
      <c r="C1042" s="3" t="str">
        <f t="shared" si="50"/>
        <v>260320</v>
      </c>
      <c r="D1042" s="3" t="str">
        <f t="shared" si="51"/>
        <v>C00355000</v>
      </c>
      <c r="E1042" s="44">
        <v>46098.517361111109</v>
      </c>
      <c r="F1042" s="13">
        <v>355</v>
      </c>
      <c r="G1042" s="43">
        <v>0.01</v>
      </c>
      <c r="H1042" s="43">
        <v>0</v>
      </c>
      <c r="I1042" s="43">
        <v>0.01</v>
      </c>
      <c r="J1042" s="32">
        <v>-0.05</v>
      </c>
      <c r="K1042" s="33">
        <v>-0.83330000000000004</v>
      </c>
      <c r="L1042" s="43">
        <v>2</v>
      </c>
      <c r="M1042" s="60">
        <v>1694</v>
      </c>
      <c r="N1042" s="59">
        <v>3.0625</v>
      </c>
      <c r="O1042" t="s">
        <v>62</v>
      </c>
      <c r="P1042" s="9">
        <v>46100</v>
      </c>
      <c r="Q1042">
        <v>209.18</v>
      </c>
    </row>
    <row r="1043" spans="1:17" x14ac:dyDescent="0.25">
      <c r="A1043" s="12" t="s">
        <v>775</v>
      </c>
      <c r="B1043" s="3" t="str">
        <f t="shared" si="52"/>
        <v>AMZN</v>
      </c>
      <c r="C1043" s="3" t="str">
        <f t="shared" si="50"/>
        <v>260320</v>
      </c>
      <c r="D1043" s="3" t="str">
        <f t="shared" si="51"/>
        <v>C00360000</v>
      </c>
      <c r="E1043" s="44">
        <v>46079.634027777778</v>
      </c>
      <c r="F1043" s="13">
        <v>360</v>
      </c>
      <c r="G1043" s="43">
        <v>0.01</v>
      </c>
      <c r="H1043" s="43">
        <v>0</v>
      </c>
      <c r="I1043" s="43">
        <v>0.01</v>
      </c>
      <c r="J1043" s="43">
        <v>0</v>
      </c>
      <c r="K1043" s="61">
        <v>0</v>
      </c>
      <c r="L1043" s="43">
        <v>50</v>
      </c>
      <c r="M1043" s="60">
        <v>4166</v>
      </c>
      <c r="N1043" s="59">
        <v>3.125</v>
      </c>
      <c r="O1043" t="s">
        <v>62</v>
      </c>
      <c r="P1043" s="9">
        <v>46100</v>
      </c>
      <c r="Q1043">
        <v>209.18</v>
      </c>
    </row>
    <row r="1044" spans="1:17" x14ac:dyDescent="0.25">
      <c r="A1044" s="12" t="s">
        <v>776</v>
      </c>
      <c r="B1044" s="3" t="str">
        <f t="shared" si="52"/>
        <v>AMZN</v>
      </c>
      <c r="C1044" s="3" t="str">
        <f t="shared" si="50"/>
        <v>260320</v>
      </c>
      <c r="D1044" s="3" t="str">
        <f t="shared" si="51"/>
        <v>C00370000</v>
      </c>
      <c r="E1044" s="44">
        <v>46080.445138888892</v>
      </c>
      <c r="F1044" s="13">
        <v>370</v>
      </c>
      <c r="G1044" s="43">
        <v>0.01</v>
      </c>
      <c r="H1044" s="43">
        <v>0</v>
      </c>
      <c r="I1044" s="43">
        <v>0.01</v>
      </c>
      <c r="J1044" s="43">
        <v>0</v>
      </c>
      <c r="K1044" s="61">
        <v>0</v>
      </c>
      <c r="L1044" s="43">
        <v>1</v>
      </c>
      <c r="M1044" s="60">
        <v>3260</v>
      </c>
      <c r="N1044" s="59">
        <v>3.25</v>
      </c>
      <c r="O1044" t="s">
        <v>62</v>
      </c>
      <c r="P1044" s="9">
        <v>46100</v>
      </c>
      <c r="Q1044">
        <v>209.18</v>
      </c>
    </row>
    <row r="1045" spans="1:17" x14ac:dyDescent="0.25">
      <c r="A1045" s="12" t="s">
        <v>777</v>
      </c>
      <c r="B1045" s="3" t="str">
        <f t="shared" si="52"/>
        <v>AMZN</v>
      </c>
      <c r="C1045" s="3" t="str">
        <f t="shared" si="50"/>
        <v>260320</v>
      </c>
      <c r="D1045" s="3" t="str">
        <f t="shared" si="51"/>
        <v>P00085000</v>
      </c>
      <c r="E1045" s="44">
        <v>46077.629861111112</v>
      </c>
      <c r="F1045" s="13">
        <v>85</v>
      </c>
      <c r="G1045" s="43">
        <v>0.01</v>
      </c>
      <c r="H1045" s="43">
        <v>0</v>
      </c>
      <c r="I1045" s="43">
        <v>0.01</v>
      </c>
      <c r="J1045" s="43">
        <v>0</v>
      </c>
      <c r="K1045" s="61">
        <v>0</v>
      </c>
      <c r="L1045" s="43">
        <v>300</v>
      </c>
      <c r="M1045" s="60">
        <v>1066</v>
      </c>
      <c r="N1045" s="59">
        <v>5.25</v>
      </c>
      <c r="O1045" t="s">
        <v>65</v>
      </c>
      <c r="P1045" s="9">
        <v>46100</v>
      </c>
      <c r="Q1045">
        <v>209.18</v>
      </c>
    </row>
    <row r="1046" spans="1:17" x14ac:dyDescent="0.25">
      <c r="A1046" s="12" t="s">
        <v>778</v>
      </c>
      <c r="B1046" s="3" t="str">
        <f t="shared" si="52"/>
        <v>AMZN</v>
      </c>
      <c r="C1046" s="3" t="str">
        <f t="shared" si="50"/>
        <v>260320</v>
      </c>
      <c r="D1046" s="3" t="str">
        <f t="shared" si="51"/>
        <v>P00090000</v>
      </c>
      <c r="E1046" s="44">
        <v>46100.456944444442</v>
      </c>
      <c r="F1046" s="13">
        <v>90</v>
      </c>
      <c r="G1046" s="43">
        <v>0.01</v>
      </c>
      <c r="H1046" s="43">
        <v>0</v>
      </c>
      <c r="I1046" s="43">
        <v>0.01</v>
      </c>
      <c r="J1046" s="43">
        <v>0</v>
      </c>
      <c r="K1046" s="61">
        <v>0</v>
      </c>
      <c r="L1046" s="43">
        <v>10</v>
      </c>
      <c r="M1046" s="60">
        <v>1025</v>
      </c>
      <c r="N1046" s="59">
        <v>4.875</v>
      </c>
      <c r="O1046" t="s">
        <v>65</v>
      </c>
      <c r="P1046" s="9">
        <v>46100</v>
      </c>
      <c r="Q1046">
        <v>209.18</v>
      </c>
    </row>
    <row r="1047" spans="1:17" x14ac:dyDescent="0.25">
      <c r="A1047" s="12" t="s">
        <v>779</v>
      </c>
      <c r="B1047" s="3" t="str">
        <f t="shared" si="52"/>
        <v>AMZN</v>
      </c>
      <c r="C1047" s="3" t="str">
        <f t="shared" si="50"/>
        <v>260320</v>
      </c>
      <c r="D1047" s="3" t="str">
        <f t="shared" si="51"/>
        <v>P00095000</v>
      </c>
      <c r="E1047" s="44">
        <v>46085.661111111112</v>
      </c>
      <c r="F1047" s="13">
        <v>95</v>
      </c>
      <c r="G1047" s="43">
        <v>0.01</v>
      </c>
      <c r="H1047" s="43">
        <v>0</v>
      </c>
      <c r="I1047" s="43">
        <v>0.01</v>
      </c>
      <c r="J1047" s="43">
        <v>0</v>
      </c>
      <c r="K1047" s="61">
        <v>0</v>
      </c>
      <c r="L1047" s="43">
        <v>101</v>
      </c>
      <c r="M1047" s="60">
        <v>1098</v>
      </c>
      <c r="N1047" s="59">
        <v>4.625</v>
      </c>
      <c r="O1047" t="s">
        <v>65</v>
      </c>
      <c r="P1047" s="9">
        <v>46100</v>
      </c>
      <c r="Q1047">
        <v>209.18</v>
      </c>
    </row>
    <row r="1048" spans="1:17" x14ac:dyDescent="0.25">
      <c r="A1048" s="12" t="s">
        <v>780</v>
      </c>
      <c r="B1048" s="3" t="str">
        <f t="shared" si="52"/>
        <v>AMZN</v>
      </c>
      <c r="C1048" s="3" t="str">
        <f t="shared" si="50"/>
        <v>260320</v>
      </c>
      <c r="D1048" s="3" t="str">
        <f t="shared" si="51"/>
        <v>P00100000</v>
      </c>
      <c r="E1048" s="44">
        <v>46100.459027777775</v>
      </c>
      <c r="F1048" s="13">
        <v>100</v>
      </c>
      <c r="G1048" s="43">
        <v>0.01</v>
      </c>
      <c r="H1048" s="43">
        <v>0</v>
      </c>
      <c r="I1048" s="43">
        <v>0.01</v>
      </c>
      <c r="J1048" s="43">
        <v>0</v>
      </c>
      <c r="K1048" s="61">
        <v>0</v>
      </c>
      <c r="L1048" s="43">
        <v>10</v>
      </c>
      <c r="M1048" s="43">
        <v>594</v>
      </c>
      <c r="N1048" s="59">
        <v>4.375</v>
      </c>
      <c r="O1048" t="s">
        <v>65</v>
      </c>
      <c r="P1048" s="9">
        <v>46100</v>
      </c>
      <c r="Q1048">
        <v>209.18</v>
      </c>
    </row>
    <row r="1049" spans="1:17" x14ac:dyDescent="0.25">
      <c r="A1049" s="12" t="s">
        <v>781</v>
      </c>
      <c r="B1049" s="3" t="str">
        <f t="shared" si="52"/>
        <v>AMZN</v>
      </c>
      <c r="C1049" s="3" t="str">
        <f t="shared" si="50"/>
        <v>260320</v>
      </c>
      <c r="D1049" s="3" t="str">
        <f t="shared" si="51"/>
        <v>P00105000</v>
      </c>
      <c r="E1049" s="44">
        <v>46091.554861111108</v>
      </c>
      <c r="F1049" s="13">
        <v>105</v>
      </c>
      <c r="G1049" s="43">
        <v>0.01</v>
      </c>
      <c r="H1049" s="43">
        <v>0</v>
      </c>
      <c r="I1049" s="43">
        <v>0.01</v>
      </c>
      <c r="J1049" s="43">
        <v>0</v>
      </c>
      <c r="K1049" s="61">
        <v>0</v>
      </c>
      <c r="L1049" s="43">
        <v>14</v>
      </c>
      <c r="M1049" s="43">
        <v>720</v>
      </c>
      <c r="N1049" s="59">
        <v>4</v>
      </c>
      <c r="O1049" t="s">
        <v>65</v>
      </c>
      <c r="P1049" s="9">
        <v>46100</v>
      </c>
      <c r="Q1049">
        <v>209.18</v>
      </c>
    </row>
    <row r="1050" spans="1:17" x14ac:dyDescent="0.25">
      <c r="A1050" s="12" t="s">
        <v>782</v>
      </c>
      <c r="B1050" s="3" t="str">
        <f t="shared" si="52"/>
        <v>AMZN</v>
      </c>
      <c r="C1050" s="3" t="str">
        <f t="shared" si="50"/>
        <v>260320</v>
      </c>
      <c r="D1050" s="3" t="str">
        <f t="shared" si="51"/>
        <v>P00110000</v>
      </c>
      <c r="E1050" s="44">
        <v>46100.513888888891</v>
      </c>
      <c r="F1050" s="13">
        <v>110</v>
      </c>
      <c r="G1050" s="43">
        <v>0.01</v>
      </c>
      <c r="H1050" s="43">
        <v>0</v>
      </c>
      <c r="I1050" s="43">
        <v>0.01</v>
      </c>
      <c r="J1050" s="43">
        <v>0</v>
      </c>
      <c r="K1050" s="61">
        <v>0</v>
      </c>
      <c r="L1050" s="43">
        <v>3</v>
      </c>
      <c r="M1050" s="60">
        <v>1516</v>
      </c>
      <c r="N1050" s="59">
        <v>3.75</v>
      </c>
      <c r="O1050" t="s">
        <v>65</v>
      </c>
      <c r="P1050" s="9">
        <v>46100</v>
      </c>
      <c r="Q1050">
        <v>209.18</v>
      </c>
    </row>
    <row r="1051" spans="1:17" x14ac:dyDescent="0.25">
      <c r="A1051" s="12" t="s">
        <v>783</v>
      </c>
      <c r="B1051" s="3" t="str">
        <f t="shared" si="52"/>
        <v>AMZN</v>
      </c>
      <c r="C1051" s="3" t="str">
        <f t="shared" si="50"/>
        <v>260320</v>
      </c>
      <c r="D1051" s="3" t="str">
        <f t="shared" si="51"/>
        <v>P00115000</v>
      </c>
      <c r="E1051" s="44">
        <v>46094.493750000001</v>
      </c>
      <c r="F1051" s="13">
        <v>115</v>
      </c>
      <c r="G1051" s="43">
        <v>0.01</v>
      </c>
      <c r="H1051" s="43">
        <v>0</v>
      </c>
      <c r="I1051" s="43">
        <v>0.01</v>
      </c>
      <c r="J1051" s="43">
        <v>0</v>
      </c>
      <c r="K1051" s="61">
        <v>0</v>
      </c>
      <c r="L1051" s="43">
        <v>4</v>
      </c>
      <c r="M1051" s="43">
        <v>467</v>
      </c>
      <c r="N1051" s="59">
        <v>3.5</v>
      </c>
      <c r="O1051" t="s">
        <v>65</v>
      </c>
      <c r="P1051" s="9">
        <v>46100</v>
      </c>
      <c r="Q1051">
        <v>209.18</v>
      </c>
    </row>
    <row r="1052" spans="1:17" x14ac:dyDescent="0.25">
      <c r="A1052" s="12" t="s">
        <v>784</v>
      </c>
      <c r="B1052" s="3" t="str">
        <f t="shared" si="52"/>
        <v>AMZN</v>
      </c>
      <c r="C1052" s="3" t="str">
        <f t="shared" si="50"/>
        <v>260320</v>
      </c>
      <c r="D1052" s="3" t="str">
        <f t="shared" si="51"/>
        <v>P00120000</v>
      </c>
      <c r="E1052" s="44">
        <v>46100.499305555553</v>
      </c>
      <c r="F1052" s="13">
        <v>120</v>
      </c>
      <c r="G1052" s="43">
        <v>0.01</v>
      </c>
      <c r="H1052" s="43">
        <v>0</v>
      </c>
      <c r="I1052" s="43">
        <v>0.01</v>
      </c>
      <c r="J1052" s="32">
        <v>-0.01</v>
      </c>
      <c r="K1052" s="33">
        <v>-0.5</v>
      </c>
      <c r="L1052" s="43">
        <v>2</v>
      </c>
      <c r="M1052" s="60">
        <v>1177</v>
      </c>
      <c r="N1052" s="59">
        <v>3.25</v>
      </c>
      <c r="O1052" t="s">
        <v>65</v>
      </c>
      <c r="P1052" s="9">
        <v>46100</v>
      </c>
      <c r="Q1052">
        <v>209.18</v>
      </c>
    </row>
    <row r="1053" spans="1:17" x14ac:dyDescent="0.25">
      <c r="A1053" s="12" t="s">
        <v>785</v>
      </c>
      <c r="B1053" s="3" t="str">
        <f t="shared" si="52"/>
        <v>AMZN</v>
      </c>
      <c r="C1053" s="3" t="str">
        <f t="shared" si="50"/>
        <v>260320</v>
      </c>
      <c r="D1053" s="3" t="str">
        <f t="shared" si="51"/>
        <v>P00125000</v>
      </c>
      <c r="E1053" s="44">
        <v>46097.432638888888</v>
      </c>
      <c r="F1053" s="13">
        <v>125</v>
      </c>
      <c r="G1053" s="43">
        <v>0.02</v>
      </c>
      <c r="H1053" s="43">
        <v>0</v>
      </c>
      <c r="I1053" s="43">
        <v>0.01</v>
      </c>
      <c r="J1053" s="43">
        <v>0</v>
      </c>
      <c r="K1053" s="61">
        <v>0</v>
      </c>
      <c r="L1053" s="43">
        <v>3</v>
      </c>
      <c r="M1053" s="60">
        <v>1625</v>
      </c>
      <c r="N1053" s="59">
        <v>3.0625</v>
      </c>
      <c r="O1053" t="s">
        <v>65</v>
      </c>
      <c r="P1053" s="9">
        <v>46100</v>
      </c>
      <c r="Q1053">
        <v>209.18</v>
      </c>
    </row>
    <row r="1054" spans="1:17" x14ac:dyDescent="0.25">
      <c r="A1054" s="12" t="s">
        <v>786</v>
      </c>
      <c r="B1054" s="3" t="str">
        <f t="shared" si="52"/>
        <v>AMZN</v>
      </c>
      <c r="C1054" s="3" t="str">
        <f t="shared" si="50"/>
        <v>260320</v>
      </c>
      <c r="D1054" s="3" t="str">
        <f t="shared" si="51"/>
        <v>P00130000</v>
      </c>
      <c r="E1054" s="44">
        <v>46098.622916666667</v>
      </c>
      <c r="F1054" s="13">
        <v>130</v>
      </c>
      <c r="G1054" s="43">
        <v>0.01</v>
      </c>
      <c r="H1054" s="43">
        <v>0</v>
      </c>
      <c r="I1054" s="43">
        <v>0.01</v>
      </c>
      <c r="J1054" s="43">
        <v>0</v>
      </c>
      <c r="K1054" s="61">
        <v>0</v>
      </c>
      <c r="L1054" s="43">
        <v>2</v>
      </c>
      <c r="M1054" s="60">
        <v>1974</v>
      </c>
      <c r="N1054" s="59">
        <v>2.875</v>
      </c>
      <c r="O1054" t="s">
        <v>65</v>
      </c>
      <c r="P1054" s="9">
        <v>46100</v>
      </c>
      <c r="Q1054">
        <v>209.18</v>
      </c>
    </row>
    <row r="1055" spans="1:17" x14ac:dyDescent="0.25">
      <c r="A1055" s="12" t="s">
        <v>787</v>
      </c>
      <c r="B1055" s="3" t="str">
        <f t="shared" si="52"/>
        <v>AMZN</v>
      </c>
      <c r="C1055" s="3" t="str">
        <f t="shared" si="50"/>
        <v>260320</v>
      </c>
      <c r="D1055" s="3" t="str">
        <f t="shared" si="51"/>
        <v>P00135000</v>
      </c>
      <c r="E1055" s="44">
        <v>46100.540972222225</v>
      </c>
      <c r="F1055" s="13">
        <v>135</v>
      </c>
      <c r="G1055" s="43">
        <v>0.04</v>
      </c>
      <c r="H1055" s="43">
        <v>0</v>
      </c>
      <c r="I1055" s="43">
        <v>0.01</v>
      </c>
      <c r="J1055" s="35">
        <v>0.03</v>
      </c>
      <c r="K1055" s="36">
        <v>3</v>
      </c>
      <c r="L1055" s="43">
        <v>1</v>
      </c>
      <c r="M1055" s="60">
        <v>1727</v>
      </c>
      <c r="N1055" s="59">
        <v>2.625</v>
      </c>
      <c r="O1055" t="s">
        <v>65</v>
      </c>
      <c r="P1055" s="9">
        <v>46100</v>
      </c>
      <c r="Q1055">
        <v>209.18</v>
      </c>
    </row>
    <row r="1056" spans="1:17" x14ac:dyDescent="0.25">
      <c r="A1056" s="12" t="s">
        <v>788</v>
      </c>
      <c r="B1056" s="3" t="str">
        <f t="shared" si="52"/>
        <v>AMZN</v>
      </c>
      <c r="C1056" s="3" t="str">
        <f t="shared" si="50"/>
        <v>260320</v>
      </c>
      <c r="D1056" s="3" t="str">
        <f t="shared" si="51"/>
        <v>P00140000</v>
      </c>
      <c r="E1056" s="44">
        <v>46100.458333333336</v>
      </c>
      <c r="F1056" s="13">
        <v>140</v>
      </c>
      <c r="G1056" s="43">
        <v>0.01</v>
      </c>
      <c r="H1056" s="43">
        <v>0</v>
      </c>
      <c r="I1056" s="43">
        <v>0.01</v>
      </c>
      <c r="J1056" s="43">
        <v>0</v>
      </c>
      <c r="K1056" s="61">
        <v>0</v>
      </c>
      <c r="L1056" s="43">
        <v>2</v>
      </c>
      <c r="M1056" s="60">
        <v>4778</v>
      </c>
      <c r="N1056" s="59">
        <v>2.4375</v>
      </c>
      <c r="O1056" t="s">
        <v>65</v>
      </c>
      <c r="P1056" s="9">
        <v>46100</v>
      </c>
      <c r="Q1056">
        <v>209.18</v>
      </c>
    </row>
    <row r="1057" spans="1:17" x14ac:dyDescent="0.25">
      <c r="A1057" s="12" t="s">
        <v>789</v>
      </c>
      <c r="B1057" s="3" t="str">
        <f t="shared" si="52"/>
        <v>AMZN</v>
      </c>
      <c r="C1057" s="3" t="str">
        <f t="shared" si="50"/>
        <v>260320</v>
      </c>
      <c r="D1057" s="3" t="str">
        <f t="shared" si="51"/>
        <v>P00145000</v>
      </c>
      <c r="E1057" s="44">
        <v>46099.645138888889</v>
      </c>
      <c r="F1057" s="13">
        <v>145</v>
      </c>
      <c r="G1057" s="43">
        <v>0.01</v>
      </c>
      <c r="H1057" s="43">
        <v>0</v>
      </c>
      <c r="I1057" s="43">
        <v>0.01</v>
      </c>
      <c r="J1057" s="43">
        <v>0</v>
      </c>
      <c r="K1057" s="61">
        <v>0</v>
      </c>
      <c r="L1057" s="43">
        <v>1</v>
      </c>
      <c r="M1057" s="60">
        <v>7452</v>
      </c>
      <c r="N1057" s="59">
        <v>2.25</v>
      </c>
      <c r="O1057" t="s">
        <v>65</v>
      </c>
      <c r="P1057" s="9">
        <v>46100</v>
      </c>
      <c r="Q1057">
        <v>209.18</v>
      </c>
    </row>
    <row r="1058" spans="1:17" x14ac:dyDescent="0.25">
      <c r="A1058" s="12" t="s">
        <v>790</v>
      </c>
      <c r="B1058" s="3" t="str">
        <f t="shared" si="52"/>
        <v>AMZN</v>
      </c>
      <c r="C1058" s="3" t="str">
        <f t="shared" si="50"/>
        <v>260320</v>
      </c>
      <c r="D1058" s="3" t="str">
        <f t="shared" si="51"/>
        <v>P00150000</v>
      </c>
      <c r="E1058" s="44">
        <v>46100.662499999999</v>
      </c>
      <c r="F1058" s="13">
        <v>150</v>
      </c>
      <c r="G1058" s="43">
        <v>0.01</v>
      </c>
      <c r="H1058" s="43">
        <v>0</v>
      </c>
      <c r="I1058" s="43">
        <v>0.01</v>
      </c>
      <c r="J1058" s="43">
        <v>0</v>
      </c>
      <c r="K1058" s="61">
        <v>0</v>
      </c>
      <c r="L1058" s="43">
        <v>30</v>
      </c>
      <c r="M1058" s="60">
        <v>13698</v>
      </c>
      <c r="N1058" s="59">
        <v>2</v>
      </c>
      <c r="O1058" t="s">
        <v>65</v>
      </c>
      <c r="P1058" s="9">
        <v>46100</v>
      </c>
      <c r="Q1058">
        <v>209.18</v>
      </c>
    </row>
    <row r="1059" spans="1:17" x14ac:dyDescent="0.25">
      <c r="A1059" s="12" t="s">
        <v>791</v>
      </c>
      <c r="B1059" s="3" t="str">
        <f t="shared" si="52"/>
        <v>AMZN</v>
      </c>
      <c r="C1059" s="3" t="str">
        <f t="shared" si="50"/>
        <v>260320</v>
      </c>
      <c r="D1059" s="3" t="str">
        <f t="shared" si="51"/>
        <v>P00155000</v>
      </c>
      <c r="E1059" s="44">
        <v>46100.447222222225</v>
      </c>
      <c r="F1059" s="13">
        <v>155</v>
      </c>
      <c r="G1059" s="43">
        <v>0.01</v>
      </c>
      <c r="H1059" s="43">
        <v>0</v>
      </c>
      <c r="I1059" s="43">
        <v>0.01</v>
      </c>
      <c r="J1059" s="43">
        <v>0</v>
      </c>
      <c r="K1059" s="61">
        <v>0</v>
      </c>
      <c r="L1059" s="43">
        <v>11</v>
      </c>
      <c r="M1059" s="60">
        <v>7410</v>
      </c>
      <c r="N1059" s="59">
        <v>1.875</v>
      </c>
      <c r="O1059" t="s">
        <v>65</v>
      </c>
      <c r="P1059" s="9">
        <v>46100</v>
      </c>
      <c r="Q1059">
        <v>209.18</v>
      </c>
    </row>
    <row r="1060" spans="1:17" x14ac:dyDescent="0.25">
      <c r="A1060" s="12" t="s">
        <v>792</v>
      </c>
      <c r="B1060" s="3" t="str">
        <f t="shared" si="52"/>
        <v>AMZN</v>
      </c>
      <c r="C1060" s="3" t="str">
        <f t="shared" si="50"/>
        <v>260320</v>
      </c>
      <c r="D1060" s="3" t="str">
        <f t="shared" si="51"/>
        <v>P00160000</v>
      </c>
      <c r="E1060" s="44">
        <v>46100.637499999997</v>
      </c>
      <c r="F1060" s="13">
        <v>160</v>
      </c>
      <c r="G1060" s="43">
        <v>0.01</v>
      </c>
      <c r="H1060" s="43">
        <v>0</v>
      </c>
      <c r="I1060" s="43">
        <v>0.01</v>
      </c>
      <c r="J1060" s="43">
        <v>0</v>
      </c>
      <c r="K1060" s="61">
        <v>0</v>
      </c>
      <c r="L1060" s="43">
        <v>37</v>
      </c>
      <c r="M1060" s="60">
        <v>12828</v>
      </c>
      <c r="N1060" s="59">
        <v>1.6875</v>
      </c>
      <c r="O1060" t="s">
        <v>65</v>
      </c>
      <c r="P1060" s="9">
        <v>46100</v>
      </c>
      <c r="Q1060">
        <v>209.18</v>
      </c>
    </row>
    <row r="1061" spans="1:17" x14ac:dyDescent="0.25">
      <c r="A1061" s="12" t="s">
        <v>793</v>
      </c>
      <c r="B1061" s="3" t="str">
        <f t="shared" si="52"/>
        <v>AMZN</v>
      </c>
      <c r="C1061" s="3" t="str">
        <f t="shared" si="50"/>
        <v>260320</v>
      </c>
      <c r="D1061" s="3" t="str">
        <f t="shared" si="51"/>
        <v>P00165000</v>
      </c>
      <c r="E1061" s="44">
        <v>46100.568055555559</v>
      </c>
      <c r="F1061" s="13">
        <v>165</v>
      </c>
      <c r="G1061" s="43">
        <v>0.01</v>
      </c>
      <c r="H1061" s="43">
        <v>0</v>
      </c>
      <c r="I1061" s="43">
        <v>0.01</v>
      </c>
      <c r="J1061" s="43">
        <v>0</v>
      </c>
      <c r="K1061" s="61">
        <v>0</v>
      </c>
      <c r="L1061" s="43">
        <v>28</v>
      </c>
      <c r="M1061" s="60">
        <v>11564</v>
      </c>
      <c r="N1061" s="59">
        <v>1.5</v>
      </c>
      <c r="O1061" t="s">
        <v>65</v>
      </c>
      <c r="P1061" s="9">
        <v>46100</v>
      </c>
      <c r="Q1061">
        <v>209.18</v>
      </c>
    </row>
    <row r="1062" spans="1:17" x14ac:dyDescent="0.25">
      <c r="A1062" s="12" t="s">
        <v>794</v>
      </c>
      <c r="B1062" s="3" t="str">
        <f t="shared" si="52"/>
        <v>AMZN</v>
      </c>
      <c r="C1062" s="3" t="str">
        <f t="shared" si="50"/>
        <v>260320</v>
      </c>
      <c r="D1062" s="3" t="str">
        <f t="shared" si="51"/>
        <v>P00170000</v>
      </c>
      <c r="E1062" s="44">
        <v>46100.645833333336</v>
      </c>
      <c r="F1062" s="13">
        <v>170</v>
      </c>
      <c r="G1062" s="43">
        <v>0.01</v>
      </c>
      <c r="H1062" s="43">
        <v>0</v>
      </c>
      <c r="I1062" s="43">
        <v>0.01</v>
      </c>
      <c r="J1062" s="32">
        <v>-0.01</v>
      </c>
      <c r="K1062" s="33">
        <v>-0.5</v>
      </c>
      <c r="L1062" s="43">
        <v>479</v>
      </c>
      <c r="M1062" s="60">
        <v>13018</v>
      </c>
      <c r="N1062" s="59">
        <v>1.3125</v>
      </c>
      <c r="O1062" t="s">
        <v>65</v>
      </c>
      <c r="P1062" s="9">
        <v>46100</v>
      </c>
      <c r="Q1062">
        <v>209.18</v>
      </c>
    </row>
    <row r="1063" spans="1:17" x14ac:dyDescent="0.25">
      <c r="A1063" s="12" t="s">
        <v>795</v>
      </c>
      <c r="B1063" s="3" t="str">
        <f t="shared" si="52"/>
        <v>AMZN</v>
      </c>
      <c r="C1063" s="3" t="str">
        <f t="shared" si="50"/>
        <v>260320</v>
      </c>
      <c r="D1063" s="3" t="str">
        <f t="shared" si="51"/>
        <v>P00175000</v>
      </c>
      <c r="E1063" s="44">
        <v>46100.65902777778</v>
      </c>
      <c r="F1063" s="13">
        <v>175</v>
      </c>
      <c r="G1063" s="43">
        <v>0.01</v>
      </c>
      <c r="H1063" s="43">
        <v>0.01</v>
      </c>
      <c r="I1063" s="43">
        <v>0.02</v>
      </c>
      <c r="J1063" s="32">
        <v>-0.01</v>
      </c>
      <c r="K1063" s="33">
        <v>-0.5</v>
      </c>
      <c r="L1063" s="43">
        <v>284</v>
      </c>
      <c r="M1063" s="60">
        <v>14691</v>
      </c>
      <c r="N1063" s="59">
        <v>1.2656000000000001</v>
      </c>
      <c r="O1063" t="s">
        <v>65</v>
      </c>
      <c r="P1063" s="9">
        <v>46100</v>
      </c>
      <c r="Q1063">
        <v>209.18</v>
      </c>
    </row>
    <row r="1064" spans="1:17" x14ac:dyDescent="0.25">
      <c r="A1064" s="12" t="s">
        <v>796</v>
      </c>
      <c r="B1064" s="3" t="str">
        <f t="shared" si="52"/>
        <v>AMZN</v>
      </c>
      <c r="C1064" s="3" t="str">
        <f t="shared" si="50"/>
        <v>260320</v>
      </c>
      <c r="D1064" s="3" t="str">
        <f t="shared" si="51"/>
        <v>P00180000</v>
      </c>
      <c r="E1064" s="44">
        <v>46100.661111111112</v>
      </c>
      <c r="F1064" s="13">
        <v>180</v>
      </c>
      <c r="G1064" s="43">
        <v>0.02</v>
      </c>
      <c r="H1064" s="43">
        <v>0.01</v>
      </c>
      <c r="I1064" s="43">
        <v>0.02</v>
      </c>
      <c r="J1064" s="32">
        <v>-0.01</v>
      </c>
      <c r="K1064" s="33">
        <v>-0.33329999999999999</v>
      </c>
      <c r="L1064" s="60">
        <v>1422</v>
      </c>
      <c r="M1064" s="60">
        <v>19781</v>
      </c>
      <c r="N1064" s="59">
        <v>1.0781000000000001</v>
      </c>
      <c r="O1064" t="s">
        <v>65</v>
      </c>
      <c r="P1064" s="9">
        <v>46100</v>
      </c>
      <c r="Q1064">
        <v>209.18</v>
      </c>
    </row>
    <row r="1065" spans="1:17" x14ac:dyDescent="0.25">
      <c r="A1065" s="12" t="s">
        <v>797</v>
      </c>
      <c r="B1065" s="3" t="str">
        <f t="shared" si="52"/>
        <v>AMZN</v>
      </c>
      <c r="C1065" s="3" t="str">
        <f t="shared" si="50"/>
        <v>260320</v>
      </c>
      <c r="D1065" s="3" t="str">
        <f t="shared" si="51"/>
        <v>P00185000</v>
      </c>
      <c r="E1065" s="44">
        <v>46100.65625</v>
      </c>
      <c r="F1065" s="13">
        <v>185</v>
      </c>
      <c r="G1065" s="43">
        <v>0.02</v>
      </c>
      <c r="H1065" s="43">
        <v>0.02</v>
      </c>
      <c r="I1065" s="43">
        <v>0.04</v>
      </c>
      <c r="J1065" s="32">
        <v>-0.03</v>
      </c>
      <c r="K1065" s="33">
        <v>-0.6</v>
      </c>
      <c r="L1065" s="60">
        <v>1104</v>
      </c>
      <c r="M1065" s="60">
        <v>9292</v>
      </c>
      <c r="N1065" s="59">
        <v>0.97660000000000002</v>
      </c>
      <c r="O1065" t="s">
        <v>65</v>
      </c>
      <c r="P1065" s="9">
        <v>46100</v>
      </c>
      <c r="Q1065">
        <v>209.18</v>
      </c>
    </row>
    <row r="1066" spans="1:17" x14ac:dyDescent="0.25">
      <c r="A1066" s="12" t="s">
        <v>798</v>
      </c>
      <c r="B1066" s="3" t="str">
        <f t="shared" si="52"/>
        <v>AMZN</v>
      </c>
      <c r="C1066" s="3" t="str">
        <f t="shared" si="50"/>
        <v>260320</v>
      </c>
      <c r="D1066" s="3" t="str">
        <f t="shared" si="51"/>
        <v>P00187500</v>
      </c>
      <c r="E1066" s="44">
        <v>46100.656944444447</v>
      </c>
      <c r="F1066" s="13">
        <v>187.5</v>
      </c>
      <c r="G1066" s="43">
        <v>0.02</v>
      </c>
      <c r="H1066" s="43">
        <v>0.02</v>
      </c>
      <c r="I1066" s="43">
        <v>0.03</v>
      </c>
      <c r="J1066" s="32">
        <v>-0.03</v>
      </c>
      <c r="K1066" s="33">
        <v>-0.6</v>
      </c>
      <c r="L1066" s="43">
        <v>641</v>
      </c>
      <c r="M1066" s="60">
        <v>5389</v>
      </c>
      <c r="N1066" s="59">
        <v>0.85940000000000005</v>
      </c>
      <c r="O1066" t="s">
        <v>65</v>
      </c>
      <c r="P1066" s="9">
        <v>46100</v>
      </c>
      <c r="Q1066">
        <v>209.18</v>
      </c>
    </row>
    <row r="1067" spans="1:17" x14ac:dyDescent="0.25">
      <c r="A1067" s="12" t="s">
        <v>799</v>
      </c>
      <c r="B1067" s="3" t="str">
        <f t="shared" si="52"/>
        <v>AMZN</v>
      </c>
      <c r="C1067" s="3" t="str">
        <f t="shared" si="50"/>
        <v>260320</v>
      </c>
      <c r="D1067" s="3" t="str">
        <f t="shared" si="51"/>
        <v>P00190000</v>
      </c>
      <c r="E1067" s="44">
        <v>46100.664583333331</v>
      </c>
      <c r="F1067" s="13">
        <v>190</v>
      </c>
      <c r="G1067" s="43">
        <v>0.03</v>
      </c>
      <c r="H1067" s="43">
        <v>0.03</v>
      </c>
      <c r="I1067" s="43">
        <v>0.05</v>
      </c>
      <c r="J1067" s="32">
        <v>-0.05</v>
      </c>
      <c r="K1067" s="33">
        <v>-0.625</v>
      </c>
      <c r="L1067" s="60">
        <v>2708</v>
      </c>
      <c r="M1067" s="60">
        <v>22805</v>
      </c>
      <c r="N1067" s="59">
        <v>0.8125</v>
      </c>
      <c r="O1067" t="s">
        <v>65</v>
      </c>
      <c r="P1067" s="9">
        <v>46100</v>
      </c>
      <c r="Q1067">
        <v>209.18</v>
      </c>
    </row>
    <row r="1068" spans="1:17" x14ac:dyDescent="0.25">
      <c r="A1068" s="12" t="s">
        <v>800</v>
      </c>
      <c r="B1068" s="3" t="str">
        <f t="shared" si="52"/>
        <v>AMZN</v>
      </c>
      <c r="C1068" s="3" t="str">
        <f t="shared" si="50"/>
        <v>260320</v>
      </c>
      <c r="D1068" s="3" t="str">
        <f t="shared" si="51"/>
        <v>P00192500</v>
      </c>
      <c r="E1068" s="44">
        <v>46100.665277777778</v>
      </c>
      <c r="F1068" s="13">
        <v>192.5</v>
      </c>
      <c r="G1068" s="43">
        <v>0.05</v>
      </c>
      <c r="H1068" s="43">
        <v>0.03</v>
      </c>
      <c r="I1068" s="43">
        <v>7.0000000000000007E-2</v>
      </c>
      <c r="J1068" s="32">
        <v>-0.03</v>
      </c>
      <c r="K1068" s="33">
        <v>-0.375</v>
      </c>
      <c r="L1068" s="60">
        <v>1970</v>
      </c>
      <c r="M1068" s="60">
        <v>4592</v>
      </c>
      <c r="N1068" s="59">
        <v>0.73829999999999996</v>
      </c>
      <c r="O1068" t="s">
        <v>65</v>
      </c>
      <c r="P1068" s="9">
        <v>46100</v>
      </c>
      <c r="Q1068">
        <v>209.18</v>
      </c>
    </row>
    <row r="1069" spans="1:17" x14ac:dyDescent="0.25">
      <c r="A1069" s="12" t="s">
        <v>801</v>
      </c>
      <c r="B1069" s="3" t="str">
        <f t="shared" si="52"/>
        <v>AMZN</v>
      </c>
      <c r="C1069" s="3" t="str">
        <f t="shared" si="50"/>
        <v>260320</v>
      </c>
      <c r="D1069" s="3" t="str">
        <f t="shared" si="51"/>
        <v>P00195000</v>
      </c>
      <c r="E1069" s="44">
        <v>46100.665972222225</v>
      </c>
      <c r="F1069" s="13">
        <v>195</v>
      </c>
      <c r="G1069" s="43">
        <v>0.06</v>
      </c>
      <c r="H1069" s="43">
        <v>0.05</v>
      </c>
      <c r="I1069" s="43">
        <v>0.08</v>
      </c>
      <c r="J1069" s="32">
        <v>-0.06</v>
      </c>
      <c r="K1069" s="33">
        <v>-0.5</v>
      </c>
      <c r="L1069" s="60">
        <v>1744</v>
      </c>
      <c r="M1069" s="60">
        <v>17270</v>
      </c>
      <c r="N1069" s="59">
        <v>0.66410000000000002</v>
      </c>
      <c r="O1069" t="s">
        <v>65</v>
      </c>
      <c r="P1069" s="9">
        <v>46100</v>
      </c>
      <c r="Q1069">
        <v>209.18</v>
      </c>
    </row>
    <row r="1070" spans="1:17" x14ac:dyDescent="0.25">
      <c r="A1070" s="12" t="s">
        <v>802</v>
      </c>
      <c r="B1070" s="3" t="str">
        <f t="shared" si="52"/>
        <v>AMZN</v>
      </c>
      <c r="C1070" s="3" t="str">
        <f t="shared" si="50"/>
        <v>260320</v>
      </c>
      <c r="D1070" s="3" t="str">
        <f t="shared" si="51"/>
        <v>P00197500</v>
      </c>
      <c r="E1070" s="44">
        <v>46100.665277777778</v>
      </c>
      <c r="F1070" s="13">
        <v>197.5</v>
      </c>
      <c r="G1070" s="43">
        <v>7.0000000000000007E-2</v>
      </c>
      <c r="H1070" s="43">
        <v>7.0000000000000007E-2</v>
      </c>
      <c r="I1070" s="43">
        <v>0.08</v>
      </c>
      <c r="J1070" s="32">
        <v>-0.09</v>
      </c>
      <c r="K1070" s="33">
        <v>-0.5625</v>
      </c>
      <c r="L1070" s="60">
        <v>1600</v>
      </c>
      <c r="M1070" s="60">
        <v>6475</v>
      </c>
      <c r="N1070" s="59">
        <v>0.57030000000000003</v>
      </c>
      <c r="O1070" t="s">
        <v>65</v>
      </c>
      <c r="P1070" s="9">
        <v>46100</v>
      </c>
      <c r="Q1070">
        <v>209.18</v>
      </c>
    </row>
    <row r="1071" spans="1:17" x14ac:dyDescent="0.25">
      <c r="A1071" s="12" t="s">
        <v>803</v>
      </c>
      <c r="B1071" s="3" t="str">
        <f t="shared" si="52"/>
        <v>AMZN</v>
      </c>
      <c r="C1071" s="3" t="str">
        <f t="shared" si="50"/>
        <v>260320</v>
      </c>
      <c r="D1071" s="3" t="str">
        <f t="shared" si="51"/>
        <v>P00200000</v>
      </c>
      <c r="E1071" s="44">
        <v>46100.665972222225</v>
      </c>
      <c r="F1071" s="13">
        <v>200</v>
      </c>
      <c r="G1071" s="43">
        <v>0.13</v>
      </c>
      <c r="H1071" s="43">
        <v>0.12</v>
      </c>
      <c r="I1071" s="43">
        <v>0.14000000000000001</v>
      </c>
      <c r="J1071" s="32">
        <v>-0.13</v>
      </c>
      <c r="K1071" s="33">
        <v>-0.5</v>
      </c>
      <c r="L1071" s="60">
        <v>11929</v>
      </c>
      <c r="M1071" s="60">
        <v>46995</v>
      </c>
      <c r="N1071" s="59">
        <v>0.51370000000000005</v>
      </c>
      <c r="O1071" t="s">
        <v>65</v>
      </c>
      <c r="P1071" s="9">
        <v>46100</v>
      </c>
      <c r="Q1071">
        <v>209.18</v>
      </c>
    </row>
    <row r="1072" spans="1:17" x14ac:dyDescent="0.25">
      <c r="A1072" s="12" t="s">
        <v>804</v>
      </c>
      <c r="B1072" s="3" t="str">
        <f t="shared" si="52"/>
        <v>AMZN</v>
      </c>
      <c r="C1072" s="3" t="str">
        <f t="shared" si="50"/>
        <v>260320</v>
      </c>
      <c r="D1072" s="3" t="str">
        <f t="shared" si="51"/>
        <v>P00202500</v>
      </c>
      <c r="E1072" s="44">
        <v>46100.665972222225</v>
      </c>
      <c r="F1072" s="13">
        <v>202.5</v>
      </c>
      <c r="G1072" s="43">
        <v>0.23</v>
      </c>
      <c r="H1072" s="43">
        <v>0.23</v>
      </c>
      <c r="I1072" s="43">
        <v>0.25</v>
      </c>
      <c r="J1072" s="32">
        <v>-0.2</v>
      </c>
      <c r="K1072" s="33">
        <v>-0.46510000000000001</v>
      </c>
      <c r="L1072" s="60">
        <v>7499</v>
      </c>
      <c r="M1072" s="60">
        <v>4803</v>
      </c>
      <c r="N1072" s="59">
        <v>0.46389999999999998</v>
      </c>
      <c r="O1072" t="s">
        <v>65</v>
      </c>
      <c r="P1072" s="9">
        <v>46100</v>
      </c>
      <c r="Q1072">
        <v>209.18</v>
      </c>
    </row>
    <row r="1073" spans="1:17" x14ac:dyDescent="0.25">
      <c r="A1073" s="12" t="s">
        <v>805</v>
      </c>
      <c r="B1073" s="3" t="str">
        <f t="shared" si="52"/>
        <v>AMZN</v>
      </c>
      <c r="C1073" s="3" t="str">
        <f t="shared" si="50"/>
        <v>260320</v>
      </c>
      <c r="D1073" s="3" t="str">
        <f t="shared" si="51"/>
        <v>P00205000</v>
      </c>
      <c r="E1073" s="44">
        <v>46100.665972222225</v>
      </c>
      <c r="F1073" s="13">
        <v>205</v>
      </c>
      <c r="G1073" s="43">
        <v>0.52</v>
      </c>
      <c r="H1073" s="43">
        <v>0.52</v>
      </c>
      <c r="I1073" s="43">
        <v>0.55000000000000004</v>
      </c>
      <c r="J1073" s="32">
        <v>-0.24</v>
      </c>
      <c r="K1073" s="33">
        <v>-0.31580000000000003</v>
      </c>
      <c r="L1073" s="60">
        <v>16755</v>
      </c>
      <c r="M1073" s="60">
        <v>18241</v>
      </c>
      <c r="N1073" s="59">
        <v>0.42920000000000003</v>
      </c>
      <c r="O1073" t="s">
        <v>65</v>
      </c>
      <c r="P1073" s="9">
        <v>46100</v>
      </c>
      <c r="Q1073">
        <v>209.18</v>
      </c>
    </row>
    <row r="1074" spans="1:17" x14ac:dyDescent="0.25">
      <c r="A1074" s="12" t="s">
        <v>806</v>
      </c>
      <c r="B1074" s="3" t="str">
        <f t="shared" si="52"/>
        <v>AMZN</v>
      </c>
      <c r="C1074" s="3" t="str">
        <f t="shared" si="50"/>
        <v>260320</v>
      </c>
      <c r="D1074" s="3" t="str">
        <f t="shared" si="51"/>
        <v>P00207500</v>
      </c>
      <c r="E1074" s="44">
        <v>46100.665972222225</v>
      </c>
      <c r="F1074" s="13">
        <v>207.5</v>
      </c>
      <c r="G1074" s="43">
        <v>1.1200000000000001</v>
      </c>
      <c r="H1074" s="43">
        <v>1.1499999999999999</v>
      </c>
      <c r="I1074" s="43">
        <v>1.19</v>
      </c>
      <c r="J1074" s="32">
        <v>-0.24</v>
      </c>
      <c r="K1074" s="33">
        <v>-0.17649999999999999</v>
      </c>
      <c r="L1074" s="60">
        <v>12622</v>
      </c>
      <c r="M1074" s="60">
        <v>4245</v>
      </c>
      <c r="N1074" s="59">
        <v>0.40229999999999999</v>
      </c>
      <c r="O1074" t="s">
        <v>65</v>
      </c>
      <c r="P1074" s="9">
        <v>46100</v>
      </c>
      <c r="Q1074">
        <v>209.18</v>
      </c>
    </row>
    <row r="1075" spans="1:17" x14ac:dyDescent="0.25">
      <c r="A1075" s="12" t="s">
        <v>807</v>
      </c>
      <c r="B1075" s="3" t="str">
        <f t="shared" si="52"/>
        <v>AMZN</v>
      </c>
      <c r="C1075" s="3" t="str">
        <f t="shared" si="50"/>
        <v>260320</v>
      </c>
      <c r="D1075" s="3" t="str">
        <f t="shared" si="51"/>
        <v>P00210000</v>
      </c>
      <c r="E1075" s="44">
        <v>46100.665972222225</v>
      </c>
      <c r="F1075" s="13">
        <v>210</v>
      </c>
      <c r="G1075" s="43">
        <v>2.2200000000000002</v>
      </c>
      <c r="H1075" s="43">
        <v>2.29</v>
      </c>
      <c r="I1075" s="43">
        <v>2.34</v>
      </c>
      <c r="J1075" s="32">
        <v>-0.12</v>
      </c>
      <c r="K1075" s="33">
        <v>-5.1299999999999998E-2</v>
      </c>
      <c r="L1075" s="60">
        <v>9984</v>
      </c>
      <c r="M1075" s="60">
        <v>26662</v>
      </c>
      <c r="N1075" s="59">
        <v>0.3765</v>
      </c>
      <c r="O1075" t="s">
        <v>65</v>
      </c>
      <c r="P1075" s="9">
        <v>46100</v>
      </c>
      <c r="Q1075">
        <v>209.18</v>
      </c>
    </row>
    <row r="1076" spans="1:17" x14ac:dyDescent="0.25">
      <c r="A1076" s="12" t="s">
        <v>808</v>
      </c>
      <c r="B1076" s="3" t="str">
        <f t="shared" si="52"/>
        <v>AMZN</v>
      </c>
      <c r="C1076" s="3" t="str">
        <f t="shared" ref="C1076:C1139" si="53">+MID(A1076,5,6)</f>
        <v>260320</v>
      </c>
      <c r="D1076" s="3" t="str">
        <f t="shared" ref="D1076:D1139" si="54">+MID(A1076,11,10)</f>
        <v>P00212500</v>
      </c>
      <c r="E1076" s="44">
        <v>46100.662499999999</v>
      </c>
      <c r="F1076" s="13">
        <v>212.5</v>
      </c>
      <c r="G1076" s="43">
        <v>4</v>
      </c>
      <c r="H1076" s="43">
        <v>3.95</v>
      </c>
      <c r="I1076" s="43">
        <v>4.7</v>
      </c>
      <c r="J1076" s="35">
        <v>0.16</v>
      </c>
      <c r="K1076" s="36">
        <v>4.1700000000000001E-2</v>
      </c>
      <c r="L1076" s="60">
        <v>1215</v>
      </c>
      <c r="M1076" s="60">
        <v>5281</v>
      </c>
      <c r="N1076" s="59">
        <v>0.54049999999999998</v>
      </c>
      <c r="O1076" t="s">
        <v>65</v>
      </c>
      <c r="P1076" s="9">
        <v>46100</v>
      </c>
      <c r="Q1076">
        <v>209.18</v>
      </c>
    </row>
    <row r="1077" spans="1:17" x14ac:dyDescent="0.25">
      <c r="A1077" s="12" t="s">
        <v>809</v>
      </c>
      <c r="B1077" s="3" t="str">
        <f t="shared" si="52"/>
        <v>AMZN</v>
      </c>
      <c r="C1077" s="3" t="str">
        <f t="shared" si="53"/>
        <v>260320</v>
      </c>
      <c r="D1077" s="3" t="str">
        <f t="shared" si="54"/>
        <v>P00215000</v>
      </c>
      <c r="E1077" s="44">
        <v>46100.665972222225</v>
      </c>
      <c r="F1077" s="13">
        <v>215</v>
      </c>
      <c r="G1077" s="43">
        <v>6.22</v>
      </c>
      <c r="H1077" s="43">
        <v>6</v>
      </c>
      <c r="I1077" s="43">
        <v>6.4</v>
      </c>
      <c r="J1077" s="35">
        <v>0.64</v>
      </c>
      <c r="K1077" s="36">
        <v>0.1147</v>
      </c>
      <c r="L1077" s="60">
        <v>1401</v>
      </c>
      <c r="M1077" s="60">
        <v>11549</v>
      </c>
      <c r="N1077" s="59">
        <v>0.40039999999999998</v>
      </c>
      <c r="O1077" t="s">
        <v>65</v>
      </c>
      <c r="P1077" s="9">
        <v>46100</v>
      </c>
      <c r="Q1077">
        <v>209.18</v>
      </c>
    </row>
    <row r="1078" spans="1:17" x14ac:dyDescent="0.25">
      <c r="A1078" s="12" t="s">
        <v>810</v>
      </c>
      <c r="B1078" s="3" t="str">
        <f t="shared" si="52"/>
        <v>AMZN</v>
      </c>
      <c r="C1078" s="3" t="str">
        <f t="shared" si="53"/>
        <v>260320</v>
      </c>
      <c r="D1078" s="3" t="str">
        <f t="shared" si="54"/>
        <v>P00217500</v>
      </c>
      <c r="E1078" s="44">
        <v>46100.665972222225</v>
      </c>
      <c r="F1078" s="13">
        <v>217.5</v>
      </c>
      <c r="G1078" s="43">
        <v>8.6999999999999993</v>
      </c>
      <c r="H1078" s="43">
        <v>8.6</v>
      </c>
      <c r="I1078" s="43">
        <v>8.85</v>
      </c>
      <c r="J1078" s="35">
        <v>0.85</v>
      </c>
      <c r="K1078" s="36">
        <v>0.10829999999999999</v>
      </c>
      <c r="L1078" s="43">
        <v>258</v>
      </c>
      <c r="M1078" s="60">
        <v>1299</v>
      </c>
      <c r="N1078" s="59">
        <v>0.47560000000000002</v>
      </c>
      <c r="O1078" t="s">
        <v>65</v>
      </c>
      <c r="P1078" s="9">
        <v>46100</v>
      </c>
      <c r="Q1078">
        <v>209.18</v>
      </c>
    </row>
    <row r="1079" spans="1:17" x14ac:dyDescent="0.25">
      <c r="A1079" s="12" t="s">
        <v>811</v>
      </c>
      <c r="B1079" s="3" t="str">
        <f t="shared" si="52"/>
        <v>AMZN</v>
      </c>
      <c r="C1079" s="3" t="str">
        <f t="shared" si="53"/>
        <v>260320</v>
      </c>
      <c r="D1079" s="3" t="str">
        <f t="shared" si="54"/>
        <v>P00220000</v>
      </c>
      <c r="E1079" s="44">
        <v>46100.657638888886</v>
      </c>
      <c r="F1079" s="13">
        <v>220</v>
      </c>
      <c r="G1079" s="43">
        <v>11.2</v>
      </c>
      <c r="H1079" s="43">
        <v>10.9</v>
      </c>
      <c r="I1079" s="43">
        <v>11.7</v>
      </c>
      <c r="J1079" s="35">
        <v>0.9</v>
      </c>
      <c r="K1079" s="36">
        <v>8.7400000000000005E-2</v>
      </c>
      <c r="L1079" s="43">
        <v>619</v>
      </c>
      <c r="M1079" s="60">
        <v>19022</v>
      </c>
      <c r="N1079" s="59">
        <v>0.51949999999999996</v>
      </c>
      <c r="O1079" t="s">
        <v>65</v>
      </c>
      <c r="P1079" s="9">
        <v>46100</v>
      </c>
      <c r="Q1079">
        <v>209.18</v>
      </c>
    </row>
    <row r="1080" spans="1:17" x14ac:dyDescent="0.25">
      <c r="A1080" s="12" t="s">
        <v>812</v>
      </c>
      <c r="B1080" s="3" t="str">
        <f t="shared" si="52"/>
        <v>AMZN</v>
      </c>
      <c r="C1080" s="3" t="str">
        <f t="shared" si="53"/>
        <v>260320</v>
      </c>
      <c r="D1080" s="3" t="str">
        <f t="shared" si="54"/>
        <v>P00222500</v>
      </c>
      <c r="E1080" s="44">
        <v>46100.5</v>
      </c>
      <c r="F1080" s="13">
        <v>222.5</v>
      </c>
      <c r="G1080" s="43">
        <v>15</v>
      </c>
      <c r="H1080" s="43">
        <v>12.6</v>
      </c>
      <c r="I1080" s="43">
        <v>15.75</v>
      </c>
      <c r="J1080" s="35">
        <v>3.3</v>
      </c>
      <c r="K1080" s="36">
        <v>0.28210000000000002</v>
      </c>
      <c r="L1080" s="43">
        <v>3</v>
      </c>
      <c r="M1080" s="43">
        <v>325</v>
      </c>
      <c r="N1080" s="59">
        <v>0.91210000000000002</v>
      </c>
      <c r="O1080" t="s">
        <v>65</v>
      </c>
      <c r="P1080" s="9">
        <v>46100</v>
      </c>
      <c r="Q1080">
        <v>209.18</v>
      </c>
    </row>
    <row r="1081" spans="1:17" x14ac:dyDescent="0.25">
      <c r="A1081" s="12" t="s">
        <v>813</v>
      </c>
      <c r="B1081" s="3" t="str">
        <f t="shared" si="52"/>
        <v>AMZN</v>
      </c>
      <c r="C1081" s="3" t="str">
        <f t="shared" si="53"/>
        <v>260320</v>
      </c>
      <c r="D1081" s="3" t="str">
        <f t="shared" si="54"/>
        <v>P00225000</v>
      </c>
      <c r="E1081" s="44">
        <v>46100.657638888886</v>
      </c>
      <c r="F1081" s="13">
        <v>225</v>
      </c>
      <c r="G1081" s="43">
        <v>16.489999999999998</v>
      </c>
      <c r="H1081" s="43">
        <v>15.8</v>
      </c>
      <c r="I1081" s="43">
        <v>17.45</v>
      </c>
      <c r="J1081" s="35">
        <v>1.17</v>
      </c>
      <c r="K1081" s="36">
        <v>7.6399999999999996E-2</v>
      </c>
      <c r="L1081" s="60">
        <v>2713</v>
      </c>
      <c r="M1081" s="60">
        <v>4142</v>
      </c>
      <c r="N1081" s="59">
        <v>0.998</v>
      </c>
      <c r="O1081" t="s">
        <v>65</v>
      </c>
      <c r="P1081" s="9">
        <v>46100</v>
      </c>
      <c r="Q1081">
        <v>209.18</v>
      </c>
    </row>
    <row r="1082" spans="1:17" x14ac:dyDescent="0.25">
      <c r="A1082" s="12" t="s">
        <v>814</v>
      </c>
      <c r="B1082" s="3" t="str">
        <f t="shared" si="52"/>
        <v>AMZN</v>
      </c>
      <c r="C1082" s="3" t="str">
        <f t="shared" si="53"/>
        <v>260320</v>
      </c>
      <c r="D1082" s="3" t="str">
        <f t="shared" si="54"/>
        <v>P00227500</v>
      </c>
      <c r="E1082" s="44">
        <v>46099.520833333336</v>
      </c>
      <c r="F1082" s="13">
        <v>227.5</v>
      </c>
      <c r="G1082" s="43">
        <v>15.85</v>
      </c>
      <c r="H1082" s="43">
        <v>16.5</v>
      </c>
      <c r="I1082" s="43">
        <v>20.8</v>
      </c>
      <c r="J1082" s="43">
        <v>0</v>
      </c>
      <c r="K1082" s="61">
        <v>0</v>
      </c>
      <c r="L1082" s="43">
        <v>30</v>
      </c>
      <c r="M1082" s="43">
        <v>0</v>
      </c>
      <c r="N1082" s="59">
        <v>1.8153999999999999</v>
      </c>
      <c r="O1082" t="s">
        <v>65</v>
      </c>
      <c r="P1082" s="9">
        <v>46100</v>
      </c>
      <c r="Q1082">
        <v>209.18</v>
      </c>
    </row>
    <row r="1083" spans="1:17" x14ac:dyDescent="0.25">
      <c r="A1083" s="12" t="s">
        <v>815</v>
      </c>
      <c r="B1083" s="3" t="str">
        <f t="shared" si="52"/>
        <v>AMZN</v>
      </c>
      <c r="C1083" s="3" t="str">
        <f t="shared" si="53"/>
        <v>260320</v>
      </c>
      <c r="D1083" s="3" t="str">
        <f t="shared" si="54"/>
        <v>P00230000</v>
      </c>
      <c r="E1083" s="44">
        <v>46100.627083333333</v>
      </c>
      <c r="F1083" s="13">
        <v>230</v>
      </c>
      <c r="G1083" s="43">
        <v>21.93</v>
      </c>
      <c r="H1083" s="43">
        <v>20.100000000000001</v>
      </c>
      <c r="I1083" s="43">
        <v>22.85</v>
      </c>
      <c r="J1083" s="35">
        <v>1.1000000000000001</v>
      </c>
      <c r="K1083" s="36">
        <v>5.28E-2</v>
      </c>
      <c r="L1083" s="60">
        <v>35002</v>
      </c>
      <c r="M1083" s="60">
        <v>3522</v>
      </c>
      <c r="N1083" s="59">
        <v>1.0956999999999999</v>
      </c>
      <c r="O1083" t="s">
        <v>65</v>
      </c>
      <c r="P1083" s="9">
        <v>46100</v>
      </c>
      <c r="Q1083">
        <v>209.18</v>
      </c>
    </row>
    <row r="1084" spans="1:17" x14ac:dyDescent="0.25">
      <c r="A1084" s="12" t="s">
        <v>816</v>
      </c>
      <c r="B1084" s="3" t="str">
        <f t="shared" si="52"/>
        <v>AMZN</v>
      </c>
      <c r="C1084" s="3" t="str">
        <f t="shared" si="53"/>
        <v>260320</v>
      </c>
      <c r="D1084" s="3" t="str">
        <f t="shared" si="54"/>
        <v>P00232500</v>
      </c>
      <c r="E1084" s="44">
        <v>46094.445833333331</v>
      </c>
      <c r="F1084" s="13">
        <v>232.5</v>
      </c>
      <c r="G1084" s="43">
        <v>23.45</v>
      </c>
      <c r="H1084" s="43">
        <v>21.55</v>
      </c>
      <c r="I1084" s="43">
        <v>25.8</v>
      </c>
      <c r="J1084" s="35">
        <v>0.86</v>
      </c>
      <c r="K1084" s="36">
        <v>3.8100000000000002E-2</v>
      </c>
      <c r="L1084" s="43">
        <v>1</v>
      </c>
      <c r="M1084" s="43">
        <v>0</v>
      </c>
      <c r="N1084" s="59">
        <v>2.0878999999999999</v>
      </c>
      <c r="O1084" t="s">
        <v>65</v>
      </c>
      <c r="P1084" s="9">
        <v>46100</v>
      </c>
      <c r="Q1084">
        <v>209.18</v>
      </c>
    </row>
    <row r="1085" spans="1:17" x14ac:dyDescent="0.25">
      <c r="A1085" s="12" t="s">
        <v>817</v>
      </c>
      <c r="B1085" s="3" t="str">
        <f t="shared" si="52"/>
        <v>AMZN</v>
      </c>
      <c r="C1085" s="3" t="str">
        <f t="shared" si="53"/>
        <v>260320</v>
      </c>
      <c r="D1085" s="3" t="str">
        <f t="shared" si="54"/>
        <v>P00235000</v>
      </c>
      <c r="E1085" s="44">
        <v>46100.65902777778</v>
      </c>
      <c r="F1085" s="13">
        <v>235</v>
      </c>
      <c r="G1085" s="43">
        <v>26.45</v>
      </c>
      <c r="H1085" s="43">
        <v>24.85</v>
      </c>
      <c r="I1085" s="43">
        <v>26.95</v>
      </c>
      <c r="J1085" s="35">
        <v>0.66</v>
      </c>
      <c r="K1085" s="36">
        <v>2.5600000000000001E-2</v>
      </c>
      <c r="L1085" s="60">
        <v>44634</v>
      </c>
      <c r="M1085" s="60">
        <v>3763</v>
      </c>
      <c r="N1085" s="59">
        <v>1.6289</v>
      </c>
      <c r="O1085" t="s">
        <v>65</v>
      </c>
      <c r="P1085" s="9">
        <v>46100</v>
      </c>
      <c r="Q1085">
        <v>209.18</v>
      </c>
    </row>
    <row r="1086" spans="1:17" x14ac:dyDescent="0.25">
      <c r="A1086" s="12" t="s">
        <v>818</v>
      </c>
      <c r="B1086" s="3" t="str">
        <f t="shared" si="52"/>
        <v>AMZN</v>
      </c>
      <c r="C1086" s="3" t="str">
        <f t="shared" si="53"/>
        <v>260320</v>
      </c>
      <c r="D1086" s="3" t="str">
        <f t="shared" si="54"/>
        <v>P00240000</v>
      </c>
      <c r="E1086" s="44">
        <v>46100.618055555555</v>
      </c>
      <c r="F1086" s="13">
        <v>240</v>
      </c>
      <c r="G1086" s="43">
        <v>32.1</v>
      </c>
      <c r="H1086" s="43">
        <v>29.55</v>
      </c>
      <c r="I1086" s="43">
        <v>32.9</v>
      </c>
      <c r="J1086" s="35">
        <v>1.29</v>
      </c>
      <c r="K1086" s="36">
        <v>4.19E-2</v>
      </c>
      <c r="L1086" s="60">
        <v>6045</v>
      </c>
      <c r="M1086" s="43">
        <v>346</v>
      </c>
      <c r="N1086" s="59">
        <v>2.3066</v>
      </c>
      <c r="O1086" t="s">
        <v>65</v>
      </c>
      <c r="P1086" s="9">
        <v>46100</v>
      </c>
      <c r="Q1086">
        <v>209.18</v>
      </c>
    </row>
    <row r="1087" spans="1:17" x14ac:dyDescent="0.25">
      <c r="A1087" s="12" t="s">
        <v>819</v>
      </c>
      <c r="B1087" s="3" t="str">
        <f t="shared" si="52"/>
        <v>AMZN</v>
      </c>
      <c r="C1087" s="3" t="str">
        <f t="shared" si="53"/>
        <v>260320</v>
      </c>
      <c r="D1087" s="3" t="str">
        <f t="shared" si="54"/>
        <v>P00245000</v>
      </c>
      <c r="E1087" s="44">
        <v>46100.618055555555</v>
      </c>
      <c r="F1087" s="13">
        <v>245</v>
      </c>
      <c r="G1087" s="43">
        <v>37</v>
      </c>
      <c r="H1087" s="43">
        <v>34.549999999999997</v>
      </c>
      <c r="I1087" s="43">
        <v>37.6</v>
      </c>
      <c r="J1087" s="35">
        <v>1.17</v>
      </c>
      <c r="K1087" s="36">
        <v>3.27E-2</v>
      </c>
      <c r="L1087" s="60">
        <v>2610</v>
      </c>
      <c r="M1087" s="43">
        <v>148</v>
      </c>
      <c r="N1087" s="59">
        <v>2.3984000000000001</v>
      </c>
      <c r="O1087" t="s">
        <v>65</v>
      </c>
      <c r="P1087" s="9">
        <v>46100</v>
      </c>
      <c r="Q1087">
        <v>209.18</v>
      </c>
    </row>
    <row r="1088" spans="1:17" x14ac:dyDescent="0.25">
      <c r="A1088" s="12" t="s">
        <v>820</v>
      </c>
      <c r="B1088" s="3" t="str">
        <f t="shared" si="52"/>
        <v>AMZN</v>
      </c>
      <c r="C1088" s="3" t="str">
        <f t="shared" si="53"/>
        <v>260320</v>
      </c>
      <c r="D1088" s="3" t="str">
        <f t="shared" si="54"/>
        <v>P00250000</v>
      </c>
      <c r="E1088" s="44">
        <v>46100.602777777778</v>
      </c>
      <c r="F1088" s="13">
        <v>250</v>
      </c>
      <c r="G1088" s="43">
        <v>42.45</v>
      </c>
      <c r="H1088" s="43">
        <v>39.549999999999997</v>
      </c>
      <c r="I1088" s="43">
        <v>42.9</v>
      </c>
      <c r="J1088" s="35">
        <v>1.66</v>
      </c>
      <c r="K1088" s="36">
        <v>4.07E-2</v>
      </c>
      <c r="L1088" s="60">
        <v>4750</v>
      </c>
      <c r="M1088" s="43">
        <v>475</v>
      </c>
      <c r="N1088" s="59">
        <v>2.7538999999999998</v>
      </c>
      <c r="O1088" t="s">
        <v>65</v>
      </c>
      <c r="P1088" s="9">
        <v>46100</v>
      </c>
      <c r="Q1088">
        <v>209.18</v>
      </c>
    </row>
    <row r="1089" spans="1:17" x14ac:dyDescent="0.25">
      <c r="A1089" s="12" t="s">
        <v>821</v>
      </c>
      <c r="B1089" s="3" t="str">
        <f t="shared" si="52"/>
        <v>AMZN</v>
      </c>
      <c r="C1089" s="3" t="str">
        <f t="shared" si="53"/>
        <v>260320</v>
      </c>
      <c r="D1089" s="3" t="str">
        <f t="shared" si="54"/>
        <v>P00255000</v>
      </c>
      <c r="E1089" s="44">
        <v>46093.461111111108</v>
      </c>
      <c r="F1089" s="13">
        <v>255</v>
      </c>
      <c r="G1089" s="43">
        <v>45.68</v>
      </c>
      <c r="H1089" s="43">
        <v>44.15</v>
      </c>
      <c r="I1089" s="43">
        <v>48.35</v>
      </c>
      <c r="J1089" s="43">
        <v>0</v>
      </c>
      <c r="K1089" s="61">
        <v>0</v>
      </c>
      <c r="L1089" s="43">
        <v>14</v>
      </c>
      <c r="M1089" s="43">
        <v>0</v>
      </c>
      <c r="N1089" s="59">
        <v>1.3438000000000001</v>
      </c>
      <c r="O1089" t="s">
        <v>65</v>
      </c>
      <c r="P1089" s="9">
        <v>46100</v>
      </c>
      <c r="Q1089">
        <v>209.18</v>
      </c>
    </row>
    <row r="1090" spans="1:17" x14ac:dyDescent="0.25">
      <c r="A1090" s="12" t="s">
        <v>822</v>
      </c>
      <c r="B1090" s="3" t="str">
        <f t="shared" si="52"/>
        <v>AMZN</v>
      </c>
      <c r="C1090" s="3" t="str">
        <f t="shared" si="53"/>
        <v>260320</v>
      </c>
      <c r="D1090" s="3" t="str">
        <f t="shared" si="54"/>
        <v>P00260000</v>
      </c>
      <c r="E1090" s="44">
        <v>46100.618055555555</v>
      </c>
      <c r="F1090" s="13">
        <v>260</v>
      </c>
      <c r="G1090" s="43">
        <v>52.1</v>
      </c>
      <c r="H1090" s="43">
        <v>49.85</v>
      </c>
      <c r="I1090" s="43">
        <v>53.5</v>
      </c>
      <c r="J1090" s="35">
        <v>1.21</v>
      </c>
      <c r="K1090" s="36">
        <v>2.3800000000000002E-2</v>
      </c>
      <c r="L1090" s="43">
        <v>915</v>
      </c>
      <c r="M1090" s="43">
        <v>52</v>
      </c>
      <c r="N1090" s="59">
        <v>2.3593999999999999</v>
      </c>
      <c r="O1090" t="s">
        <v>65</v>
      </c>
      <c r="P1090" s="9">
        <v>46100</v>
      </c>
      <c r="Q1090">
        <v>209.18</v>
      </c>
    </row>
    <row r="1091" spans="1:17" x14ac:dyDescent="0.25">
      <c r="A1091" s="12" t="s">
        <v>823</v>
      </c>
      <c r="B1091" s="3" t="str">
        <f t="shared" ref="B1091:B1154" si="55">+MID(A1091,1,4)</f>
        <v>AMZN</v>
      </c>
      <c r="C1091" s="3" t="str">
        <f t="shared" si="53"/>
        <v>260320</v>
      </c>
      <c r="D1091" s="3" t="str">
        <f t="shared" si="54"/>
        <v>P00265000</v>
      </c>
      <c r="E1091" s="44">
        <v>46100.602777777778</v>
      </c>
      <c r="F1091" s="13">
        <v>265</v>
      </c>
      <c r="G1091" s="43">
        <v>57.85</v>
      </c>
      <c r="H1091" s="43">
        <v>54.55</v>
      </c>
      <c r="I1091" s="43">
        <v>58</v>
      </c>
      <c r="J1091" s="35">
        <v>2.09</v>
      </c>
      <c r="K1091" s="36">
        <v>3.7499999999999999E-2</v>
      </c>
      <c r="L1091" s="60">
        <v>1402</v>
      </c>
      <c r="M1091" s="43">
        <v>77</v>
      </c>
      <c r="N1091" s="59">
        <v>1.7734000000000001</v>
      </c>
      <c r="O1091" t="s">
        <v>65</v>
      </c>
      <c r="P1091" s="9">
        <v>46100</v>
      </c>
      <c r="Q1091">
        <v>209.18</v>
      </c>
    </row>
    <row r="1092" spans="1:17" x14ac:dyDescent="0.25">
      <c r="A1092" s="12" t="s">
        <v>824</v>
      </c>
      <c r="B1092" s="3" t="str">
        <f t="shared" si="55"/>
        <v>AMZN</v>
      </c>
      <c r="C1092" s="3" t="str">
        <f t="shared" si="53"/>
        <v>260320</v>
      </c>
      <c r="D1092" s="3" t="str">
        <f t="shared" si="54"/>
        <v>P00270000</v>
      </c>
      <c r="E1092" s="44">
        <v>46086.660416666666</v>
      </c>
      <c r="F1092" s="13">
        <v>270</v>
      </c>
      <c r="G1092" s="43">
        <v>52.5</v>
      </c>
      <c r="H1092" s="43">
        <v>59.1</v>
      </c>
      <c r="I1092" s="43">
        <v>63.35</v>
      </c>
      <c r="J1092" s="43">
        <v>0</v>
      </c>
      <c r="K1092" s="61">
        <v>0</v>
      </c>
      <c r="L1092" s="43">
        <v>1</v>
      </c>
      <c r="M1092" s="43">
        <v>0</v>
      </c>
      <c r="N1092" s="59">
        <v>3.7705000000000002</v>
      </c>
      <c r="O1092" t="s">
        <v>65</v>
      </c>
      <c r="P1092" s="9">
        <v>46100</v>
      </c>
      <c r="Q1092">
        <v>209.18</v>
      </c>
    </row>
    <row r="1093" spans="1:17" x14ac:dyDescent="0.25">
      <c r="A1093" s="12" t="s">
        <v>825</v>
      </c>
      <c r="B1093" s="3" t="str">
        <f t="shared" si="55"/>
        <v>AMZN</v>
      </c>
      <c r="C1093" s="3" t="str">
        <f t="shared" si="53"/>
        <v>260320</v>
      </c>
      <c r="D1093" s="3" t="str">
        <f t="shared" si="54"/>
        <v>P00275000</v>
      </c>
      <c r="E1093" s="44">
        <v>46100.629166666666</v>
      </c>
      <c r="F1093" s="13">
        <v>275</v>
      </c>
      <c r="G1093" s="43">
        <v>64.349999999999994</v>
      </c>
      <c r="H1093" s="43">
        <v>64.3</v>
      </c>
      <c r="I1093" s="43">
        <v>68.349999999999994</v>
      </c>
      <c r="J1093" s="32">
        <v>-2.5499999999999998</v>
      </c>
      <c r="K1093" s="33">
        <v>-3.8100000000000002E-2</v>
      </c>
      <c r="L1093" s="43">
        <v>7</v>
      </c>
      <c r="M1093" s="43">
        <v>1</v>
      </c>
      <c r="N1093" s="59">
        <v>2.2265999999999999</v>
      </c>
      <c r="O1093" t="s">
        <v>65</v>
      </c>
      <c r="P1093" s="9">
        <v>46100</v>
      </c>
      <c r="Q1093">
        <v>209.18</v>
      </c>
    </row>
    <row r="1094" spans="1:17" x14ac:dyDescent="0.25">
      <c r="A1094" s="12" t="s">
        <v>826</v>
      </c>
      <c r="B1094" s="3" t="str">
        <f t="shared" si="55"/>
        <v>AMZN</v>
      </c>
      <c r="C1094" s="3" t="str">
        <f t="shared" si="53"/>
        <v>260320</v>
      </c>
      <c r="D1094" s="3" t="str">
        <f t="shared" si="54"/>
        <v>P00280000</v>
      </c>
      <c r="E1094" s="44">
        <v>46059.633333333331</v>
      </c>
      <c r="F1094" s="13">
        <v>280</v>
      </c>
      <c r="G1094" s="43">
        <v>72.150000000000006</v>
      </c>
      <c r="H1094" s="43">
        <v>65</v>
      </c>
      <c r="I1094" s="43">
        <v>68.5</v>
      </c>
      <c r="J1094" s="43">
        <v>0</v>
      </c>
      <c r="K1094" s="61">
        <v>0</v>
      </c>
      <c r="L1094" s="60">
        <v>1035</v>
      </c>
      <c r="M1094" s="43">
        <v>0</v>
      </c>
      <c r="N1094" s="59">
        <v>0</v>
      </c>
      <c r="O1094" t="s">
        <v>65</v>
      </c>
      <c r="P1094" s="9">
        <v>46100</v>
      </c>
      <c r="Q1094">
        <v>209.18</v>
      </c>
    </row>
    <row r="1095" spans="1:17" x14ac:dyDescent="0.25">
      <c r="A1095" s="12" t="s">
        <v>827</v>
      </c>
      <c r="B1095" s="3" t="str">
        <f t="shared" si="55"/>
        <v>AMZN</v>
      </c>
      <c r="C1095" s="3" t="str">
        <f t="shared" si="53"/>
        <v>260320</v>
      </c>
      <c r="D1095" s="3" t="str">
        <f t="shared" si="54"/>
        <v>P00285000</v>
      </c>
      <c r="E1095" s="44">
        <v>46059.633333333331</v>
      </c>
      <c r="F1095" s="13">
        <v>285</v>
      </c>
      <c r="G1095" s="43">
        <v>80.349999999999994</v>
      </c>
      <c r="H1095" s="43">
        <v>69.95</v>
      </c>
      <c r="I1095" s="43">
        <v>73.5</v>
      </c>
      <c r="J1095" s="43">
        <v>0</v>
      </c>
      <c r="K1095" s="61">
        <v>0</v>
      </c>
      <c r="L1095" s="43">
        <v>230</v>
      </c>
      <c r="M1095" s="43">
        <v>0</v>
      </c>
      <c r="N1095" s="59">
        <v>0</v>
      </c>
      <c r="O1095" t="s">
        <v>65</v>
      </c>
      <c r="P1095" s="9">
        <v>46100</v>
      </c>
      <c r="Q1095">
        <v>209.18</v>
      </c>
    </row>
    <row r="1096" spans="1:17" x14ac:dyDescent="0.25">
      <c r="A1096" s="12" t="s">
        <v>828</v>
      </c>
      <c r="B1096" s="3" t="str">
        <f t="shared" si="55"/>
        <v>AMZN</v>
      </c>
      <c r="C1096" s="3" t="str">
        <f t="shared" si="53"/>
        <v>260320</v>
      </c>
      <c r="D1096" s="3" t="str">
        <f t="shared" si="54"/>
        <v>P00290000</v>
      </c>
      <c r="E1096" s="44">
        <v>46059.633333333331</v>
      </c>
      <c r="F1096" s="13">
        <v>290</v>
      </c>
      <c r="G1096" s="43">
        <v>82.36</v>
      </c>
      <c r="H1096" s="43">
        <v>74.95</v>
      </c>
      <c r="I1096" s="43">
        <v>78.5</v>
      </c>
      <c r="J1096" s="43">
        <v>0</v>
      </c>
      <c r="K1096" s="61">
        <v>0</v>
      </c>
      <c r="L1096" s="60">
        <v>3160</v>
      </c>
      <c r="M1096" s="43">
        <v>0</v>
      </c>
      <c r="N1096" s="59">
        <v>0</v>
      </c>
      <c r="O1096" t="s">
        <v>65</v>
      </c>
      <c r="P1096" s="9">
        <v>46100</v>
      </c>
      <c r="Q1096">
        <v>209.18</v>
      </c>
    </row>
    <row r="1097" spans="1:17" x14ac:dyDescent="0.25">
      <c r="A1097" s="12" t="s">
        <v>829</v>
      </c>
      <c r="B1097" s="3" t="str">
        <f t="shared" si="55"/>
        <v>AMZN</v>
      </c>
      <c r="C1097" s="3" t="str">
        <f t="shared" si="53"/>
        <v>260320</v>
      </c>
      <c r="D1097" s="3" t="str">
        <f t="shared" si="54"/>
        <v>P00295000</v>
      </c>
      <c r="E1097" s="44">
        <v>46045.474999999999</v>
      </c>
      <c r="F1097" s="13">
        <v>295</v>
      </c>
      <c r="G1097" s="43">
        <v>56.24</v>
      </c>
      <c r="H1097" s="43">
        <v>79.95</v>
      </c>
      <c r="I1097" s="43">
        <v>83.5</v>
      </c>
      <c r="J1097" s="43">
        <v>0</v>
      </c>
      <c r="K1097" s="61">
        <v>0</v>
      </c>
      <c r="L1097" s="43">
        <v>50</v>
      </c>
      <c r="M1097" s="43">
        <v>0</v>
      </c>
      <c r="N1097" s="59">
        <v>0</v>
      </c>
      <c r="O1097" t="s">
        <v>65</v>
      </c>
      <c r="P1097" s="9">
        <v>46100</v>
      </c>
      <c r="Q1097">
        <v>209.18</v>
      </c>
    </row>
    <row r="1098" spans="1:17" x14ac:dyDescent="0.25">
      <c r="A1098" s="12" t="s">
        <v>830</v>
      </c>
      <c r="B1098" s="3" t="str">
        <f t="shared" si="55"/>
        <v>AMZN</v>
      </c>
      <c r="C1098" s="3" t="str">
        <f t="shared" si="53"/>
        <v>260320</v>
      </c>
      <c r="D1098" s="3" t="str">
        <f t="shared" si="54"/>
        <v>P00300000</v>
      </c>
      <c r="E1098" s="44">
        <v>46059.462500000001</v>
      </c>
      <c r="F1098" s="13">
        <v>300</v>
      </c>
      <c r="G1098" s="43">
        <v>95.26</v>
      </c>
      <c r="H1098" s="43">
        <v>84.95</v>
      </c>
      <c r="I1098" s="43">
        <v>88.5</v>
      </c>
      <c r="J1098" s="43">
        <v>0</v>
      </c>
      <c r="K1098" s="61">
        <v>0</v>
      </c>
      <c r="L1098" s="43">
        <v>5</v>
      </c>
      <c r="M1098" s="43">
        <v>0</v>
      </c>
      <c r="N1098" s="59">
        <v>0</v>
      </c>
      <c r="O1098" t="s">
        <v>65</v>
      </c>
      <c r="P1098" s="9">
        <v>46100</v>
      </c>
      <c r="Q1098">
        <v>209.18</v>
      </c>
    </row>
    <row r="1099" spans="1:17" x14ac:dyDescent="0.25">
      <c r="A1099" s="12" t="s">
        <v>831</v>
      </c>
      <c r="B1099" s="3" t="str">
        <f t="shared" si="55"/>
        <v>AMZN</v>
      </c>
      <c r="C1099" s="3" t="str">
        <f t="shared" si="53"/>
        <v>260320</v>
      </c>
      <c r="D1099" s="3" t="str">
        <f t="shared" si="54"/>
        <v>P00305000</v>
      </c>
      <c r="E1099" s="44">
        <v>46059.466666666667</v>
      </c>
      <c r="F1099" s="13">
        <v>305</v>
      </c>
      <c r="G1099" s="43">
        <v>99.5</v>
      </c>
      <c r="H1099" s="43">
        <v>89.95</v>
      </c>
      <c r="I1099" s="43">
        <v>93.5</v>
      </c>
      <c r="J1099" s="43">
        <v>0</v>
      </c>
      <c r="K1099" s="61">
        <v>0</v>
      </c>
      <c r="L1099" s="43">
        <v>1</v>
      </c>
      <c r="M1099" s="43">
        <v>0</v>
      </c>
      <c r="N1099" s="59">
        <v>0</v>
      </c>
      <c r="O1099" t="s">
        <v>65</v>
      </c>
      <c r="P1099" s="9">
        <v>46100</v>
      </c>
      <c r="Q1099">
        <v>209.18</v>
      </c>
    </row>
    <row r="1100" spans="1:17" x14ac:dyDescent="0.25">
      <c r="A1100" s="12" t="s">
        <v>832</v>
      </c>
      <c r="B1100" s="3" t="str">
        <f t="shared" si="55"/>
        <v>AMZN</v>
      </c>
      <c r="C1100" s="3" t="str">
        <f t="shared" si="53"/>
        <v>260320</v>
      </c>
      <c r="D1100" s="3" t="str">
        <f t="shared" si="54"/>
        <v>P00310000</v>
      </c>
      <c r="E1100" s="44">
        <v>46094.395833333336</v>
      </c>
      <c r="F1100" s="13">
        <v>310</v>
      </c>
      <c r="G1100" s="43">
        <v>100.51</v>
      </c>
      <c r="H1100" s="43">
        <v>99</v>
      </c>
      <c r="I1100" s="43">
        <v>103.35</v>
      </c>
      <c r="J1100" s="43">
        <v>0</v>
      </c>
      <c r="K1100" s="61">
        <v>0</v>
      </c>
      <c r="L1100" s="43">
        <v>1</v>
      </c>
      <c r="M1100" s="43">
        <v>0</v>
      </c>
      <c r="N1100" s="59">
        <v>5.1260000000000003</v>
      </c>
      <c r="O1100" t="s">
        <v>65</v>
      </c>
      <c r="P1100" s="9">
        <v>46100</v>
      </c>
      <c r="Q1100">
        <v>209.18</v>
      </c>
    </row>
    <row r="1101" spans="1:17" x14ac:dyDescent="0.25">
      <c r="A1101" s="12" t="s">
        <v>833</v>
      </c>
      <c r="B1101" s="3" t="str">
        <f t="shared" si="55"/>
        <v>AMZN</v>
      </c>
      <c r="C1101" s="3" t="str">
        <f t="shared" si="53"/>
        <v>260320</v>
      </c>
      <c r="D1101" s="3" t="str">
        <f t="shared" si="54"/>
        <v>P00315000</v>
      </c>
      <c r="E1101" s="44">
        <v>46021.431944444441</v>
      </c>
      <c r="F1101" s="13">
        <v>315</v>
      </c>
      <c r="G1101" s="43">
        <v>83.68</v>
      </c>
      <c r="H1101" s="43">
        <v>73.3</v>
      </c>
      <c r="I1101" s="43">
        <v>76.150000000000006</v>
      </c>
      <c r="J1101" s="43">
        <v>0</v>
      </c>
      <c r="K1101" s="61">
        <v>0</v>
      </c>
      <c r="L1101" s="43">
        <v>2</v>
      </c>
      <c r="M1101" s="43">
        <v>0</v>
      </c>
      <c r="N1101" s="59">
        <v>0</v>
      </c>
      <c r="O1101" t="s">
        <v>65</v>
      </c>
      <c r="P1101" s="9">
        <v>46100</v>
      </c>
      <c r="Q1101">
        <v>209.18</v>
      </c>
    </row>
    <row r="1102" spans="1:17" x14ac:dyDescent="0.25">
      <c r="A1102" s="12" t="s">
        <v>834</v>
      </c>
      <c r="B1102" s="3" t="str">
        <f t="shared" si="55"/>
        <v>AMZN</v>
      </c>
      <c r="C1102" s="3" t="str">
        <f t="shared" si="53"/>
        <v>260320</v>
      </c>
      <c r="D1102" s="3" t="str">
        <f t="shared" si="54"/>
        <v>P00320000</v>
      </c>
      <c r="E1102" s="44">
        <v>46020.612500000003</v>
      </c>
      <c r="F1102" s="13">
        <v>320</v>
      </c>
      <c r="G1102" s="43">
        <v>88.42</v>
      </c>
      <c r="H1102" s="43">
        <v>77.7</v>
      </c>
      <c r="I1102" s="43">
        <v>81.099999999999994</v>
      </c>
      <c r="J1102" s="43">
        <v>0</v>
      </c>
      <c r="K1102" s="61">
        <v>0</v>
      </c>
      <c r="L1102" s="43">
        <v>2</v>
      </c>
      <c r="M1102" s="43">
        <v>0</v>
      </c>
      <c r="N1102" s="59">
        <v>0</v>
      </c>
      <c r="O1102" t="s">
        <v>65</v>
      </c>
      <c r="P1102" s="9">
        <v>46100</v>
      </c>
      <c r="Q1102">
        <v>209.18</v>
      </c>
    </row>
    <row r="1103" spans="1:17" x14ac:dyDescent="0.25">
      <c r="A1103" s="12" t="s">
        <v>835</v>
      </c>
      <c r="B1103" s="3" t="str">
        <f t="shared" si="55"/>
        <v>AMZN</v>
      </c>
      <c r="C1103" s="3" t="str">
        <f t="shared" si="53"/>
        <v>260320</v>
      </c>
      <c r="D1103" s="3" t="str">
        <f t="shared" si="54"/>
        <v>P00325000</v>
      </c>
      <c r="E1103" s="44">
        <v>45972.663194444445</v>
      </c>
      <c r="F1103" s="13">
        <v>325</v>
      </c>
      <c r="G1103" s="43">
        <v>76.099999999999994</v>
      </c>
      <c r="H1103" s="43">
        <v>87.65</v>
      </c>
      <c r="I1103" s="43">
        <v>89.5</v>
      </c>
      <c r="J1103" s="43">
        <v>0</v>
      </c>
      <c r="K1103" s="61">
        <v>0</v>
      </c>
      <c r="L1103" s="43">
        <v>2</v>
      </c>
      <c r="M1103" s="43">
        <v>0</v>
      </c>
      <c r="N1103" s="59">
        <v>0</v>
      </c>
      <c r="O1103" t="s">
        <v>65</v>
      </c>
      <c r="P1103" s="9">
        <v>46100</v>
      </c>
      <c r="Q1103">
        <v>209.18</v>
      </c>
    </row>
    <row r="1104" spans="1:17" x14ac:dyDescent="0.25">
      <c r="A1104" s="12" t="s">
        <v>836</v>
      </c>
      <c r="B1104" s="3" t="str">
        <f t="shared" si="55"/>
        <v>AMZN</v>
      </c>
      <c r="C1104" s="3" t="str">
        <f t="shared" si="53"/>
        <v>260320</v>
      </c>
      <c r="D1104" s="3" t="str">
        <f t="shared" si="54"/>
        <v>P00330000</v>
      </c>
      <c r="E1104" s="44">
        <v>45971.572916666664</v>
      </c>
      <c r="F1104" s="13">
        <v>330</v>
      </c>
      <c r="G1104" s="43">
        <v>81.55</v>
      </c>
      <c r="H1104" s="43">
        <v>92</v>
      </c>
      <c r="I1104" s="43">
        <v>93.95</v>
      </c>
      <c r="J1104" s="43">
        <v>0</v>
      </c>
      <c r="K1104" s="61">
        <v>0</v>
      </c>
      <c r="L1104" s="43">
        <v>2</v>
      </c>
      <c r="M1104" s="43">
        <v>0</v>
      </c>
      <c r="N1104" s="59">
        <v>0</v>
      </c>
      <c r="O1104" t="s">
        <v>65</v>
      </c>
      <c r="P1104" s="9">
        <v>46100</v>
      </c>
      <c r="Q1104">
        <v>209.18</v>
      </c>
    </row>
    <row r="1105" spans="1:17" x14ac:dyDescent="0.25">
      <c r="A1105" s="12" t="s">
        <v>837</v>
      </c>
      <c r="B1105" s="3" t="str">
        <f t="shared" si="55"/>
        <v>AMZN</v>
      </c>
      <c r="C1105" s="3" t="str">
        <f t="shared" si="53"/>
        <v>260320</v>
      </c>
      <c r="D1105" s="3" t="str">
        <f t="shared" si="54"/>
        <v>P00335000</v>
      </c>
      <c r="E1105" s="44">
        <v>45971.423611111109</v>
      </c>
      <c r="F1105" s="13">
        <v>335</v>
      </c>
      <c r="G1105" s="43">
        <v>85.85</v>
      </c>
      <c r="H1105" s="43">
        <v>97.15</v>
      </c>
      <c r="I1105" s="43">
        <v>99.25</v>
      </c>
      <c r="J1105" s="43">
        <v>0</v>
      </c>
      <c r="K1105" s="61">
        <v>0</v>
      </c>
      <c r="L1105" s="43" t="s">
        <v>113</v>
      </c>
      <c r="M1105" s="43">
        <v>0</v>
      </c>
      <c r="N1105" s="59">
        <v>0</v>
      </c>
      <c r="O1105" t="s">
        <v>65</v>
      </c>
      <c r="P1105" s="9">
        <v>46100</v>
      </c>
      <c r="Q1105">
        <v>209.18</v>
      </c>
    </row>
    <row r="1106" spans="1:17" x14ac:dyDescent="0.25">
      <c r="A1106" s="12" t="s">
        <v>838</v>
      </c>
      <c r="B1106" s="3" t="str">
        <f t="shared" si="55"/>
        <v>AMZN</v>
      </c>
      <c r="C1106" s="3" t="str">
        <f t="shared" si="53"/>
        <v>260320</v>
      </c>
      <c r="D1106" s="3" t="str">
        <f t="shared" si="54"/>
        <v>P00340000</v>
      </c>
      <c r="E1106" s="44">
        <v>45979.491666666669</v>
      </c>
      <c r="F1106" s="13">
        <v>340</v>
      </c>
      <c r="G1106" s="43">
        <v>114.7</v>
      </c>
      <c r="H1106" s="43">
        <v>101.95</v>
      </c>
      <c r="I1106" s="43">
        <v>103.95</v>
      </c>
      <c r="J1106" s="43">
        <v>0</v>
      </c>
      <c r="K1106" s="61">
        <v>0</v>
      </c>
      <c r="L1106" s="43">
        <v>15</v>
      </c>
      <c r="M1106" s="43">
        <v>0</v>
      </c>
      <c r="N1106" s="59">
        <v>0</v>
      </c>
      <c r="O1106" t="s">
        <v>65</v>
      </c>
      <c r="P1106" s="9">
        <v>46100</v>
      </c>
      <c r="Q1106">
        <v>209.18</v>
      </c>
    </row>
    <row r="1107" spans="1:17" x14ac:dyDescent="0.25">
      <c r="A1107" s="12" t="s">
        <v>839</v>
      </c>
      <c r="B1107" s="3" t="str">
        <f t="shared" si="55"/>
        <v>AMZN</v>
      </c>
      <c r="C1107" s="3" t="str">
        <f t="shared" si="53"/>
        <v>260320</v>
      </c>
      <c r="D1107" s="3" t="str">
        <f t="shared" si="54"/>
        <v>P00345000</v>
      </c>
      <c r="E1107" s="44">
        <v>45959.410416666666</v>
      </c>
      <c r="F1107" s="13">
        <v>345</v>
      </c>
      <c r="G1107" s="43">
        <v>115.4</v>
      </c>
      <c r="H1107" s="43">
        <v>108.6</v>
      </c>
      <c r="I1107" s="43">
        <v>112.45</v>
      </c>
      <c r="J1107" s="43">
        <v>0</v>
      </c>
      <c r="K1107" s="61">
        <v>0</v>
      </c>
      <c r="L1107" s="43" t="s">
        <v>113</v>
      </c>
      <c r="M1107" s="43">
        <v>0</v>
      </c>
      <c r="N1107" s="59">
        <v>0</v>
      </c>
      <c r="O1107" t="s">
        <v>65</v>
      </c>
      <c r="P1107" s="9">
        <v>46100</v>
      </c>
      <c r="Q1107">
        <v>209.18</v>
      </c>
    </row>
    <row r="1108" spans="1:17" x14ac:dyDescent="0.25">
      <c r="A1108" s="12" t="s">
        <v>840</v>
      </c>
      <c r="B1108" s="3" t="str">
        <f t="shared" si="55"/>
        <v>AMZN</v>
      </c>
      <c r="C1108" s="3" t="str">
        <f t="shared" si="53"/>
        <v>260320</v>
      </c>
      <c r="D1108" s="3" t="str">
        <f t="shared" si="54"/>
        <v>P00350000</v>
      </c>
      <c r="E1108" s="44">
        <v>45987.662499999999</v>
      </c>
      <c r="F1108" s="13">
        <v>350</v>
      </c>
      <c r="G1108" s="43">
        <v>120.7</v>
      </c>
      <c r="H1108" s="43">
        <v>111.95</v>
      </c>
      <c r="I1108" s="43">
        <v>113.95</v>
      </c>
      <c r="J1108" s="43">
        <v>0</v>
      </c>
      <c r="K1108" s="61">
        <v>0</v>
      </c>
      <c r="L1108" s="43">
        <v>1</v>
      </c>
      <c r="M1108" s="43">
        <v>0</v>
      </c>
      <c r="N1108" s="59">
        <v>0</v>
      </c>
      <c r="O1108" t="s">
        <v>65</v>
      </c>
      <c r="P1108" s="9">
        <v>46100</v>
      </c>
      <c r="Q1108">
        <v>209.18</v>
      </c>
    </row>
    <row r="1109" spans="1:17" x14ac:dyDescent="0.25">
      <c r="A1109" s="12" t="s">
        <v>841</v>
      </c>
      <c r="B1109" s="3" t="str">
        <f t="shared" si="55"/>
        <v>AMZN</v>
      </c>
      <c r="C1109" s="3" t="str">
        <f t="shared" si="53"/>
        <v>260320</v>
      </c>
      <c r="D1109" s="3" t="str">
        <f t="shared" si="54"/>
        <v>P00355000</v>
      </c>
      <c r="E1109" s="44">
        <v>45982.412499999999</v>
      </c>
      <c r="F1109" s="13">
        <v>355</v>
      </c>
      <c r="G1109" s="43">
        <v>136.97999999999999</v>
      </c>
      <c r="H1109" s="43">
        <v>117.2</v>
      </c>
      <c r="I1109" s="43">
        <v>119</v>
      </c>
      <c r="J1109" s="43">
        <v>0</v>
      </c>
      <c r="K1109" s="61">
        <v>0</v>
      </c>
      <c r="L1109" s="43">
        <v>1</v>
      </c>
      <c r="M1109" s="43">
        <v>0</v>
      </c>
      <c r="N1109" s="59">
        <v>0</v>
      </c>
      <c r="O1109" t="s">
        <v>65</v>
      </c>
      <c r="P1109" s="9">
        <v>46100</v>
      </c>
      <c r="Q1109">
        <v>209.18</v>
      </c>
    </row>
    <row r="1110" spans="1:17" x14ac:dyDescent="0.25">
      <c r="A1110" s="12" t="s">
        <v>842</v>
      </c>
      <c r="B1110" s="3" t="str">
        <f t="shared" si="55"/>
        <v>AMZN</v>
      </c>
      <c r="C1110" s="3" t="str">
        <f t="shared" si="53"/>
        <v>260320</v>
      </c>
      <c r="D1110" s="3" t="str">
        <f t="shared" si="54"/>
        <v>P00360000</v>
      </c>
      <c r="E1110" s="44">
        <v>45981.661805555559</v>
      </c>
      <c r="F1110" s="13">
        <v>360</v>
      </c>
      <c r="G1110" s="43">
        <v>142.47</v>
      </c>
      <c r="H1110" s="43">
        <v>122</v>
      </c>
      <c r="I1110" s="43">
        <v>123.95</v>
      </c>
      <c r="J1110" s="43">
        <v>0</v>
      </c>
      <c r="K1110" s="61">
        <v>0</v>
      </c>
      <c r="L1110" s="43">
        <v>1</v>
      </c>
      <c r="M1110" s="43">
        <v>0</v>
      </c>
      <c r="N1110" s="59">
        <v>0</v>
      </c>
      <c r="O1110" t="s">
        <v>65</v>
      </c>
      <c r="P1110" s="9">
        <v>46100</v>
      </c>
      <c r="Q1110">
        <v>209.18</v>
      </c>
    </row>
    <row r="1111" spans="1:17" x14ac:dyDescent="0.25">
      <c r="A1111" s="12" t="s">
        <v>843</v>
      </c>
      <c r="B1111" s="3" t="str">
        <f t="shared" si="55"/>
        <v>AMZN</v>
      </c>
      <c r="C1111" s="3" t="str">
        <f t="shared" si="53"/>
        <v>260320</v>
      </c>
      <c r="D1111" s="3" t="str">
        <f t="shared" si="54"/>
        <v>P00370000</v>
      </c>
      <c r="E1111" s="44">
        <v>46056.558333333334</v>
      </c>
      <c r="F1111" s="13">
        <v>370</v>
      </c>
      <c r="G1111" s="43">
        <v>133.5</v>
      </c>
      <c r="H1111" s="43">
        <v>154.94999999999999</v>
      </c>
      <c r="I1111" s="43">
        <v>158.5</v>
      </c>
      <c r="J1111" s="43">
        <v>0</v>
      </c>
      <c r="K1111" s="61">
        <v>0</v>
      </c>
      <c r="L1111" s="43">
        <v>1</v>
      </c>
      <c r="M1111" s="43">
        <v>0</v>
      </c>
      <c r="N1111" s="59">
        <v>0</v>
      </c>
      <c r="O1111" t="s">
        <v>65</v>
      </c>
      <c r="P1111" s="9">
        <v>46100</v>
      </c>
      <c r="Q1111">
        <v>209.18</v>
      </c>
    </row>
    <row r="1112" spans="1:17" x14ac:dyDescent="0.25">
      <c r="A1112" s="12" t="s">
        <v>844</v>
      </c>
      <c r="B1112" s="3" t="str">
        <f t="shared" si="55"/>
        <v>AMZN</v>
      </c>
      <c r="C1112" s="3" t="str">
        <f t="shared" si="53"/>
        <v>260327</v>
      </c>
      <c r="D1112" s="3" t="str">
        <f t="shared" si="54"/>
        <v>C00125000</v>
      </c>
      <c r="E1112" s="44" t="s">
        <v>845</v>
      </c>
      <c r="F1112" s="62">
        <v>125</v>
      </c>
      <c r="G1112" s="43">
        <v>86.33</v>
      </c>
      <c r="H1112" s="43">
        <v>84.85</v>
      </c>
      <c r="I1112" s="43">
        <v>88.45</v>
      </c>
      <c r="J1112" s="43">
        <v>4.18</v>
      </c>
      <c r="K1112" s="61">
        <v>5.0900000000000001E-2</v>
      </c>
      <c r="L1112" s="43">
        <v>75</v>
      </c>
      <c r="M1112" s="43">
        <v>34</v>
      </c>
      <c r="N1112" s="59">
        <v>4.7988</v>
      </c>
      <c r="O1112" t="s">
        <v>62</v>
      </c>
      <c r="P1112" s="9">
        <v>46106</v>
      </c>
      <c r="Q1112">
        <v>211.71</v>
      </c>
    </row>
    <row r="1113" spans="1:17" x14ac:dyDescent="0.25">
      <c r="A1113" s="12" t="s">
        <v>846</v>
      </c>
      <c r="B1113" s="3" t="str">
        <f t="shared" si="55"/>
        <v>AMZN</v>
      </c>
      <c r="C1113" s="3" t="str">
        <f t="shared" si="53"/>
        <v>260327</v>
      </c>
      <c r="D1113" s="3" t="str">
        <f t="shared" si="54"/>
        <v>C00130000</v>
      </c>
      <c r="E1113" s="44" t="s">
        <v>847</v>
      </c>
      <c r="F1113" s="62">
        <v>130</v>
      </c>
      <c r="G1113" s="43">
        <v>82.16</v>
      </c>
      <c r="H1113" s="43">
        <v>79.8</v>
      </c>
      <c r="I1113" s="43">
        <v>83.55</v>
      </c>
      <c r="J1113" s="43">
        <v>1.28</v>
      </c>
      <c r="K1113" s="61">
        <v>1.5800000000000002E-2</v>
      </c>
      <c r="L1113" s="43">
        <v>4</v>
      </c>
      <c r="M1113" s="43">
        <v>23</v>
      </c>
      <c r="N1113" s="59">
        <v>4.5595999999999997</v>
      </c>
      <c r="O1113" t="s">
        <v>62</v>
      </c>
      <c r="P1113" s="9">
        <v>46106</v>
      </c>
      <c r="Q1113">
        <v>211.71</v>
      </c>
    </row>
    <row r="1114" spans="1:17" x14ac:dyDescent="0.25">
      <c r="A1114" s="12" t="s">
        <v>848</v>
      </c>
      <c r="B1114" s="3" t="str">
        <f t="shared" si="55"/>
        <v>AMZN</v>
      </c>
      <c r="C1114" s="3" t="str">
        <f t="shared" si="53"/>
        <v>260327</v>
      </c>
      <c r="D1114" s="3" t="str">
        <f t="shared" si="54"/>
        <v>C00135000</v>
      </c>
      <c r="E1114" s="44" t="s">
        <v>849</v>
      </c>
      <c r="F1114" s="62">
        <v>135</v>
      </c>
      <c r="G1114" s="43">
        <v>76.3</v>
      </c>
      <c r="H1114" s="43">
        <v>74.95</v>
      </c>
      <c r="I1114" s="43">
        <v>78.349999999999994</v>
      </c>
      <c r="J1114" s="43">
        <v>3.43</v>
      </c>
      <c r="K1114" s="61">
        <v>4.7100000000000003E-2</v>
      </c>
      <c r="L1114" s="43">
        <v>92</v>
      </c>
      <c r="M1114" s="43">
        <v>21</v>
      </c>
      <c r="N1114" s="59">
        <v>4.1523000000000003</v>
      </c>
      <c r="O1114" t="s">
        <v>62</v>
      </c>
      <c r="P1114" s="9">
        <v>46106</v>
      </c>
      <c r="Q1114">
        <v>211.71</v>
      </c>
    </row>
    <row r="1115" spans="1:17" x14ac:dyDescent="0.25">
      <c r="A1115" s="12" t="s">
        <v>850</v>
      </c>
      <c r="B1115" s="3" t="str">
        <f t="shared" si="55"/>
        <v>AMZN</v>
      </c>
      <c r="C1115" s="3" t="str">
        <f t="shared" si="53"/>
        <v>260327</v>
      </c>
      <c r="D1115" s="3" t="str">
        <f t="shared" si="54"/>
        <v>C00140000</v>
      </c>
      <c r="E1115" s="44" t="s">
        <v>851</v>
      </c>
      <c r="F1115" s="62">
        <v>140</v>
      </c>
      <c r="G1115" s="43">
        <v>72.34</v>
      </c>
      <c r="H1115" s="43">
        <v>69.95</v>
      </c>
      <c r="I1115" s="43">
        <v>73.45</v>
      </c>
      <c r="J1115" s="43">
        <v>1.1200000000000001</v>
      </c>
      <c r="K1115" s="61">
        <v>1.5699999999999999E-2</v>
      </c>
      <c r="L1115" s="43">
        <v>88</v>
      </c>
      <c r="M1115" s="43">
        <v>55</v>
      </c>
      <c r="N1115" s="59">
        <v>3.9316</v>
      </c>
      <c r="O1115" t="s">
        <v>62</v>
      </c>
      <c r="P1115" s="9">
        <v>46106</v>
      </c>
      <c r="Q1115">
        <v>211.71</v>
      </c>
    </row>
    <row r="1116" spans="1:17" x14ac:dyDescent="0.25">
      <c r="A1116" s="12" t="s">
        <v>852</v>
      </c>
      <c r="B1116" s="3" t="str">
        <f t="shared" si="55"/>
        <v>AMZN</v>
      </c>
      <c r="C1116" s="3" t="str">
        <f t="shared" si="53"/>
        <v>260327</v>
      </c>
      <c r="D1116" s="3" t="str">
        <f t="shared" si="54"/>
        <v>C00145000</v>
      </c>
      <c r="E1116" s="44" t="s">
        <v>851</v>
      </c>
      <c r="F1116" s="62">
        <v>145</v>
      </c>
      <c r="G1116" s="43">
        <v>67.44</v>
      </c>
      <c r="H1116" s="43">
        <v>64.95</v>
      </c>
      <c r="I1116" s="43">
        <v>68.400000000000006</v>
      </c>
      <c r="J1116" s="43">
        <v>1.26</v>
      </c>
      <c r="K1116" s="61">
        <v>1.9E-2</v>
      </c>
      <c r="L1116" s="43">
        <v>82</v>
      </c>
      <c r="M1116" s="43">
        <v>19</v>
      </c>
      <c r="N1116" s="59">
        <v>3.6337999999999999</v>
      </c>
      <c r="O1116" t="s">
        <v>62</v>
      </c>
      <c r="P1116" s="9">
        <v>46106</v>
      </c>
      <c r="Q1116">
        <v>211.71</v>
      </c>
    </row>
    <row r="1117" spans="1:17" x14ac:dyDescent="0.25">
      <c r="A1117" s="12" t="s">
        <v>853</v>
      </c>
      <c r="B1117" s="3" t="str">
        <f t="shared" si="55"/>
        <v>AMZN</v>
      </c>
      <c r="C1117" s="3" t="str">
        <f t="shared" si="53"/>
        <v>260327</v>
      </c>
      <c r="D1117" s="3" t="str">
        <f t="shared" si="54"/>
        <v>C00150000</v>
      </c>
      <c r="E1117" s="44" t="s">
        <v>854</v>
      </c>
      <c r="F1117" s="62">
        <v>150</v>
      </c>
      <c r="G1117" s="43">
        <v>62.37</v>
      </c>
      <c r="H1117" s="43">
        <v>59.8</v>
      </c>
      <c r="I1117" s="43">
        <v>62.8</v>
      </c>
      <c r="J1117" s="43">
        <v>1.1299999999999999</v>
      </c>
      <c r="K1117" s="61">
        <v>1.8499999999999999E-2</v>
      </c>
      <c r="L1117" s="43">
        <v>7</v>
      </c>
      <c r="M1117" s="43">
        <v>26</v>
      </c>
      <c r="N1117" s="59">
        <v>3.0409999999999999</v>
      </c>
      <c r="O1117" t="s">
        <v>62</v>
      </c>
      <c r="P1117" s="9">
        <v>46106</v>
      </c>
      <c r="Q1117">
        <v>211.71</v>
      </c>
    </row>
    <row r="1118" spans="1:17" x14ac:dyDescent="0.25">
      <c r="A1118" s="12" t="s">
        <v>855</v>
      </c>
      <c r="B1118" s="3" t="str">
        <f t="shared" si="55"/>
        <v>AMZN</v>
      </c>
      <c r="C1118" s="3" t="str">
        <f t="shared" si="53"/>
        <v>260327</v>
      </c>
      <c r="D1118" s="3" t="str">
        <f t="shared" si="54"/>
        <v>C00155000</v>
      </c>
      <c r="E1118" s="44" t="s">
        <v>849</v>
      </c>
      <c r="F1118" s="62">
        <v>155</v>
      </c>
      <c r="G1118" s="43">
        <v>56.41</v>
      </c>
      <c r="H1118" s="43">
        <v>55.6</v>
      </c>
      <c r="I1118" s="43">
        <v>58.6</v>
      </c>
      <c r="J1118" s="43">
        <v>4.92</v>
      </c>
      <c r="K1118" s="61">
        <v>9.5600000000000004E-2</v>
      </c>
      <c r="L1118" s="43">
        <v>8</v>
      </c>
      <c r="M1118" s="43">
        <v>49</v>
      </c>
      <c r="N1118" s="59">
        <v>2.2831999999999999</v>
      </c>
      <c r="O1118" t="s">
        <v>62</v>
      </c>
      <c r="P1118" s="9">
        <v>46106</v>
      </c>
      <c r="Q1118">
        <v>211.71</v>
      </c>
    </row>
    <row r="1119" spans="1:17" x14ac:dyDescent="0.25">
      <c r="A1119" s="12" t="s">
        <v>856</v>
      </c>
      <c r="B1119" s="3" t="str">
        <f t="shared" si="55"/>
        <v>AMZN</v>
      </c>
      <c r="C1119" s="3" t="str">
        <f t="shared" si="53"/>
        <v>260327</v>
      </c>
      <c r="D1119" s="3" t="str">
        <f t="shared" si="54"/>
        <v>C00160000</v>
      </c>
      <c r="E1119" s="44" t="s">
        <v>857</v>
      </c>
      <c r="F1119" s="62">
        <v>160</v>
      </c>
      <c r="G1119" s="43">
        <v>52.38</v>
      </c>
      <c r="H1119" s="43">
        <v>49.8</v>
      </c>
      <c r="I1119" s="43">
        <v>53.6</v>
      </c>
      <c r="J1119" s="43">
        <v>0</v>
      </c>
      <c r="K1119" s="61">
        <v>0</v>
      </c>
      <c r="L1119" s="43">
        <v>2</v>
      </c>
      <c r="M1119" s="43">
        <v>19</v>
      </c>
      <c r="N1119" s="59">
        <v>2.9491999999999998</v>
      </c>
      <c r="O1119" t="s">
        <v>62</v>
      </c>
      <c r="P1119" s="9">
        <v>46106</v>
      </c>
      <c r="Q1119">
        <v>211.71</v>
      </c>
    </row>
    <row r="1120" spans="1:17" x14ac:dyDescent="0.25">
      <c r="A1120" s="12" t="s">
        <v>858</v>
      </c>
      <c r="B1120" s="3" t="str">
        <f t="shared" si="55"/>
        <v>AMZN</v>
      </c>
      <c r="C1120" s="3" t="str">
        <f t="shared" si="53"/>
        <v>260327</v>
      </c>
      <c r="D1120" s="3" t="str">
        <f t="shared" si="54"/>
        <v>C00165000</v>
      </c>
      <c r="E1120" s="44" t="s">
        <v>859</v>
      </c>
      <c r="F1120" s="62">
        <v>165</v>
      </c>
      <c r="G1120" s="43">
        <v>47.21</v>
      </c>
      <c r="H1120" s="43">
        <v>44.8</v>
      </c>
      <c r="I1120" s="43">
        <v>48.6</v>
      </c>
      <c r="J1120" s="43">
        <v>4.1900000000000004</v>
      </c>
      <c r="K1120" s="61">
        <v>9.74E-2</v>
      </c>
      <c r="L1120" s="43">
        <v>2</v>
      </c>
      <c r="M1120" s="43">
        <v>10</v>
      </c>
      <c r="N1120" s="59">
        <v>2.6981999999999999</v>
      </c>
      <c r="O1120" t="s">
        <v>62</v>
      </c>
      <c r="P1120" s="9">
        <v>46106</v>
      </c>
      <c r="Q1120">
        <v>211.71</v>
      </c>
    </row>
    <row r="1121" spans="1:17" x14ac:dyDescent="0.25">
      <c r="A1121" s="12" t="s">
        <v>860</v>
      </c>
      <c r="B1121" s="3" t="str">
        <f t="shared" si="55"/>
        <v>AMZN</v>
      </c>
      <c r="C1121" s="3" t="str">
        <f t="shared" si="53"/>
        <v>260327</v>
      </c>
      <c r="D1121" s="3" t="str">
        <f t="shared" si="54"/>
        <v>C00170000</v>
      </c>
      <c r="E1121" s="44" t="s">
        <v>861</v>
      </c>
      <c r="F1121" s="62">
        <v>170</v>
      </c>
      <c r="G1121" s="43">
        <v>41.93</v>
      </c>
      <c r="H1121" s="43">
        <v>39.799999999999997</v>
      </c>
      <c r="I1121" s="43">
        <v>43.6</v>
      </c>
      <c r="J1121" s="43">
        <v>3.76</v>
      </c>
      <c r="K1121" s="61">
        <v>9.8500000000000004E-2</v>
      </c>
      <c r="L1121" s="43">
        <v>3</v>
      </c>
      <c r="M1121" s="43">
        <v>32</v>
      </c>
      <c r="N1121" s="59">
        <v>2.4512</v>
      </c>
      <c r="O1121" t="s">
        <v>62</v>
      </c>
      <c r="P1121" s="9">
        <v>46106</v>
      </c>
      <c r="Q1121">
        <v>211.71</v>
      </c>
    </row>
    <row r="1122" spans="1:17" x14ac:dyDescent="0.25">
      <c r="A1122" s="12" t="s">
        <v>862</v>
      </c>
      <c r="B1122" s="3" t="str">
        <f t="shared" si="55"/>
        <v>AMZN</v>
      </c>
      <c r="C1122" s="3" t="str">
        <f t="shared" si="53"/>
        <v>260327</v>
      </c>
      <c r="D1122" s="3" t="str">
        <f t="shared" si="54"/>
        <v>C00175000</v>
      </c>
      <c r="E1122" s="44" t="s">
        <v>863</v>
      </c>
      <c r="F1122" s="62">
        <v>175</v>
      </c>
      <c r="G1122" s="43">
        <v>36.799999999999997</v>
      </c>
      <c r="H1122" s="43">
        <v>34.950000000000003</v>
      </c>
      <c r="I1122" s="43">
        <v>37.9</v>
      </c>
      <c r="J1122" s="43">
        <v>0</v>
      </c>
      <c r="K1122" s="61">
        <v>0</v>
      </c>
      <c r="L1122" s="43">
        <v>1</v>
      </c>
      <c r="M1122" s="43">
        <v>235</v>
      </c>
      <c r="N1122" s="59">
        <v>1.9403999999999999</v>
      </c>
      <c r="O1122" t="s">
        <v>62</v>
      </c>
      <c r="P1122" s="9">
        <v>46106</v>
      </c>
      <c r="Q1122">
        <v>211.71</v>
      </c>
    </row>
    <row r="1123" spans="1:17" x14ac:dyDescent="0.25">
      <c r="A1123" s="12" t="s">
        <v>864</v>
      </c>
      <c r="B1123" s="3" t="str">
        <f t="shared" si="55"/>
        <v>AMZN</v>
      </c>
      <c r="C1123" s="3" t="str">
        <f t="shared" si="53"/>
        <v>260327</v>
      </c>
      <c r="D1123" s="3" t="str">
        <f t="shared" si="54"/>
        <v>C00177500</v>
      </c>
      <c r="E1123" s="44" t="s">
        <v>865</v>
      </c>
      <c r="F1123" s="62">
        <v>177.5</v>
      </c>
      <c r="G1123" s="43">
        <v>29.02</v>
      </c>
      <c r="H1123" s="43">
        <v>32.299999999999997</v>
      </c>
      <c r="I1123" s="43">
        <v>35.5</v>
      </c>
      <c r="J1123" s="43">
        <v>0</v>
      </c>
      <c r="K1123" s="61">
        <v>0</v>
      </c>
      <c r="L1123" s="43">
        <v>17</v>
      </c>
      <c r="M1123" s="43">
        <v>6</v>
      </c>
      <c r="N1123" s="59">
        <v>1.8695999999999999</v>
      </c>
      <c r="O1123" t="s">
        <v>62</v>
      </c>
      <c r="P1123" s="9">
        <v>46106</v>
      </c>
      <c r="Q1123">
        <v>211.71</v>
      </c>
    </row>
    <row r="1124" spans="1:17" x14ac:dyDescent="0.25">
      <c r="A1124" s="12" t="s">
        <v>866</v>
      </c>
      <c r="B1124" s="3" t="str">
        <f t="shared" si="55"/>
        <v>AMZN</v>
      </c>
      <c r="C1124" s="3" t="str">
        <f t="shared" si="53"/>
        <v>260327</v>
      </c>
      <c r="D1124" s="3" t="str">
        <f t="shared" si="54"/>
        <v>C00180000</v>
      </c>
      <c r="E1124" s="44" t="s">
        <v>867</v>
      </c>
      <c r="F1124" s="62">
        <v>180</v>
      </c>
      <c r="G1124" s="43">
        <v>30.95</v>
      </c>
      <c r="H1124" s="43">
        <v>30.3</v>
      </c>
      <c r="I1124" s="43">
        <v>31.95</v>
      </c>
      <c r="J1124" s="43">
        <v>2.79</v>
      </c>
      <c r="K1124" s="61">
        <v>9.9099999999999994E-2</v>
      </c>
      <c r="L1124" s="43">
        <v>1</v>
      </c>
      <c r="M1124" s="43">
        <v>190</v>
      </c>
      <c r="N1124" s="59">
        <v>1.2070000000000001</v>
      </c>
      <c r="O1124" t="s">
        <v>62</v>
      </c>
      <c r="P1124" s="9">
        <v>46106</v>
      </c>
      <c r="Q1124">
        <v>211.71</v>
      </c>
    </row>
    <row r="1125" spans="1:17" x14ac:dyDescent="0.25">
      <c r="A1125" s="12" t="s">
        <v>868</v>
      </c>
      <c r="B1125" s="3" t="str">
        <f t="shared" si="55"/>
        <v>AMZN</v>
      </c>
      <c r="C1125" s="3" t="str">
        <f t="shared" si="53"/>
        <v>260327</v>
      </c>
      <c r="D1125" s="3" t="str">
        <f t="shared" si="54"/>
        <v>C00182500</v>
      </c>
      <c r="E1125" s="44" t="s">
        <v>869</v>
      </c>
      <c r="F1125" s="62">
        <v>182.5</v>
      </c>
      <c r="G1125" s="43">
        <v>24.65</v>
      </c>
      <c r="H1125" s="43">
        <v>27.3</v>
      </c>
      <c r="I1125" s="43">
        <v>30.8</v>
      </c>
      <c r="J1125" s="43">
        <v>0</v>
      </c>
      <c r="K1125" s="61">
        <v>0</v>
      </c>
      <c r="L1125" s="43">
        <v>2</v>
      </c>
      <c r="M1125" s="43">
        <v>3</v>
      </c>
      <c r="N1125" s="59">
        <v>1.7495000000000001</v>
      </c>
      <c r="O1125" t="s">
        <v>62</v>
      </c>
      <c r="P1125" s="9">
        <v>46106</v>
      </c>
      <c r="Q1125">
        <v>211.71</v>
      </c>
    </row>
    <row r="1126" spans="1:17" x14ac:dyDescent="0.25">
      <c r="A1126" s="12" t="s">
        <v>870</v>
      </c>
      <c r="B1126" s="3" t="str">
        <f t="shared" si="55"/>
        <v>AMZN</v>
      </c>
      <c r="C1126" s="3" t="str">
        <f t="shared" si="53"/>
        <v>260327</v>
      </c>
      <c r="D1126" s="3" t="str">
        <f t="shared" si="54"/>
        <v>C00185000</v>
      </c>
      <c r="E1126" s="44" t="s">
        <v>871</v>
      </c>
      <c r="F1126" s="62">
        <v>185</v>
      </c>
      <c r="G1126" s="43">
        <v>26.92</v>
      </c>
      <c r="H1126" s="43">
        <v>25.35</v>
      </c>
      <c r="I1126" s="43">
        <v>28.15</v>
      </c>
      <c r="J1126" s="43">
        <v>4.7699999999999996</v>
      </c>
      <c r="K1126" s="61">
        <v>0.21529999999999999</v>
      </c>
      <c r="L1126" s="43">
        <v>10</v>
      </c>
      <c r="M1126" s="43">
        <v>128</v>
      </c>
      <c r="N1126" s="59">
        <v>0.78520000000000001</v>
      </c>
      <c r="O1126" t="s">
        <v>62</v>
      </c>
      <c r="P1126" s="9">
        <v>46106</v>
      </c>
      <c r="Q1126">
        <v>211.71</v>
      </c>
    </row>
    <row r="1127" spans="1:17" x14ac:dyDescent="0.25">
      <c r="A1127" s="12" t="s">
        <v>872</v>
      </c>
      <c r="B1127" s="3" t="str">
        <f t="shared" si="55"/>
        <v>AMZN</v>
      </c>
      <c r="C1127" s="3" t="str">
        <f t="shared" si="53"/>
        <v>260327</v>
      </c>
      <c r="D1127" s="3" t="str">
        <f t="shared" si="54"/>
        <v>C00187500</v>
      </c>
      <c r="E1127" s="44" t="s">
        <v>873</v>
      </c>
      <c r="F1127" s="62">
        <v>187.5</v>
      </c>
      <c r="G1127" s="43">
        <v>23.83</v>
      </c>
      <c r="H1127" s="43">
        <v>23.15</v>
      </c>
      <c r="I1127" s="43">
        <v>25.3</v>
      </c>
      <c r="J1127" s="43">
        <v>0</v>
      </c>
      <c r="K1127" s="61">
        <v>0</v>
      </c>
      <c r="L1127" s="43">
        <v>31</v>
      </c>
      <c r="M1127" s="43">
        <v>1023</v>
      </c>
      <c r="N1127" s="59">
        <v>0.64059999999999995</v>
      </c>
      <c r="O1127" t="s">
        <v>62</v>
      </c>
      <c r="P1127" s="9">
        <v>46106</v>
      </c>
      <c r="Q1127">
        <v>211.71</v>
      </c>
    </row>
    <row r="1128" spans="1:17" x14ac:dyDescent="0.25">
      <c r="A1128" s="12" t="s">
        <v>874</v>
      </c>
      <c r="B1128" s="3" t="str">
        <f t="shared" si="55"/>
        <v>AMZN</v>
      </c>
      <c r="C1128" s="3" t="str">
        <f t="shared" si="53"/>
        <v>260327</v>
      </c>
      <c r="D1128" s="3" t="str">
        <f t="shared" si="54"/>
        <v>C00190000</v>
      </c>
      <c r="E1128" s="44" t="s">
        <v>875</v>
      </c>
      <c r="F1128" s="62">
        <v>190</v>
      </c>
      <c r="G1128" s="43">
        <v>22.27</v>
      </c>
      <c r="H1128" s="43">
        <v>20.5</v>
      </c>
      <c r="I1128" s="43">
        <v>21.95</v>
      </c>
      <c r="J1128" s="43">
        <v>5.07</v>
      </c>
      <c r="K1128" s="61">
        <v>0.29480000000000001</v>
      </c>
      <c r="L1128" s="43">
        <v>51</v>
      </c>
      <c r="M1128" s="43">
        <v>1290</v>
      </c>
      <c r="N1128" s="59">
        <v>0.86429999999999996</v>
      </c>
      <c r="O1128" t="s">
        <v>62</v>
      </c>
      <c r="P1128" s="9">
        <v>46106</v>
      </c>
      <c r="Q1128">
        <v>211.71</v>
      </c>
    </row>
    <row r="1129" spans="1:17" x14ac:dyDescent="0.25">
      <c r="A1129" s="12" t="s">
        <v>876</v>
      </c>
      <c r="B1129" s="3" t="str">
        <f t="shared" si="55"/>
        <v>AMZN</v>
      </c>
      <c r="C1129" s="3" t="str">
        <f t="shared" si="53"/>
        <v>260327</v>
      </c>
      <c r="D1129" s="3" t="str">
        <f t="shared" si="54"/>
        <v>C00192500</v>
      </c>
      <c r="E1129" s="44" t="s">
        <v>877</v>
      </c>
      <c r="F1129" s="62">
        <v>192.5</v>
      </c>
      <c r="G1129" s="43">
        <v>19.73</v>
      </c>
      <c r="H1129" s="43">
        <v>17.75</v>
      </c>
      <c r="I1129" s="43">
        <v>20.45</v>
      </c>
      <c r="J1129" s="43">
        <v>4.71</v>
      </c>
      <c r="K1129" s="61">
        <v>0.31359999999999999</v>
      </c>
      <c r="L1129" s="43">
        <v>13</v>
      </c>
      <c r="M1129" s="43">
        <v>47</v>
      </c>
      <c r="N1129" s="59">
        <v>1.1812</v>
      </c>
      <c r="O1129" t="s">
        <v>62</v>
      </c>
      <c r="P1129" s="9">
        <v>46106</v>
      </c>
      <c r="Q1129">
        <v>211.71</v>
      </c>
    </row>
    <row r="1130" spans="1:17" x14ac:dyDescent="0.25">
      <c r="A1130" s="12" t="s">
        <v>878</v>
      </c>
      <c r="B1130" s="3" t="str">
        <f t="shared" si="55"/>
        <v>AMZN</v>
      </c>
      <c r="C1130" s="3" t="str">
        <f t="shared" si="53"/>
        <v>260327</v>
      </c>
      <c r="D1130" s="3" t="str">
        <f t="shared" si="54"/>
        <v>C00195000</v>
      </c>
      <c r="E1130" s="44" t="s">
        <v>879</v>
      </c>
      <c r="F1130" s="62">
        <v>195</v>
      </c>
      <c r="G1130" s="43">
        <v>16.55</v>
      </c>
      <c r="H1130" s="43">
        <v>16.45</v>
      </c>
      <c r="I1130" s="43">
        <v>17</v>
      </c>
      <c r="J1130" s="43">
        <v>3.49</v>
      </c>
      <c r="K1130" s="61">
        <v>0.26719999999999999</v>
      </c>
      <c r="L1130" s="43">
        <v>152</v>
      </c>
      <c r="M1130" s="43">
        <v>1587</v>
      </c>
      <c r="N1130" s="59">
        <v>0.72070000000000001</v>
      </c>
      <c r="O1130" t="s">
        <v>62</v>
      </c>
      <c r="P1130" s="9">
        <v>46106</v>
      </c>
      <c r="Q1130">
        <v>211.71</v>
      </c>
    </row>
    <row r="1131" spans="1:17" x14ac:dyDescent="0.25">
      <c r="A1131" s="12" t="s">
        <v>880</v>
      </c>
      <c r="B1131" s="3" t="str">
        <f t="shared" si="55"/>
        <v>AMZN</v>
      </c>
      <c r="C1131" s="3" t="str">
        <f t="shared" si="53"/>
        <v>260327</v>
      </c>
      <c r="D1131" s="3" t="str">
        <f t="shared" si="54"/>
        <v>C00197500</v>
      </c>
      <c r="E1131" s="44" t="s">
        <v>881</v>
      </c>
      <c r="F1131" s="62">
        <v>197.5</v>
      </c>
      <c r="G1131" s="43">
        <v>13.78</v>
      </c>
      <c r="H1131" s="43">
        <v>12.9</v>
      </c>
      <c r="I1131" s="43">
        <v>15.45</v>
      </c>
      <c r="J1131" s="43">
        <v>3.33</v>
      </c>
      <c r="K1131" s="61">
        <v>0.31869999999999998</v>
      </c>
      <c r="L1131" s="43">
        <v>130</v>
      </c>
      <c r="M1131" s="43">
        <v>1059</v>
      </c>
      <c r="N1131" s="59">
        <v>0.95409999999999995</v>
      </c>
      <c r="O1131" t="s">
        <v>62</v>
      </c>
      <c r="P1131" s="9">
        <v>46106</v>
      </c>
      <c r="Q1131">
        <v>211.71</v>
      </c>
    </row>
    <row r="1132" spans="1:17" x14ac:dyDescent="0.25">
      <c r="A1132" s="12" t="s">
        <v>882</v>
      </c>
      <c r="B1132" s="3" t="str">
        <f t="shared" si="55"/>
        <v>AMZN</v>
      </c>
      <c r="C1132" s="3" t="str">
        <f t="shared" si="53"/>
        <v>260327</v>
      </c>
      <c r="D1132" s="3" t="str">
        <f t="shared" si="54"/>
        <v>C00200000</v>
      </c>
      <c r="E1132" s="44" t="s">
        <v>883</v>
      </c>
      <c r="F1132" s="62">
        <v>200</v>
      </c>
      <c r="G1132" s="43">
        <v>11.4</v>
      </c>
      <c r="H1132" s="43">
        <v>11.25</v>
      </c>
      <c r="I1132" s="43">
        <v>12.05</v>
      </c>
      <c r="J1132" s="43">
        <v>3.37</v>
      </c>
      <c r="K1132" s="61">
        <v>0.41970000000000002</v>
      </c>
      <c r="L1132" s="43">
        <v>1152</v>
      </c>
      <c r="M1132" s="43">
        <v>1169</v>
      </c>
      <c r="N1132" s="59">
        <v>0.5635</v>
      </c>
      <c r="O1132" t="s">
        <v>62</v>
      </c>
      <c r="P1132" s="9">
        <v>46106</v>
      </c>
      <c r="Q1132">
        <v>211.71</v>
      </c>
    </row>
    <row r="1133" spans="1:17" x14ac:dyDescent="0.25">
      <c r="A1133" s="12" t="s">
        <v>884</v>
      </c>
      <c r="B1133" s="3" t="str">
        <f t="shared" si="55"/>
        <v>AMZN</v>
      </c>
      <c r="C1133" s="3" t="str">
        <f t="shared" si="53"/>
        <v>260327</v>
      </c>
      <c r="D1133" s="3" t="str">
        <f t="shared" si="54"/>
        <v>C00202500</v>
      </c>
      <c r="E1133" s="44" t="s">
        <v>885</v>
      </c>
      <c r="F1133" s="62">
        <v>202.5</v>
      </c>
      <c r="G1133" s="43">
        <v>9.11</v>
      </c>
      <c r="H1133" s="43">
        <v>8.8000000000000007</v>
      </c>
      <c r="I1133" s="43">
        <v>9.6</v>
      </c>
      <c r="J1133" s="43">
        <v>3.15</v>
      </c>
      <c r="K1133" s="61">
        <v>0.52849999999999997</v>
      </c>
      <c r="L1133" s="43">
        <v>1218</v>
      </c>
      <c r="M1133" s="43">
        <v>492</v>
      </c>
      <c r="N1133" s="59">
        <v>0.48680000000000001</v>
      </c>
      <c r="O1133" t="s">
        <v>62</v>
      </c>
      <c r="P1133" s="9">
        <v>46106</v>
      </c>
      <c r="Q1133">
        <v>211.71</v>
      </c>
    </row>
    <row r="1134" spans="1:17" x14ac:dyDescent="0.25">
      <c r="A1134" s="12" t="s">
        <v>886</v>
      </c>
      <c r="B1134" s="3" t="str">
        <f t="shared" si="55"/>
        <v>AMZN</v>
      </c>
      <c r="C1134" s="3" t="str">
        <f t="shared" si="53"/>
        <v>260327</v>
      </c>
      <c r="D1134" s="3" t="str">
        <f t="shared" si="54"/>
        <v>C00205000</v>
      </c>
      <c r="E1134" s="44" t="s">
        <v>881</v>
      </c>
      <c r="F1134" s="62">
        <v>205</v>
      </c>
      <c r="G1134" s="43">
        <v>6.95</v>
      </c>
      <c r="H1134" s="43">
        <v>6.9</v>
      </c>
      <c r="I1134" s="43">
        <v>7.3</v>
      </c>
      <c r="J1134" s="43">
        <v>2.75</v>
      </c>
      <c r="K1134" s="61">
        <v>0.65480000000000005</v>
      </c>
      <c r="L1134" s="43">
        <v>1025</v>
      </c>
      <c r="M1134" s="43">
        <v>2377</v>
      </c>
      <c r="N1134" s="59">
        <v>0.44340000000000002</v>
      </c>
      <c r="O1134" t="s">
        <v>62</v>
      </c>
      <c r="P1134" s="9">
        <v>46106</v>
      </c>
      <c r="Q1134">
        <v>211.71</v>
      </c>
    </row>
    <row r="1135" spans="1:17" x14ac:dyDescent="0.25">
      <c r="A1135" s="12" t="s">
        <v>887</v>
      </c>
      <c r="B1135" s="3" t="str">
        <f t="shared" si="55"/>
        <v>AMZN</v>
      </c>
      <c r="C1135" s="3" t="str">
        <f t="shared" si="53"/>
        <v>260327</v>
      </c>
      <c r="D1135" s="3" t="str">
        <f t="shared" si="54"/>
        <v>C00207500</v>
      </c>
      <c r="E1135" s="44" t="s">
        <v>888</v>
      </c>
      <c r="F1135" s="62">
        <v>207.5</v>
      </c>
      <c r="G1135" s="43">
        <v>4.9000000000000004</v>
      </c>
      <c r="H1135" s="43">
        <v>5</v>
      </c>
      <c r="I1135" s="43">
        <v>5.15</v>
      </c>
      <c r="J1135" s="43">
        <v>2.15</v>
      </c>
      <c r="K1135" s="61">
        <v>0.78180000000000005</v>
      </c>
      <c r="L1135" s="43">
        <v>1614</v>
      </c>
      <c r="M1135" s="43">
        <v>9197</v>
      </c>
      <c r="N1135" s="59">
        <v>0.40429999999999999</v>
      </c>
      <c r="O1135" t="s">
        <v>62</v>
      </c>
      <c r="P1135" s="9">
        <v>46106</v>
      </c>
      <c r="Q1135">
        <v>211.71</v>
      </c>
    </row>
    <row r="1136" spans="1:17" x14ac:dyDescent="0.25">
      <c r="A1136" s="12" t="s">
        <v>889</v>
      </c>
      <c r="B1136" s="3" t="str">
        <f t="shared" si="55"/>
        <v>AMZN</v>
      </c>
      <c r="C1136" s="3" t="str">
        <f t="shared" si="53"/>
        <v>260327</v>
      </c>
      <c r="D1136" s="3" t="str">
        <f t="shared" si="54"/>
        <v>C00210000</v>
      </c>
      <c r="E1136" s="44" t="s">
        <v>890</v>
      </c>
      <c r="F1136" s="62">
        <v>210</v>
      </c>
      <c r="G1136" s="43">
        <v>3.2</v>
      </c>
      <c r="H1136" s="43">
        <v>3.15</v>
      </c>
      <c r="I1136" s="43">
        <v>3.3</v>
      </c>
      <c r="J1136" s="43">
        <v>1.64</v>
      </c>
      <c r="K1136" s="61">
        <v>1.0512999999999999</v>
      </c>
      <c r="L1136" s="43">
        <v>8363</v>
      </c>
      <c r="M1136" s="43">
        <v>15982</v>
      </c>
      <c r="N1136" s="59">
        <v>0.377</v>
      </c>
      <c r="O1136" t="s">
        <v>62</v>
      </c>
      <c r="P1136" s="9">
        <v>46106</v>
      </c>
      <c r="Q1136">
        <v>211.71</v>
      </c>
    </row>
    <row r="1137" spans="1:17" x14ac:dyDescent="0.25">
      <c r="A1137" s="12" t="s">
        <v>891</v>
      </c>
      <c r="B1137" s="3" t="str">
        <f t="shared" si="55"/>
        <v>AMZN</v>
      </c>
      <c r="C1137" s="3" t="str">
        <f t="shared" si="53"/>
        <v>260327</v>
      </c>
      <c r="D1137" s="3" t="str">
        <f t="shared" si="54"/>
        <v>C00212500</v>
      </c>
      <c r="E1137" s="44" t="s">
        <v>890</v>
      </c>
      <c r="F1137" s="62">
        <v>212.5</v>
      </c>
      <c r="G1137" s="43">
        <v>1.76</v>
      </c>
      <c r="H1137" s="43">
        <v>1.76</v>
      </c>
      <c r="I1137" s="43">
        <v>1.8</v>
      </c>
      <c r="J1137" s="43">
        <v>0.98</v>
      </c>
      <c r="K1137" s="61">
        <v>1.2564</v>
      </c>
      <c r="L1137" s="43">
        <v>15243</v>
      </c>
      <c r="M1137" s="43">
        <v>10288</v>
      </c>
      <c r="N1137" s="59">
        <v>0.34670000000000001</v>
      </c>
      <c r="O1137" t="s">
        <v>62</v>
      </c>
      <c r="P1137" s="9">
        <v>46106</v>
      </c>
      <c r="Q1137">
        <v>211.71</v>
      </c>
    </row>
    <row r="1138" spans="1:17" x14ac:dyDescent="0.25">
      <c r="A1138" s="12" t="s">
        <v>892</v>
      </c>
      <c r="B1138" s="3" t="str">
        <f t="shared" si="55"/>
        <v>AMZN</v>
      </c>
      <c r="C1138" s="3" t="str">
        <f t="shared" si="53"/>
        <v>260327</v>
      </c>
      <c r="D1138" s="3" t="str">
        <f t="shared" si="54"/>
        <v>C00215000</v>
      </c>
      <c r="E1138" s="44" t="s">
        <v>890</v>
      </c>
      <c r="F1138" s="62">
        <v>215</v>
      </c>
      <c r="G1138" s="43">
        <v>0.78</v>
      </c>
      <c r="H1138" s="43">
        <v>0.78</v>
      </c>
      <c r="I1138" s="43">
        <v>0.8</v>
      </c>
      <c r="J1138" s="43">
        <v>0.42</v>
      </c>
      <c r="K1138" s="61">
        <v>1.1667000000000001</v>
      </c>
      <c r="L1138" s="43">
        <v>18788</v>
      </c>
      <c r="M1138" s="43">
        <v>17626</v>
      </c>
      <c r="N1138" s="59">
        <v>0.32319999999999999</v>
      </c>
      <c r="O1138" t="s">
        <v>62</v>
      </c>
      <c r="P1138" s="9">
        <v>46106</v>
      </c>
      <c r="Q1138">
        <v>211.71</v>
      </c>
    </row>
    <row r="1139" spans="1:17" x14ac:dyDescent="0.25">
      <c r="A1139" s="12" t="s">
        <v>893</v>
      </c>
      <c r="B1139" s="3" t="str">
        <f t="shared" si="55"/>
        <v>AMZN</v>
      </c>
      <c r="C1139" s="3" t="str">
        <f t="shared" si="53"/>
        <v>260327</v>
      </c>
      <c r="D1139" s="3" t="str">
        <f t="shared" si="54"/>
        <v>C00217500</v>
      </c>
      <c r="E1139" s="44" t="s">
        <v>890</v>
      </c>
      <c r="F1139" s="62">
        <v>217.5</v>
      </c>
      <c r="G1139" s="43">
        <v>0.28999999999999998</v>
      </c>
      <c r="H1139" s="43">
        <v>0.28000000000000003</v>
      </c>
      <c r="I1139" s="43">
        <v>0.3</v>
      </c>
      <c r="J1139" s="43">
        <v>0.13</v>
      </c>
      <c r="K1139" s="61">
        <v>0.8125</v>
      </c>
      <c r="L1139" s="43">
        <v>12503</v>
      </c>
      <c r="M1139" s="43">
        <v>13355</v>
      </c>
      <c r="N1139" s="59">
        <v>0.313</v>
      </c>
      <c r="O1139" t="s">
        <v>62</v>
      </c>
      <c r="P1139" s="9">
        <v>46106</v>
      </c>
      <c r="Q1139">
        <v>211.71</v>
      </c>
    </row>
    <row r="1140" spans="1:17" x14ac:dyDescent="0.25">
      <c r="A1140" s="12" t="s">
        <v>894</v>
      </c>
      <c r="B1140" s="3" t="str">
        <f t="shared" si="55"/>
        <v>AMZN</v>
      </c>
      <c r="C1140" s="3" t="str">
        <f t="shared" ref="C1140:C1203" si="56">+MID(A1140,5,6)</f>
        <v>260327</v>
      </c>
      <c r="D1140" s="3" t="str">
        <f t="shared" ref="D1140:D1203" si="57">+MID(A1140,11,10)</f>
        <v>C00220000</v>
      </c>
      <c r="E1140" s="44" t="s">
        <v>890</v>
      </c>
      <c r="F1140" s="62">
        <v>220</v>
      </c>
      <c r="G1140" s="43">
        <v>0.11</v>
      </c>
      <c r="H1140" s="43">
        <v>0.1</v>
      </c>
      <c r="I1140" s="43">
        <v>0.11</v>
      </c>
      <c r="J1140" s="43">
        <v>0.03</v>
      </c>
      <c r="K1140" s="61">
        <v>0.375</v>
      </c>
      <c r="L1140" s="43">
        <v>7083</v>
      </c>
      <c r="M1140" s="43">
        <v>17528</v>
      </c>
      <c r="N1140" s="59">
        <v>0.31840000000000002</v>
      </c>
      <c r="O1140" t="s">
        <v>62</v>
      </c>
      <c r="P1140" s="9">
        <v>46106</v>
      </c>
      <c r="Q1140">
        <v>211.71</v>
      </c>
    </row>
    <row r="1141" spans="1:17" x14ac:dyDescent="0.25">
      <c r="A1141" s="12" t="s">
        <v>895</v>
      </c>
      <c r="B1141" s="3" t="str">
        <f t="shared" si="55"/>
        <v>AMZN</v>
      </c>
      <c r="C1141" s="3" t="str">
        <f t="shared" si="56"/>
        <v>260327</v>
      </c>
      <c r="D1141" s="3" t="str">
        <f t="shared" si="57"/>
        <v>C00222500</v>
      </c>
      <c r="E1141" s="44" t="s">
        <v>879</v>
      </c>
      <c r="F1141" s="62">
        <v>222.5</v>
      </c>
      <c r="G1141" s="43">
        <v>0.06</v>
      </c>
      <c r="H1141" s="43">
        <v>0.05</v>
      </c>
      <c r="I1141" s="43">
        <v>0.06</v>
      </c>
      <c r="J1141" s="43">
        <v>0.01</v>
      </c>
      <c r="K1141" s="61">
        <v>0.2</v>
      </c>
      <c r="L1141" s="43">
        <v>2088</v>
      </c>
      <c r="M1141" s="43">
        <v>13197</v>
      </c>
      <c r="N1141" s="59">
        <v>0.35160000000000002</v>
      </c>
      <c r="O1141" t="s">
        <v>62</v>
      </c>
      <c r="P1141" s="9">
        <v>46106</v>
      </c>
      <c r="Q1141">
        <v>211.71</v>
      </c>
    </row>
    <row r="1142" spans="1:17" x14ac:dyDescent="0.25">
      <c r="A1142" s="12" t="s">
        <v>896</v>
      </c>
      <c r="B1142" s="3" t="str">
        <f t="shared" si="55"/>
        <v>AMZN</v>
      </c>
      <c r="C1142" s="3" t="str">
        <f t="shared" si="56"/>
        <v>260327</v>
      </c>
      <c r="D1142" s="3" t="str">
        <f t="shared" si="57"/>
        <v>C00225000</v>
      </c>
      <c r="E1142" s="44" t="s">
        <v>849</v>
      </c>
      <c r="F1142" s="62">
        <v>225</v>
      </c>
      <c r="G1142" s="43">
        <v>0.03</v>
      </c>
      <c r="H1142" s="43">
        <v>0.03</v>
      </c>
      <c r="I1142" s="43">
        <v>0.04</v>
      </c>
      <c r="J1142" s="43">
        <v>0</v>
      </c>
      <c r="K1142" s="61">
        <v>0</v>
      </c>
      <c r="L1142" s="43">
        <v>2340</v>
      </c>
      <c r="M1142" s="43">
        <v>11338</v>
      </c>
      <c r="N1142" s="59">
        <v>0.3906</v>
      </c>
      <c r="O1142" t="s">
        <v>62</v>
      </c>
      <c r="P1142" s="9">
        <v>46106</v>
      </c>
      <c r="Q1142">
        <v>211.71</v>
      </c>
    </row>
    <row r="1143" spans="1:17" x14ac:dyDescent="0.25">
      <c r="A1143" s="12" t="s">
        <v>897</v>
      </c>
      <c r="B1143" s="3" t="str">
        <f t="shared" si="55"/>
        <v>AMZN</v>
      </c>
      <c r="C1143" s="3" t="str">
        <f t="shared" si="56"/>
        <v>260327</v>
      </c>
      <c r="D1143" s="3" t="str">
        <f t="shared" si="57"/>
        <v>C00227500</v>
      </c>
      <c r="E1143" s="44" t="s">
        <v>898</v>
      </c>
      <c r="F1143" s="62">
        <v>227.5</v>
      </c>
      <c r="G1143" s="43">
        <v>0.03</v>
      </c>
      <c r="H1143" s="43">
        <v>0.02</v>
      </c>
      <c r="I1143" s="43">
        <v>0.03</v>
      </c>
      <c r="J1143" s="43">
        <v>0.01</v>
      </c>
      <c r="K1143" s="61">
        <v>0.5</v>
      </c>
      <c r="L1143" s="43">
        <v>779</v>
      </c>
      <c r="M1143" s="43">
        <v>4982</v>
      </c>
      <c r="N1143" s="59">
        <v>0.43359999999999999</v>
      </c>
      <c r="O1143" t="s">
        <v>62</v>
      </c>
      <c r="P1143" s="9">
        <v>46106</v>
      </c>
      <c r="Q1143">
        <v>211.71</v>
      </c>
    </row>
    <row r="1144" spans="1:17" x14ac:dyDescent="0.25">
      <c r="A1144" s="12" t="s">
        <v>899</v>
      </c>
      <c r="B1144" s="3" t="str">
        <f t="shared" si="55"/>
        <v>AMZN</v>
      </c>
      <c r="C1144" s="3" t="str">
        <f t="shared" si="56"/>
        <v>260327</v>
      </c>
      <c r="D1144" s="3" t="str">
        <f t="shared" si="57"/>
        <v>C00230000</v>
      </c>
      <c r="E1144" s="44" t="s">
        <v>898</v>
      </c>
      <c r="F1144" s="62">
        <v>230</v>
      </c>
      <c r="G1144" s="43">
        <v>0.02</v>
      </c>
      <c r="H1144" s="43">
        <v>0.01</v>
      </c>
      <c r="I1144" s="43">
        <v>0.02</v>
      </c>
      <c r="J1144" s="43">
        <v>0</v>
      </c>
      <c r="K1144" s="61">
        <v>0</v>
      </c>
      <c r="L1144" s="43">
        <v>309</v>
      </c>
      <c r="M1144" s="43">
        <v>7545</v>
      </c>
      <c r="N1144" s="59">
        <v>0.46479999999999999</v>
      </c>
      <c r="O1144" t="s">
        <v>62</v>
      </c>
      <c r="P1144" s="9">
        <v>46106</v>
      </c>
      <c r="Q1144">
        <v>211.71</v>
      </c>
    </row>
    <row r="1145" spans="1:17" x14ac:dyDescent="0.25">
      <c r="A1145" s="12" t="s">
        <v>900</v>
      </c>
      <c r="B1145" s="3" t="str">
        <f t="shared" si="55"/>
        <v>AMZN</v>
      </c>
      <c r="C1145" s="3" t="str">
        <f t="shared" si="56"/>
        <v>260327</v>
      </c>
      <c r="D1145" s="3" t="str">
        <f t="shared" si="57"/>
        <v>C00232500</v>
      </c>
      <c r="E1145" s="44" t="s">
        <v>890</v>
      </c>
      <c r="F1145" s="62">
        <v>232.5</v>
      </c>
      <c r="G1145" s="43">
        <v>0.01</v>
      </c>
      <c r="H1145" s="43">
        <v>0.01</v>
      </c>
      <c r="I1145" s="43">
        <v>0.02</v>
      </c>
      <c r="J1145" s="43">
        <v>0</v>
      </c>
      <c r="K1145" s="61">
        <v>0</v>
      </c>
      <c r="L1145" s="43">
        <v>85</v>
      </c>
      <c r="M1145" s="43">
        <v>1622</v>
      </c>
      <c r="N1145" s="59">
        <v>0.5</v>
      </c>
      <c r="O1145" t="s">
        <v>62</v>
      </c>
      <c r="P1145" s="9">
        <v>46106</v>
      </c>
      <c r="Q1145">
        <v>211.71</v>
      </c>
    </row>
    <row r="1146" spans="1:17" x14ac:dyDescent="0.25">
      <c r="A1146" s="12" t="s">
        <v>901</v>
      </c>
      <c r="B1146" s="3" t="str">
        <f t="shared" si="55"/>
        <v>AMZN</v>
      </c>
      <c r="C1146" s="3" t="str">
        <f t="shared" si="56"/>
        <v>260327</v>
      </c>
      <c r="D1146" s="3" t="str">
        <f t="shared" si="57"/>
        <v>C00235000</v>
      </c>
      <c r="E1146" s="44" t="s">
        <v>883</v>
      </c>
      <c r="F1146" s="62">
        <v>235</v>
      </c>
      <c r="G1146" s="43">
        <v>0.01</v>
      </c>
      <c r="H1146" s="43">
        <v>0.01</v>
      </c>
      <c r="I1146" s="43">
        <v>0.02</v>
      </c>
      <c r="J1146" s="43">
        <v>0</v>
      </c>
      <c r="K1146" s="61">
        <v>0</v>
      </c>
      <c r="L1146" s="43">
        <v>843</v>
      </c>
      <c r="M1146" s="43">
        <v>3031</v>
      </c>
      <c r="N1146" s="59">
        <v>0.54690000000000005</v>
      </c>
      <c r="O1146" t="s">
        <v>62</v>
      </c>
      <c r="P1146" s="9">
        <v>46106</v>
      </c>
      <c r="Q1146">
        <v>211.71</v>
      </c>
    </row>
    <row r="1147" spans="1:17" x14ac:dyDescent="0.25">
      <c r="A1147" s="12" t="s">
        <v>902</v>
      </c>
      <c r="B1147" s="3" t="str">
        <f t="shared" si="55"/>
        <v>AMZN</v>
      </c>
      <c r="C1147" s="3" t="str">
        <f t="shared" si="56"/>
        <v>260327</v>
      </c>
      <c r="D1147" s="3" t="str">
        <f t="shared" si="57"/>
        <v>C00237500</v>
      </c>
      <c r="E1147" s="44" t="s">
        <v>903</v>
      </c>
      <c r="F1147" s="62">
        <v>237.5</v>
      </c>
      <c r="G1147" s="43">
        <v>0.01</v>
      </c>
      <c r="H1147" s="43">
        <v>0</v>
      </c>
      <c r="I1147" s="43">
        <v>0.01</v>
      </c>
      <c r="J1147" s="43">
        <v>0</v>
      </c>
      <c r="K1147" s="61">
        <v>0</v>
      </c>
      <c r="L1147" s="43">
        <v>175</v>
      </c>
      <c r="M1147" s="43">
        <v>709</v>
      </c>
      <c r="N1147" s="59">
        <v>0.53129999999999999</v>
      </c>
      <c r="O1147" t="s">
        <v>62</v>
      </c>
      <c r="P1147" s="9">
        <v>46106</v>
      </c>
      <c r="Q1147">
        <v>211.71</v>
      </c>
    </row>
    <row r="1148" spans="1:17" x14ac:dyDescent="0.25">
      <c r="A1148" s="12" t="s">
        <v>904</v>
      </c>
      <c r="B1148" s="3" t="str">
        <f t="shared" si="55"/>
        <v>AMZN</v>
      </c>
      <c r="C1148" s="3" t="str">
        <f t="shared" si="56"/>
        <v>260327</v>
      </c>
      <c r="D1148" s="3" t="str">
        <f t="shared" si="57"/>
        <v>C00240000</v>
      </c>
      <c r="E1148" s="44" t="s">
        <v>905</v>
      </c>
      <c r="F1148" s="62">
        <v>240</v>
      </c>
      <c r="G1148" s="43">
        <v>0.01</v>
      </c>
      <c r="H1148" s="43">
        <v>0</v>
      </c>
      <c r="I1148" s="43">
        <v>0.01</v>
      </c>
      <c r="J1148" s="43">
        <v>0</v>
      </c>
      <c r="K1148" s="61">
        <v>0</v>
      </c>
      <c r="L1148" s="43">
        <v>8</v>
      </c>
      <c r="M1148" s="43">
        <v>4303</v>
      </c>
      <c r="N1148" s="59">
        <v>0.57809999999999995</v>
      </c>
      <c r="O1148" t="s">
        <v>62</v>
      </c>
      <c r="P1148" s="9">
        <v>46106</v>
      </c>
      <c r="Q1148">
        <v>211.71</v>
      </c>
    </row>
    <row r="1149" spans="1:17" x14ac:dyDescent="0.25">
      <c r="A1149" s="12" t="s">
        <v>906</v>
      </c>
      <c r="B1149" s="3" t="str">
        <f t="shared" si="55"/>
        <v>AMZN</v>
      </c>
      <c r="C1149" s="3" t="str">
        <f t="shared" si="56"/>
        <v>260327</v>
      </c>
      <c r="D1149" s="3" t="str">
        <f t="shared" si="57"/>
        <v>C00245000</v>
      </c>
      <c r="E1149" s="44" t="s">
        <v>907</v>
      </c>
      <c r="F1149" s="62">
        <v>245</v>
      </c>
      <c r="G1149" s="43">
        <v>0.01</v>
      </c>
      <c r="H1149" s="43">
        <v>0</v>
      </c>
      <c r="I1149" s="43">
        <v>0.01</v>
      </c>
      <c r="J1149" s="43">
        <v>0</v>
      </c>
      <c r="K1149" s="61">
        <v>0</v>
      </c>
      <c r="L1149" s="43">
        <v>3</v>
      </c>
      <c r="M1149" s="43">
        <v>1520</v>
      </c>
      <c r="N1149" s="59">
        <v>0.65629999999999999</v>
      </c>
      <c r="O1149" t="s">
        <v>62</v>
      </c>
      <c r="P1149" s="9">
        <v>46106</v>
      </c>
      <c r="Q1149">
        <v>211.71</v>
      </c>
    </row>
    <row r="1150" spans="1:17" x14ac:dyDescent="0.25">
      <c r="A1150" s="12" t="s">
        <v>908</v>
      </c>
      <c r="B1150" s="3" t="str">
        <f t="shared" si="55"/>
        <v>AMZN</v>
      </c>
      <c r="C1150" s="3" t="str">
        <f t="shared" si="56"/>
        <v>260327</v>
      </c>
      <c r="D1150" s="3" t="str">
        <f t="shared" si="57"/>
        <v>C00250000</v>
      </c>
      <c r="E1150" s="44" t="s">
        <v>909</v>
      </c>
      <c r="F1150" s="62">
        <v>250</v>
      </c>
      <c r="G1150" s="43">
        <v>0.01</v>
      </c>
      <c r="H1150" s="43">
        <v>0</v>
      </c>
      <c r="I1150" s="43">
        <v>0.01</v>
      </c>
      <c r="J1150" s="43">
        <v>0</v>
      </c>
      <c r="K1150" s="61">
        <v>0</v>
      </c>
      <c r="L1150" s="43">
        <v>8</v>
      </c>
      <c r="M1150" s="43">
        <v>2150</v>
      </c>
      <c r="N1150" s="59">
        <v>0.75</v>
      </c>
      <c r="O1150" t="s">
        <v>62</v>
      </c>
      <c r="P1150" s="9">
        <v>46106</v>
      </c>
      <c r="Q1150">
        <v>211.71</v>
      </c>
    </row>
    <row r="1151" spans="1:17" x14ac:dyDescent="0.25">
      <c r="A1151" s="12" t="s">
        <v>910</v>
      </c>
      <c r="B1151" s="3" t="str">
        <f t="shared" si="55"/>
        <v>AMZN</v>
      </c>
      <c r="C1151" s="3" t="str">
        <f t="shared" si="56"/>
        <v>260327</v>
      </c>
      <c r="D1151" s="3" t="str">
        <f t="shared" si="57"/>
        <v>C00255000</v>
      </c>
      <c r="E1151" s="44" t="s">
        <v>911</v>
      </c>
      <c r="F1151" s="62">
        <v>255</v>
      </c>
      <c r="G1151" s="43">
        <v>0.01</v>
      </c>
      <c r="H1151" s="43">
        <v>0</v>
      </c>
      <c r="I1151" s="43">
        <v>0.01</v>
      </c>
      <c r="J1151" s="43">
        <v>0</v>
      </c>
      <c r="K1151" s="61">
        <v>0</v>
      </c>
      <c r="L1151" s="43">
        <v>3</v>
      </c>
      <c r="M1151" s="43">
        <v>518</v>
      </c>
      <c r="N1151" s="59">
        <v>0.84379999999999999</v>
      </c>
      <c r="O1151" t="s">
        <v>62</v>
      </c>
      <c r="P1151" s="9">
        <v>46106</v>
      </c>
      <c r="Q1151">
        <v>211.71</v>
      </c>
    </row>
    <row r="1152" spans="1:17" x14ac:dyDescent="0.25">
      <c r="A1152" s="12" t="s">
        <v>912</v>
      </c>
      <c r="B1152" s="3" t="str">
        <f t="shared" si="55"/>
        <v>AMZN</v>
      </c>
      <c r="C1152" s="3" t="str">
        <f t="shared" si="56"/>
        <v>260327</v>
      </c>
      <c r="D1152" s="3" t="str">
        <f t="shared" si="57"/>
        <v>C00260000</v>
      </c>
      <c r="E1152" s="44" t="s">
        <v>913</v>
      </c>
      <c r="F1152" s="62">
        <v>260</v>
      </c>
      <c r="G1152" s="43">
        <v>0.01</v>
      </c>
      <c r="H1152" s="43">
        <v>0</v>
      </c>
      <c r="I1152" s="43">
        <v>0.01</v>
      </c>
      <c r="J1152" s="43">
        <v>0</v>
      </c>
      <c r="K1152" s="61">
        <v>0</v>
      </c>
      <c r="L1152" s="43">
        <v>1</v>
      </c>
      <c r="M1152" s="43">
        <v>605</v>
      </c>
      <c r="N1152" s="59">
        <v>0.90629999999999999</v>
      </c>
      <c r="O1152" t="s">
        <v>62</v>
      </c>
      <c r="P1152" s="9">
        <v>46106</v>
      </c>
      <c r="Q1152">
        <v>211.71</v>
      </c>
    </row>
    <row r="1153" spans="1:17" x14ac:dyDescent="0.25">
      <c r="A1153" s="12" t="s">
        <v>914</v>
      </c>
      <c r="B1153" s="3" t="str">
        <f t="shared" si="55"/>
        <v>AMZN</v>
      </c>
      <c r="C1153" s="3" t="str">
        <f t="shared" si="56"/>
        <v>260327</v>
      </c>
      <c r="D1153" s="3" t="str">
        <f t="shared" si="57"/>
        <v>C00265000</v>
      </c>
      <c r="E1153" s="44" t="s">
        <v>915</v>
      </c>
      <c r="F1153" s="62">
        <v>265</v>
      </c>
      <c r="G1153" s="43">
        <v>0.03</v>
      </c>
      <c r="H1153" s="43">
        <v>0</v>
      </c>
      <c r="I1153" s="43">
        <v>0.03</v>
      </c>
      <c r="J1153" s="43">
        <v>0</v>
      </c>
      <c r="K1153" s="61">
        <v>0</v>
      </c>
      <c r="L1153" s="43">
        <v>12</v>
      </c>
      <c r="M1153" s="43">
        <v>557</v>
      </c>
      <c r="N1153" s="59">
        <v>1.0938000000000001</v>
      </c>
      <c r="O1153" t="s">
        <v>62</v>
      </c>
      <c r="P1153" s="9">
        <v>46106</v>
      </c>
      <c r="Q1153">
        <v>211.71</v>
      </c>
    </row>
    <row r="1154" spans="1:17" x14ac:dyDescent="0.25">
      <c r="A1154" s="12" t="s">
        <v>916</v>
      </c>
      <c r="B1154" s="3" t="str">
        <f t="shared" si="55"/>
        <v>AMZN</v>
      </c>
      <c r="C1154" s="3" t="str">
        <f t="shared" si="56"/>
        <v>260327</v>
      </c>
      <c r="D1154" s="3" t="str">
        <f t="shared" si="57"/>
        <v>C00270000</v>
      </c>
      <c r="E1154" s="44" t="s">
        <v>917</v>
      </c>
      <c r="F1154" s="62">
        <v>270</v>
      </c>
      <c r="G1154" s="43">
        <v>0.01</v>
      </c>
      <c r="H1154" s="43">
        <v>0</v>
      </c>
      <c r="I1154" s="43">
        <v>0.01</v>
      </c>
      <c r="J1154" s="43">
        <v>0</v>
      </c>
      <c r="K1154" s="61">
        <v>0</v>
      </c>
      <c r="L1154" s="43">
        <v>54</v>
      </c>
      <c r="M1154" s="43">
        <v>85</v>
      </c>
      <c r="N1154" s="59">
        <v>1.0625</v>
      </c>
      <c r="O1154" t="s">
        <v>62</v>
      </c>
      <c r="P1154" s="9">
        <v>46106</v>
      </c>
      <c r="Q1154">
        <v>211.71</v>
      </c>
    </row>
    <row r="1155" spans="1:17" x14ac:dyDescent="0.25">
      <c r="A1155" s="12" t="s">
        <v>918</v>
      </c>
      <c r="B1155" s="3" t="str">
        <f t="shared" ref="B1155:B1218" si="58">+MID(A1155,1,4)</f>
        <v>AMZN</v>
      </c>
      <c r="C1155" s="3" t="str">
        <f t="shared" si="56"/>
        <v>260327</v>
      </c>
      <c r="D1155" s="3" t="str">
        <f t="shared" si="57"/>
        <v>C00275000</v>
      </c>
      <c r="E1155" s="44" t="s">
        <v>919</v>
      </c>
      <c r="F1155" s="62">
        <v>275</v>
      </c>
      <c r="G1155" s="43">
        <v>0.01</v>
      </c>
      <c r="H1155" s="43">
        <v>0</v>
      </c>
      <c r="I1155" s="43">
        <v>0.01</v>
      </c>
      <c r="J1155" s="43">
        <v>0</v>
      </c>
      <c r="K1155" s="61">
        <v>0</v>
      </c>
      <c r="L1155" s="43">
        <v>54</v>
      </c>
      <c r="M1155" s="43">
        <v>20</v>
      </c>
      <c r="N1155" s="59">
        <v>1.125</v>
      </c>
      <c r="O1155" t="s">
        <v>62</v>
      </c>
      <c r="P1155" s="9">
        <v>46106</v>
      </c>
      <c r="Q1155">
        <v>211.71</v>
      </c>
    </row>
    <row r="1156" spans="1:17" x14ac:dyDescent="0.25">
      <c r="A1156" s="12" t="s">
        <v>920</v>
      </c>
      <c r="B1156" s="3" t="str">
        <f t="shared" si="58"/>
        <v>AMZN</v>
      </c>
      <c r="C1156" s="3" t="str">
        <f t="shared" si="56"/>
        <v>260327</v>
      </c>
      <c r="D1156" s="3" t="str">
        <f t="shared" si="57"/>
        <v>C00280000</v>
      </c>
      <c r="E1156" s="44" t="s">
        <v>921</v>
      </c>
      <c r="F1156" s="62">
        <v>280</v>
      </c>
      <c r="G1156" s="43">
        <v>0.01</v>
      </c>
      <c r="H1156" s="43">
        <v>0</v>
      </c>
      <c r="I1156" s="43">
        <v>0.05</v>
      </c>
      <c r="J1156" s="43">
        <v>0</v>
      </c>
      <c r="K1156" s="61">
        <v>0</v>
      </c>
      <c r="L1156" s="43">
        <v>54</v>
      </c>
      <c r="M1156" s="43">
        <v>72</v>
      </c>
      <c r="N1156" s="59">
        <v>1.3906000000000001</v>
      </c>
      <c r="O1156" t="s">
        <v>62</v>
      </c>
      <c r="P1156" s="9">
        <v>46106</v>
      </c>
      <c r="Q1156">
        <v>211.71</v>
      </c>
    </row>
    <row r="1157" spans="1:17" x14ac:dyDescent="0.25">
      <c r="A1157" s="12" t="s">
        <v>922</v>
      </c>
      <c r="B1157" s="3" t="str">
        <f t="shared" si="58"/>
        <v>AMZN</v>
      </c>
      <c r="C1157" s="3" t="str">
        <f t="shared" si="56"/>
        <v>260327</v>
      </c>
      <c r="D1157" s="3" t="str">
        <f t="shared" si="57"/>
        <v>C00285000</v>
      </c>
      <c r="E1157" s="44" t="s">
        <v>923</v>
      </c>
      <c r="F1157" s="62">
        <v>285</v>
      </c>
      <c r="G1157" s="43">
        <v>0.05</v>
      </c>
      <c r="H1157" s="43">
        <v>0</v>
      </c>
      <c r="I1157" s="43">
        <v>0.05</v>
      </c>
      <c r="J1157" s="43">
        <v>0</v>
      </c>
      <c r="K1157" s="61">
        <v>0</v>
      </c>
      <c r="L1157" s="43">
        <v>1</v>
      </c>
      <c r="M1157" s="43">
        <v>2</v>
      </c>
      <c r="N1157" s="59">
        <v>1.4688000000000001</v>
      </c>
      <c r="O1157" t="s">
        <v>62</v>
      </c>
      <c r="P1157" s="9">
        <v>46106</v>
      </c>
      <c r="Q1157">
        <v>211.71</v>
      </c>
    </row>
    <row r="1158" spans="1:17" x14ac:dyDescent="0.25">
      <c r="A1158" s="12" t="s">
        <v>924</v>
      </c>
      <c r="B1158" s="3" t="str">
        <f t="shared" si="58"/>
        <v>AMZN</v>
      </c>
      <c r="C1158" s="3" t="str">
        <f t="shared" si="56"/>
        <v>260327</v>
      </c>
      <c r="D1158" s="3" t="str">
        <f t="shared" si="57"/>
        <v>C00290000</v>
      </c>
      <c r="E1158" s="44" t="s">
        <v>925</v>
      </c>
      <c r="F1158" s="62">
        <v>290</v>
      </c>
      <c r="G1158" s="43">
        <v>0.02</v>
      </c>
      <c r="H1158" s="43">
        <v>0</v>
      </c>
      <c r="I1158" s="43">
        <v>0.13</v>
      </c>
      <c r="J1158" s="43">
        <v>-0.01</v>
      </c>
      <c r="K1158" s="61">
        <v>-0.33329999999999999</v>
      </c>
      <c r="L1158" s="43">
        <v>54</v>
      </c>
      <c r="M1158" s="43">
        <v>3</v>
      </c>
      <c r="N1158" s="59">
        <v>1.7109000000000001</v>
      </c>
      <c r="O1158" t="s">
        <v>62</v>
      </c>
      <c r="P1158" s="9">
        <v>46106</v>
      </c>
      <c r="Q1158">
        <v>211.71</v>
      </c>
    </row>
    <row r="1159" spans="1:17" x14ac:dyDescent="0.25">
      <c r="A1159" s="12" t="s">
        <v>926</v>
      </c>
      <c r="B1159" s="3" t="str">
        <f t="shared" si="58"/>
        <v>AMZN</v>
      </c>
      <c r="C1159" s="3" t="str">
        <f t="shared" si="56"/>
        <v>260327</v>
      </c>
      <c r="D1159" s="3" t="str">
        <f t="shared" si="57"/>
        <v>C00295000</v>
      </c>
      <c r="E1159" s="44" t="s">
        <v>927</v>
      </c>
      <c r="F1159" s="62">
        <v>295</v>
      </c>
      <c r="G1159" s="43">
        <v>0.01</v>
      </c>
      <c r="H1159" s="43">
        <v>0</v>
      </c>
      <c r="I1159" s="43">
        <v>0.13</v>
      </c>
      <c r="J1159" s="43">
        <v>-0.02</v>
      </c>
      <c r="K1159" s="61">
        <v>-0.66669999999999996</v>
      </c>
      <c r="L1159" s="43">
        <v>54</v>
      </c>
      <c r="M1159" s="43">
        <v>55</v>
      </c>
      <c r="N1159" s="59">
        <v>1.7890999999999999</v>
      </c>
      <c r="O1159" t="s">
        <v>62</v>
      </c>
      <c r="P1159" s="9">
        <v>46106</v>
      </c>
      <c r="Q1159">
        <v>211.71</v>
      </c>
    </row>
    <row r="1160" spans="1:17" x14ac:dyDescent="0.25">
      <c r="A1160" s="12" t="s">
        <v>928</v>
      </c>
      <c r="B1160" s="3" t="str">
        <f t="shared" si="58"/>
        <v>AMZN</v>
      </c>
      <c r="C1160" s="3" t="str">
        <f t="shared" si="56"/>
        <v>260327</v>
      </c>
      <c r="D1160" s="3" t="str">
        <f t="shared" si="57"/>
        <v>C00300000</v>
      </c>
      <c r="E1160" s="44" t="s">
        <v>929</v>
      </c>
      <c r="F1160" s="62">
        <v>300</v>
      </c>
      <c r="G1160" s="43">
        <v>0.04</v>
      </c>
      <c r="H1160" s="43">
        <v>0</v>
      </c>
      <c r="I1160" s="43">
        <v>0.13</v>
      </c>
      <c r="J1160" s="43">
        <v>0.01</v>
      </c>
      <c r="K1160" s="61">
        <v>0.33329999999999999</v>
      </c>
      <c r="L1160" s="43">
        <v>54</v>
      </c>
      <c r="M1160" s="43">
        <v>33</v>
      </c>
      <c r="N1160" s="59">
        <v>1.8672</v>
      </c>
      <c r="O1160" t="s">
        <v>62</v>
      </c>
      <c r="P1160" s="9">
        <v>46106</v>
      </c>
      <c r="Q1160">
        <v>211.71</v>
      </c>
    </row>
    <row r="1161" spans="1:17" x14ac:dyDescent="0.25">
      <c r="A1161" s="12" t="s">
        <v>930</v>
      </c>
      <c r="B1161" s="3" t="str">
        <f t="shared" si="58"/>
        <v>AMZN</v>
      </c>
      <c r="C1161" s="3" t="str">
        <f t="shared" si="56"/>
        <v>260327</v>
      </c>
      <c r="D1161" s="3" t="str">
        <f t="shared" si="57"/>
        <v>C00305000</v>
      </c>
      <c r="E1161" s="44" t="s">
        <v>890</v>
      </c>
      <c r="F1161" s="62">
        <v>305</v>
      </c>
      <c r="G1161" s="43">
        <v>0.08</v>
      </c>
      <c r="H1161" s="43">
        <v>0</v>
      </c>
      <c r="I1161" s="43">
        <v>0.11</v>
      </c>
      <c r="J1161" s="43">
        <v>0.05</v>
      </c>
      <c r="K1161" s="61">
        <v>1.6667000000000001</v>
      </c>
      <c r="L1161" s="43">
        <v>82</v>
      </c>
      <c r="M1161" s="43">
        <v>2</v>
      </c>
      <c r="N1161" s="59">
        <v>1.9063000000000001</v>
      </c>
      <c r="O1161" t="s">
        <v>62</v>
      </c>
      <c r="P1161" s="9">
        <v>46106</v>
      </c>
      <c r="Q1161">
        <v>211.71</v>
      </c>
    </row>
    <row r="1162" spans="1:17" x14ac:dyDescent="0.25">
      <c r="A1162" s="12" t="s">
        <v>931</v>
      </c>
      <c r="B1162" s="3" t="str">
        <f t="shared" si="58"/>
        <v>AMZN</v>
      </c>
      <c r="C1162" s="3" t="str">
        <f t="shared" si="56"/>
        <v>260327</v>
      </c>
      <c r="D1162" s="3" t="str">
        <f t="shared" si="57"/>
        <v>C00310000</v>
      </c>
      <c r="E1162" s="44" t="s">
        <v>890</v>
      </c>
      <c r="F1162" s="62">
        <v>310</v>
      </c>
      <c r="G1162" s="43">
        <v>0.04</v>
      </c>
      <c r="H1162" s="43">
        <v>0</v>
      </c>
      <c r="I1162" s="43">
        <v>0.13</v>
      </c>
      <c r="J1162" s="43">
        <v>-0.02</v>
      </c>
      <c r="K1162" s="61">
        <v>-0.33329999999999999</v>
      </c>
      <c r="L1162" s="43">
        <v>81</v>
      </c>
      <c r="M1162" s="43">
        <v>79</v>
      </c>
      <c r="N1162" s="59">
        <v>2.0156000000000001</v>
      </c>
      <c r="O1162" t="s">
        <v>62</v>
      </c>
      <c r="P1162" s="9">
        <v>46106</v>
      </c>
      <c r="Q1162">
        <v>211.71</v>
      </c>
    </row>
    <row r="1163" spans="1:17" x14ac:dyDescent="0.25">
      <c r="A1163" s="12" t="s">
        <v>932</v>
      </c>
      <c r="B1163" s="3" t="str">
        <f t="shared" si="58"/>
        <v>AMZN</v>
      </c>
      <c r="C1163" s="3" t="str">
        <f t="shared" si="56"/>
        <v>260327</v>
      </c>
      <c r="D1163" s="3" t="str">
        <f t="shared" si="57"/>
        <v>C00315000</v>
      </c>
      <c r="E1163" s="44" t="s">
        <v>933</v>
      </c>
      <c r="F1163" s="62">
        <v>315</v>
      </c>
      <c r="G1163" s="43">
        <v>0.06</v>
      </c>
      <c r="H1163" s="43">
        <v>0</v>
      </c>
      <c r="I1163" s="43">
        <v>0.13</v>
      </c>
      <c r="J1163" s="43">
        <v>0.03</v>
      </c>
      <c r="K1163" s="61">
        <v>1</v>
      </c>
      <c r="L1163" s="43">
        <v>54</v>
      </c>
      <c r="M1163" s="43">
        <v>4</v>
      </c>
      <c r="N1163" s="59">
        <v>2.0937999999999999</v>
      </c>
      <c r="O1163" t="s">
        <v>62</v>
      </c>
      <c r="P1163" s="9">
        <v>46106</v>
      </c>
      <c r="Q1163">
        <v>211.71</v>
      </c>
    </row>
    <row r="1164" spans="1:17" x14ac:dyDescent="0.25">
      <c r="A1164" s="12" t="s">
        <v>934</v>
      </c>
      <c r="B1164" s="3" t="str">
        <f t="shared" si="58"/>
        <v>AMZN</v>
      </c>
      <c r="C1164" s="3" t="str">
        <f t="shared" si="56"/>
        <v>260327</v>
      </c>
      <c r="D1164" s="3" t="str">
        <f t="shared" si="57"/>
        <v>C00320000</v>
      </c>
      <c r="E1164" s="44" t="s">
        <v>935</v>
      </c>
      <c r="F1164" s="62">
        <v>320</v>
      </c>
      <c r="G1164" s="43">
        <v>0.01</v>
      </c>
      <c r="H1164" s="43">
        <v>0</v>
      </c>
      <c r="I1164" s="43">
        <v>0.13</v>
      </c>
      <c r="J1164" s="43">
        <v>-0.01</v>
      </c>
      <c r="K1164" s="61">
        <v>-0.5</v>
      </c>
      <c r="L1164" s="43">
        <v>54</v>
      </c>
      <c r="M1164" s="43">
        <v>3</v>
      </c>
      <c r="N1164" s="59">
        <v>2.1640999999999999</v>
      </c>
      <c r="O1164" t="s">
        <v>62</v>
      </c>
      <c r="P1164" s="9">
        <v>46106</v>
      </c>
      <c r="Q1164">
        <v>211.71</v>
      </c>
    </row>
    <row r="1165" spans="1:17" x14ac:dyDescent="0.25">
      <c r="A1165" s="12" t="s">
        <v>936</v>
      </c>
      <c r="B1165" s="3" t="str">
        <f t="shared" si="58"/>
        <v>AMZN</v>
      </c>
      <c r="C1165" s="3" t="str">
        <f t="shared" si="56"/>
        <v>260327</v>
      </c>
      <c r="D1165" s="3" t="str">
        <f t="shared" si="57"/>
        <v>C00325000</v>
      </c>
      <c r="E1165" s="44" t="s">
        <v>937</v>
      </c>
      <c r="F1165" s="62">
        <v>325</v>
      </c>
      <c r="G1165" s="43">
        <v>0.01</v>
      </c>
      <c r="H1165" s="43">
        <v>0</v>
      </c>
      <c r="I1165" s="43">
        <v>0.05</v>
      </c>
      <c r="J1165" s="43">
        <v>0</v>
      </c>
      <c r="K1165" s="61">
        <v>0</v>
      </c>
      <c r="L1165" s="43">
        <v>54</v>
      </c>
      <c r="M1165" s="43">
        <v>1</v>
      </c>
      <c r="N1165" s="59">
        <v>2.0312999999999999</v>
      </c>
      <c r="O1165" t="s">
        <v>62</v>
      </c>
      <c r="P1165" s="9">
        <v>46106</v>
      </c>
      <c r="Q1165">
        <v>211.71</v>
      </c>
    </row>
    <row r="1166" spans="1:17" x14ac:dyDescent="0.25">
      <c r="A1166" s="12" t="s">
        <v>938</v>
      </c>
      <c r="B1166" s="3" t="str">
        <f t="shared" si="58"/>
        <v>AMZN</v>
      </c>
      <c r="C1166" s="3" t="str">
        <f t="shared" si="56"/>
        <v>260327</v>
      </c>
      <c r="D1166" s="3" t="str">
        <f t="shared" si="57"/>
        <v>C00330000</v>
      </c>
      <c r="E1166" s="44" t="s">
        <v>939</v>
      </c>
      <c r="F1166" s="62">
        <v>330</v>
      </c>
      <c r="G1166" s="43">
        <v>0.01</v>
      </c>
      <c r="H1166" s="43">
        <v>0</v>
      </c>
      <c r="I1166" s="43">
        <v>0.01</v>
      </c>
      <c r="J1166" s="43">
        <v>0</v>
      </c>
      <c r="K1166" s="61">
        <v>0</v>
      </c>
      <c r="L1166" s="43">
        <v>54</v>
      </c>
      <c r="M1166" s="43">
        <v>1</v>
      </c>
      <c r="N1166" s="59">
        <v>1.8125</v>
      </c>
      <c r="O1166" t="s">
        <v>62</v>
      </c>
      <c r="P1166" s="9">
        <v>46106</v>
      </c>
      <c r="Q1166">
        <v>211.71</v>
      </c>
    </row>
    <row r="1167" spans="1:17" x14ac:dyDescent="0.25">
      <c r="A1167" s="12" t="s">
        <v>940</v>
      </c>
      <c r="B1167" s="3" t="str">
        <f t="shared" si="58"/>
        <v>AMZN</v>
      </c>
      <c r="C1167" s="3" t="str">
        <f t="shared" si="56"/>
        <v>260327</v>
      </c>
      <c r="D1167" s="3" t="str">
        <f t="shared" si="57"/>
        <v>C00335000</v>
      </c>
      <c r="E1167" s="44" t="s">
        <v>941</v>
      </c>
      <c r="F1167" s="62">
        <v>335</v>
      </c>
      <c r="G1167" s="43">
        <v>0.01</v>
      </c>
      <c r="H1167" s="43">
        <v>0</v>
      </c>
      <c r="I1167" s="43">
        <v>0.01</v>
      </c>
      <c r="J1167" s="43">
        <v>0</v>
      </c>
      <c r="K1167" s="61">
        <v>0</v>
      </c>
      <c r="L1167" s="43">
        <v>1</v>
      </c>
      <c r="M1167" s="43">
        <v>7</v>
      </c>
      <c r="N1167" s="59">
        <v>1.875</v>
      </c>
      <c r="O1167" t="s">
        <v>62</v>
      </c>
      <c r="P1167" s="9">
        <v>46106</v>
      </c>
      <c r="Q1167">
        <v>211.71</v>
      </c>
    </row>
    <row r="1168" spans="1:17" x14ac:dyDescent="0.25">
      <c r="A1168" s="12" t="s">
        <v>942</v>
      </c>
      <c r="B1168" s="3" t="str">
        <f t="shared" si="58"/>
        <v>AMZN</v>
      </c>
      <c r="C1168" s="3" t="str">
        <f t="shared" si="56"/>
        <v>260327</v>
      </c>
      <c r="D1168" s="3" t="str">
        <f t="shared" si="57"/>
        <v>P00125000</v>
      </c>
      <c r="E1168" s="63" t="s">
        <v>943</v>
      </c>
      <c r="F1168" s="13">
        <v>125</v>
      </c>
      <c r="G1168" s="63">
        <v>0.01</v>
      </c>
      <c r="H1168" s="63">
        <v>0</v>
      </c>
      <c r="I1168" s="63">
        <v>0.01</v>
      </c>
      <c r="J1168" s="63">
        <v>0</v>
      </c>
      <c r="K1168" s="68">
        <v>0</v>
      </c>
      <c r="L1168" s="63">
        <v>1</v>
      </c>
      <c r="M1168" s="66">
        <v>1030</v>
      </c>
      <c r="N1168" s="67">
        <v>2.25</v>
      </c>
      <c r="O1168" t="s">
        <v>65</v>
      </c>
      <c r="P1168" s="9">
        <v>46106</v>
      </c>
      <c r="Q1168">
        <v>211.71</v>
      </c>
    </row>
    <row r="1169" spans="1:17" x14ac:dyDescent="0.25">
      <c r="A1169" s="12" t="s">
        <v>944</v>
      </c>
      <c r="B1169" s="3" t="str">
        <f t="shared" si="58"/>
        <v>AMZN</v>
      </c>
      <c r="C1169" s="3" t="str">
        <f t="shared" si="56"/>
        <v>260327</v>
      </c>
      <c r="D1169" s="3" t="str">
        <f t="shared" si="57"/>
        <v>P00130000</v>
      </c>
      <c r="E1169" s="63" t="s">
        <v>945</v>
      </c>
      <c r="F1169" s="13">
        <v>130</v>
      </c>
      <c r="G1169" s="63">
        <v>0.01</v>
      </c>
      <c r="H1169" s="63">
        <v>0</v>
      </c>
      <c r="I1169" s="63">
        <v>0.01</v>
      </c>
      <c r="J1169" s="63">
        <v>0</v>
      </c>
      <c r="K1169" s="68">
        <v>0</v>
      </c>
      <c r="L1169" s="63">
        <v>4</v>
      </c>
      <c r="M1169" s="63">
        <v>191</v>
      </c>
      <c r="N1169" s="67">
        <v>2.0625</v>
      </c>
      <c r="O1169" t="s">
        <v>65</v>
      </c>
      <c r="P1169" s="9">
        <v>46106</v>
      </c>
      <c r="Q1169">
        <v>211.71</v>
      </c>
    </row>
    <row r="1170" spans="1:17" x14ac:dyDescent="0.25">
      <c r="A1170" s="12" t="s">
        <v>946</v>
      </c>
      <c r="B1170" s="3" t="str">
        <f t="shared" si="58"/>
        <v>AMZN</v>
      </c>
      <c r="C1170" s="3" t="str">
        <f t="shared" si="56"/>
        <v>260327</v>
      </c>
      <c r="D1170" s="3" t="str">
        <f t="shared" si="57"/>
        <v>P00135000</v>
      </c>
      <c r="E1170" s="63" t="s">
        <v>903</v>
      </c>
      <c r="F1170" s="13">
        <v>135</v>
      </c>
      <c r="G1170" s="63">
        <v>0.01</v>
      </c>
      <c r="H1170" s="63">
        <v>0</v>
      </c>
      <c r="I1170" s="63">
        <v>0.01</v>
      </c>
      <c r="J1170" s="63">
        <v>0</v>
      </c>
      <c r="K1170" s="68">
        <v>0</v>
      </c>
      <c r="L1170" s="63">
        <v>2</v>
      </c>
      <c r="M1170" s="63">
        <v>32</v>
      </c>
      <c r="N1170" s="67">
        <v>1.9375</v>
      </c>
      <c r="O1170" t="s">
        <v>65</v>
      </c>
      <c r="P1170" s="9">
        <v>46106</v>
      </c>
      <c r="Q1170">
        <v>211.71</v>
      </c>
    </row>
    <row r="1171" spans="1:17" x14ac:dyDescent="0.25">
      <c r="A1171" s="12" t="s">
        <v>947</v>
      </c>
      <c r="B1171" s="3" t="str">
        <f t="shared" si="58"/>
        <v>AMZN</v>
      </c>
      <c r="C1171" s="3" t="str">
        <f t="shared" si="56"/>
        <v>260327</v>
      </c>
      <c r="D1171" s="3" t="str">
        <f t="shared" si="57"/>
        <v>P00140000</v>
      </c>
      <c r="E1171" s="69">
        <v>46298.539583333331</v>
      </c>
      <c r="F1171" s="13">
        <v>140</v>
      </c>
      <c r="G1171" s="63">
        <v>0.04</v>
      </c>
      <c r="H1171" s="63">
        <v>0</v>
      </c>
      <c r="I1171" s="63">
        <v>0.26</v>
      </c>
      <c r="J1171" s="63">
        <v>0</v>
      </c>
      <c r="K1171" s="68">
        <v>0</v>
      </c>
      <c r="L1171" s="63">
        <v>2</v>
      </c>
      <c r="M1171" s="63">
        <v>30</v>
      </c>
      <c r="N1171" s="67">
        <v>2.4765999999999999</v>
      </c>
      <c r="O1171" t="s">
        <v>65</v>
      </c>
      <c r="P1171" s="9">
        <v>46106</v>
      </c>
      <c r="Q1171">
        <v>211.71</v>
      </c>
    </row>
    <row r="1172" spans="1:17" x14ac:dyDescent="0.25">
      <c r="A1172" s="12" t="s">
        <v>948</v>
      </c>
      <c r="B1172" s="3" t="str">
        <f t="shared" si="58"/>
        <v>AMZN</v>
      </c>
      <c r="C1172" s="3" t="str">
        <f t="shared" si="56"/>
        <v>260327</v>
      </c>
      <c r="D1172" s="3" t="str">
        <f t="shared" si="57"/>
        <v>P00145000</v>
      </c>
      <c r="E1172" s="63" t="s">
        <v>949</v>
      </c>
      <c r="F1172" s="13">
        <v>145</v>
      </c>
      <c r="G1172" s="63">
        <v>0.01</v>
      </c>
      <c r="H1172" s="63">
        <v>0</v>
      </c>
      <c r="I1172" s="63">
        <v>0.01</v>
      </c>
      <c r="J1172" s="63">
        <v>0</v>
      </c>
      <c r="K1172" s="68">
        <v>0</v>
      </c>
      <c r="L1172" s="63">
        <v>5</v>
      </c>
      <c r="M1172" s="63">
        <v>92</v>
      </c>
      <c r="N1172" s="67">
        <v>1.625</v>
      </c>
      <c r="O1172" t="s">
        <v>65</v>
      </c>
      <c r="P1172" s="9">
        <v>46106</v>
      </c>
      <c r="Q1172">
        <v>211.71</v>
      </c>
    </row>
    <row r="1173" spans="1:17" x14ac:dyDescent="0.25">
      <c r="A1173" s="12" t="s">
        <v>950</v>
      </c>
      <c r="B1173" s="3" t="str">
        <f t="shared" si="58"/>
        <v>AMZN</v>
      </c>
      <c r="C1173" s="3" t="str">
        <f t="shared" si="56"/>
        <v>260327</v>
      </c>
      <c r="D1173" s="3" t="str">
        <f t="shared" si="57"/>
        <v>P00150000</v>
      </c>
      <c r="E1173" s="63" t="s">
        <v>951</v>
      </c>
      <c r="F1173" s="13">
        <v>150</v>
      </c>
      <c r="G1173" s="63">
        <v>0.01</v>
      </c>
      <c r="H1173" s="63">
        <v>0</v>
      </c>
      <c r="I1173" s="63">
        <v>0.01</v>
      </c>
      <c r="J1173" s="63">
        <v>0</v>
      </c>
      <c r="K1173" s="68">
        <v>0</v>
      </c>
      <c r="L1173" s="63">
        <v>2</v>
      </c>
      <c r="M1173" s="66">
        <v>1819</v>
      </c>
      <c r="N1173" s="67">
        <v>1.5</v>
      </c>
      <c r="O1173" t="s">
        <v>65</v>
      </c>
      <c r="P1173" s="9">
        <v>46106</v>
      </c>
      <c r="Q1173">
        <v>211.71</v>
      </c>
    </row>
    <row r="1174" spans="1:17" x14ac:dyDescent="0.25">
      <c r="A1174" s="12" t="s">
        <v>952</v>
      </c>
      <c r="B1174" s="3" t="str">
        <f t="shared" si="58"/>
        <v>AMZN</v>
      </c>
      <c r="C1174" s="3" t="str">
        <f t="shared" si="56"/>
        <v>260327</v>
      </c>
      <c r="D1174" s="3" t="str">
        <f t="shared" si="57"/>
        <v>P00155000</v>
      </c>
      <c r="E1174" s="63" t="s">
        <v>953</v>
      </c>
      <c r="F1174" s="13">
        <v>155</v>
      </c>
      <c r="G1174" s="63">
        <v>0.01</v>
      </c>
      <c r="H1174" s="63">
        <v>0</v>
      </c>
      <c r="I1174" s="63">
        <v>0.01</v>
      </c>
      <c r="J1174" s="63">
        <v>0</v>
      </c>
      <c r="K1174" s="68">
        <v>0</v>
      </c>
      <c r="L1174" s="63">
        <v>204</v>
      </c>
      <c r="M1174" s="66">
        <v>3249</v>
      </c>
      <c r="N1174" s="67">
        <v>1.375</v>
      </c>
      <c r="O1174" t="s">
        <v>65</v>
      </c>
      <c r="P1174" s="9">
        <v>46106</v>
      </c>
      <c r="Q1174">
        <v>211.71</v>
      </c>
    </row>
    <row r="1175" spans="1:17" x14ac:dyDescent="0.25">
      <c r="A1175" s="12" t="s">
        <v>954</v>
      </c>
      <c r="B1175" s="3" t="str">
        <f t="shared" si="58"/>
        <v>AMZN</v>
      </c>
      <c r="C1175" s="3" t="str">
        <f t="shared" si="56"/>
        <v>260327</v>
      </c>
      <c r="D1175" s="3" t="str">
        <f t="shared" si="57"/>
        <v>P00160000</v>
      </c>
      <c r="E1175" s="63" t="s">
        <v>955</v>
      </c>
      <c r="F1175" s="13">
        <v>160</v>
      </c>
      <c r="G1175" s="63">
        <v>0.02</v>
      </c>
      <c r="H1175" s="63">
        <v>0</v>
      </c>
      <c r="I1175" s="63">
        <v>0.01</v>
      </c>
      <c r="J1175" s="70">
        <v>0.01</v>
      </c>
      <c r="K1175" s="71">
        <v>1</v>
      </c>
      <c r="L1175" s="63">
        <v>10</v>
      </c>
      <c r="M1175" s="66">
        <v>6344</v>
      </c>
      <c r="N1175" s="67">
        <v>1.25</v>
      </c>
      <c r="O1175" t="s">
        <v>65</v>
      </c>
      <c r="P1175" s="9">
        <v>46106</v>
      </c>
      <c r="Q1175">
        <v>211.71</v>
      </c>
    </row>
    <row r="1176" spans="1:17" x14ac:dyDescent="0.25">
      <c r="A1176" s="12" t="s">
        <v>956</v>
      </c>
      <c r="B1176" s="3" t="str">
        <f t="shared" si="58"/>
        <v>AMZN</v>
      </c>
      <c r="C1176" s="3" t="str">
        <f t="shared" si="56"/>
        <v>260327</v>
      </c>
      <c r="D1176" s="3" t="str">
        <f t="shared" si="57"/>
        <v>P00165000</v>
      </c>
      <c r="E1176" s="63" t="s">
        <v>957</v>
      </c>
      <c r="F1176" s="13">
        <v>165</v>
      </c>
      <c r="G1176" s="63">
        <v>0.01</v>
      </c>
      <c r="H1176" s="63">
        <v>0</v>
      </c>
      <c r="I1176" s="63">
        <v>0.01</v>
      </c>
      <c r="J1176" s="63">
        <v>0</v>
      </c>
      <c r="K1176" s="68">
        <v>0</v>
      </c>
      <c r="L1176" s="63">
        <v>11</v>
      </c>
      <c r="M1176" s="66">
        <v>1958</v>
      </c>
      <c r="N1176" s="67">
        <v>1.0938000000000001</v>
      </c>
      <c r="O1176" t="s">
        <v>65</v>
      </c>
      <c r="P1176" s="9">
        <v>46106</v>
      </c>
      <c r="Q1176">
        <v>211.71</v>
      </c>
    </row>
    <row r="1177" spans="1:17" x14ac:dyDescent="0.25">
      <c r="A1177" s="12" t="s">
        <v>958</v>
      </c>
      <c r="B1177" s="3" t="str">
        <f t="shared" si="58"/>
        <v>AMZN</v>
      </c>
      <c r="C1177" s="3" t="str">
        <f t="shared" si="56"/>
        <v>260327</v>
      </c>
      <c r="D1177" s="3" t="str">
        <f t="shared" si="57"/>
        <v>P00170000</v>
      </c>
      <c r="E1177" s="63" t="s">
        <v>959</v>
      </c>
      <c r="F1177" s="13">
        <v>170</v>
      </c>
      <c r="G1177" s="63">
        <v>0.01</v>
      </c>
      <c r="H1177" s="63">
        <v>0</v>
      </c>
      <c r="I1177" s="63">
        <v>0.01</v>
      </c>
      <c r="J1177" s="63">
        <v>0</v>
      </c>
      <c r="K1177" s="68">
        <v>0</v>
      </c>
      <c r="L1177" s="63">
        <v>55</v>
      </c>
      <c r="M1177" s="66">
        <v>4438</v>
      </c>
      <c r="N1177" s="67">
        <v>0.96879999999999999</v>
      </c>
      <c r="O1177" t="s">
        <v>65</v>
      </c>
      <c r="P1177" s="9">
        <v>46106</v>
      </c>
      <c r="Q1177">
        <v>211.71</v>
      </c>
    </row>
    <row r="1178" spans="1:17" x14ac:dyDescent="0.25">
      <c r="A1178" s="12" t="s">
        <v>960</v>
      </c>
      <c r="B1178" s="3" t="str">
        <f t="shared" si="58"/>
        <v>AMZN</v>
      </c>
      <c r="C1178" s="3" t="str">
        <f t="shared" si="56"/>
        <v>260327</v>
      </c>
      <c r="D1178" s="3" t="str">
        <f t="shared" si="57"/>
        <v>P00175000</v>
      </c>
      <c r="E1178" s="63" t="s">
        <v>849</v>
      </c>
      <c r="F1178" s="13">
        <v>175</v>
      </c>
      <c r="G1178" s="63">
        <v>0.01</v>
      </c>
      <c r="H1178" s="63">
        <v>0</v>
      </c>
      <c r="I1178" s="63">
        <v>0.02</v>
      </c>
      <c r="J1178" s="64">
        <v>-0.01</v>
      </c>
      <c r="K1178" s="65">
        <v>-0.5</v>
      </c>
      <c r="L1178" s="63">
        <v>662</v>
      </c>
      <c r="M1178" s="66">
        <v>2227</v>
      </c>
      <c r="N1178" s="67">
        <v>0.92190000000000005</v>
      </c>
      <c r="O1178" t="s">
        <v>65</v>
      </c>
      <c r="P1178" s="9">
        <v>46106</v>
      </c>
      <c r="Q1178">
        <v>211.71</v>
      </c>
    </row>
    <row r="1179" spans="1:17" x14ac:dyDescent="0.25">
      <c r="A1179" s="12" t="s">
        <v>961</v>
      </c>
      <c r="B1179" s="3" t="str">
        <f t="shared" si="58"/>
        <v>AMZN</v>
      </c>
      <c r="C1179" s="3" t="str">
        <f t="shared" si="56"/>
        <v>260327</v>
      </c>
      <c r="D1179" s="3" t="str">
        <f t="shared" si="57"/>
        <v>P00177500</v>
      </c>
      <c r="E1179" s="63" t="s">
        <v>849</v>
      </c>
      <c r="F1179" s="13">
        <v>177.5</v>
      </c>
      <c r="G1179" s="63">
        <v>0.01</v>
      </c>
      <c r="H1179" s="63">
        <v>0</v>
      </c>
      <c r="I1179" s="63">
        <v>7.0000000000000007E-2</v>
      </c>
      <c r="J1179" s="64">
        <v>-0.01</v>
      </c>
      <c r="K1179" s="65">
        <v>-0.5</v>
      </c>
      <c r="L1179" s="63">
        <v>235</v>
      </c>
      <c r="M1179" s="63">
        <v>772</v>
      </c>
      <c r="N1179" s="67">
        <v>0.98050000000000004</v>
      </c>
      <c r="O1179" t="s">
        <v>65</v>
      </c>
      <c r="P1179" s="9">
        <v>46106</v>
      </c>
      <c r="Q1179">
        <v>211.71</v>
      </c>
    </row>
    <row r="1180" spans="1:17" x14ac:dyDescent="0.25">
      <c r="A1180" s="12" t="s">
        <v>962</v>
      </c>
      <c r="B1180" s="3" t="str">
        <f t="shared" si="58"/>
        <v>AMZN</v>
      </c>
      <c r="C1180" s="3" t="str">
        <f t="shared" si="56"/>
        <v>260327</v>
      </c>
      <c r="D1180" s="3" t="str">
        <f t="shared" si="57"/>
        <v>P00180000</v>
      </c>
      <c r="E1180" s="63" t="s">
        <v>963</v>
      </c>
      <c r="F1180" s="13">
        <v>180</v>
      </c>
      <c r="G1180" s="63">
        <v>0.01</v>
      </c>
      <c r="H1180" s="63">
        <v>0.01</v>
      </c>
      <c r="I1180" s="63">
        <v>0.02</v>
      </c>
      <c r="J1180" s="64">
        <v>-0.01</v>
      </c>
      <c r="K1180" s="65">
        <v>-0.5</v>
      </c>
      <c r="L1180" s="63">
        <v>599</v>
      </c>
      <c r="M1180" s="66">
        <v>3203</v>
      </c>
      <c r="N1180" s="67">
        <v>0.82809999999999995</v>
      </c>
      <c r="O1180" t="s">
        <v>65</v>
      </c>
      <c r="P1180" s="9">
        <v>46106</v>
      </c>
      <c r="Q1180">
        <v>211.71</v>
      </c>
    </row>
    <row r="1181" spans="1:17" x14ac:dyDescent="0.25">
      <c r="A1181" s="12" t="s">
        <v>964</v>
      </c>
      <c r="B1181" s="3" t="str">
        <f t="shared" si="58"/>
        <v>AMZN</v>
      </c>
      <c r="C1181" s="3" t="str">
        <f t="shared" si="56"/>
        <v>260327</v>
      </c>
      <c r="D1181" s="3" t="str">
        <f t="shared" si="57"/>
        <v>P00182500</v>
      </c>
      <c r="E1181" s="63" t="s">
        <v>965</v>
      </c>
      <c r="F1181" s="13">
        <v>182.5</v>
      </c>
      <c r="G1181" s="63">
        <v>0.02</v>
      </c>
      <c r="H1181" s="63">
        <v>0.01</v>
      </c>
      <c r="I1181" s="63">
        <v>0.02</v>
      </c>
      <c r="J1181" s="63">
        <v>0</v>
      </c>
      <c r="K1181" s="68">
        <v>0</v>
      </c>
      <c r="L1181" s="63">
        <v>13</v>
      </c>
      <c r="M1181" s="66">
        <v>1011</v>
      </c>
      <c r="N1181" s="67">
        <v>0.76559999999999995</v>
      </c>
      <c r="O1181" t="s">
        <v>65</v>
      </c>
      <c r="P1181" s="9">
        <v>46106</v>
      </c>
      <c r="Q1181">
        <v>211.71</v>
      </c>
    </row>
    <row r="1182" spans="1:17" x14ac:dyDescent="0.25">
      <c r="A1182" s="12" t="s">
        <v>966</v>
      </c>
      <c r="B1182" s="3" t="str">
        <f t="shared" si="58"/>
        <v>AMZN</v>
      </c>
      <c r="C1182" s="3" t="str">
        <f t="shared" si="56"/>
        <v>260327</v>
      </c>
      <c r="D1182" s="3" t="str">
        <f t="shared" si="57"/>
        <v>P00185000</v>
      </c>
      <c r="E1182" s="63" t="s">
        <v>967</v>
      </c>
      <c r="F1182" s="13">
        <v>185</v>
      </c>
      <c r="G1182" s="63">
        <v>0.01</v>
      </c>
      <c r="H1182" s="63">
        <v>0.01</v>
      </c>
      <c r="I1182" s="63">
        <v>0.02</v>
      </c>
      <c r="J1182" s="64">
        <v>-0.03</v>
      </c>
      <c r="K1182" s="65">
        <v>-0.75</v>
      </c>
      <c r="L1182" s="63">
        <v>227</v>
      </c>
      <c r="M1182" s="66">
        <v>4781</v>
      </c>
      <c r="N1182" s="67">
        <v>0.70309999999999995</v>
      </c>
      <c r="O1182" t="s">
        <v>65</v>
      </c>
      <c r="P1182" s="9">
        <v>46106</v>
      </c>
      <c r="Q1182">
        <v>211.71</v>
      </c>
    </row>
    <row r="1183" spans="1:17" x14ac:dyDescent="0.25">
      <c r="A1183" s="12" t="s">
        <v>968</v>
      </c>
      <c r="B1183" s="3" t="str">
        <f t="shared" si="58"/>
        <v>AMZN</v>
      </c>
      <c r="C1183" s="3" t="str">
        <f t="shared" si="56"/>
        <v>260327</v>
      </c>
      <c r="D1183" s="3" t="str">
        <f t="shared" si="57"/>
        <v>P00187500</v>
      </c>
      <c r="E1183" s="63" t="s">
        <v>969</v>
      </c>
      <c r="F1183" s="13">
        <v>187.5</v>
      </c>
      <c r="G1183" s="63">
        <v>0.02</v>
      </c>
      <c r="H1183" s="63">
        <v>0.02</v>
      </c>
      <c r="I1183" s="63">
        <v>0.03</v>
      </c>
      <c r="J1183" s="64">
        <v>-0.03</v>
      </c>
      <c r="K1183" s="65">
        <v>-0.6</v>
      </c>
      <c r="L1183" s="63">
        <v>54</v>
      </c>
      <c r="M1183" s="66">
        <v>4031</v>
      </c>
      <c r="N1183" s="67">
        <v>0.67579999999999996</v>
      </c>
      <c r="O1183" t="s">
        <v>65</v>
      </c>
      <c r="P1183" s="9">
        <v>46106</v>
      </c>
      <c r="Q1183">
        <v>211.71</v>
      </c>
    </row>
    <row r="1184" spans="1:17" x14ac:dyDescent="0.25">
      <c r="A1184" s="12" t="s">
        <v>970</v>
      </c>
      <c r="B1184" s="3" t="str">
        <f t="shared" si="58"/>
        <v>AMZN</v>
      </c>
      <c r="C1184" s="3" t="str">
        <f t="shared" si="56"/>
        <v>260327</v>
      </c>
      <c r="D1184" s="3" t="str">
        <f t="shared" si="57"/>
        <v>P00190000</v>
      </c>
      <c r="E1184" s="63" t="s">
        <v>879</v>
      </c>
      <c r="F1184" s="13">
        <v>190</v>
      </c>
      <c r="G1184" s="63">
        <v>0.03</v>
      </c>
      <c r="H1184" s="63">
        <v>0.03</v>
      </c>
      <c r="I1184" s="63">
        <v>0.04</v>
      </c>
      <c r="J1184" s="64">
        <v>-0.05</v>
      </c>
      <c r="K1184" s="65">
        <v>-0.625</v>
      </c>
      <c r="L1184" s="63">
        <v>420</v>
      </c>
      <c r="M1184" s="66">
        <v>9096</v>
      </c>
      <c r="N1184" s="67">
        <v>0.63670000000000004</v>
      </c>
      <c r="O1184" t="s">
        <v>65</v>
      </c>
      <c r="P1184" s="9">
        <v>46106</v>
      </c>
      <c r="Q1184">
        <v>211.71</v>
      </c>
    </row>
    <row r="1185" spans="1:17" x14ac:dyDescent="0.25">
      <c r="A1185" s="12" t="s">
        <v>971</v>
      </c>
      <c r="B1185" s="3" t="str">
        <f t="shared" si="58"/>
        <v>AMZN</v>
      </c>
      <c r="C1185" s="3" t="str">
        <f t="shared" si="56"/>
        <v>260327</v>
      </c>
      <c r="D1185" s="3" t="str">
        <f t="shared" si="57"/>
        <v>P00192500</v>
      </c>
      <c r="E1185" s="63" t="s">
        <v>879</v>
      </c>
      <c r="F1185" s="13">
        <v>192.5</v>
      </c>
      <c r="G1185" s="63">
        <v>0.04</v>
      </c>
      <c r="H1185" s="63">
        <v>0.04</v>
      </c>
      <c r="I1185" s="63">
        <v>0.05</v>
      </c>
      <c r="J1185" s="64">
        <v>-0.1</v>
      </c>
      <c r="K1185" s="65">
        <v>-0.71430000000000005</v>
      </c>
      <c r="L1185" s="63">
        <v>752</v>
      </c>
      <c r="M1185" s="66">
        <v>3184</v>
      </c>
      <c r="N1185" s="67">
        <v>0.58979999999999999</v>
      </c>
      <c r="O1185" t="s">
        <v>65</v>
      </c>
      <c r="P1185" s="9">
        <v>46106</v>
      </c>
      <c r="Q1185">
        <v>211.71</v>
      </c>
    </row>
    <row r="1186" spans="1:17" x14ac:dyDescent="0.25">
      <c r="A1186" s="12" t="s">
        <v>972</v>
      </c>
      <c r="B1186" s="3" t="str">
        <f t="shared" si="58"/>
        <v>AMZN</v>
      </c>
      <c r="C1186" s="3" t="str">
        <f t="shared" si="56"/>
        <v>260327</v>
      </c>
      <c r="D1186" s="3" t="str">
        <f t="shared" si="57"/>
        <v>P00195000</v>
      </c>
      <c r="E1186" s="63" t="s">
        <v>973</v>
      </c>
      <c r="F1186" s="13">
        <v>195</v>
      </c>
      <c r="G1186" s="63">
        <v>0.05</v>
      </c>
      <c r="H1186" s="63">
        <v>0.05</v>
      </c>
      <c r="I1186" s="63">
        <v>0.06</v>
      </c>
      <c r="J1186" s="64">
        <v>-0.2</v>
      </c>
      <c r="K1186" s="65">
        <v>-0.8</v>
      </c>
      <c r="L1186" s="66">
        <v>1528</v>
      </c>
      <c r="M1186" s="66">
        <v>5990</v>
      </c>
      <c r="N1186" s="67">
        <v>0.53520000000000001</v>
      </c>
      <c r="O1186" t="s">
        <v>65</v>
      </c>
      <c r="P1186" s="9">
        <v>46106</v>
      </c>
      <c r="Q1186">
        <v>211.71</v>
      </c>
    </row>
    <row r="1187" spans="1:17" x14ac:dyDescent="0.25">
      <c r="A1187" s="12" t="s">
        <v>974</v>
      </c>
      <c r="B1187" s="3" t="str">
        <f t="shared" si="58"/>
        <v>AMZN</v>
      </c>
      <c r="C1187" s="3" t="str">
        <f t="shared" si="56"/>
        <v>260327</v>
      </c>
      <c r="D1187" s="3" t="str">
        <f t="shared" si="57"/>
        <v>P00197500</v>
      </c>
      <c r="E1187" s="63" t="s">
        <v>890</v>
      </c>
      <c r="F1187" s="13">
        <v>197.5</v>
      </c>
      <c r="G1187" s="63">
        <v>7.0000000000000007E-2</v>
      </c>
      <c r="H1187" s="63">
        <v>7.0000000000000007E-2</v>
      </c>
      <c r="I1187" s="63">
        <v>0.09</v>
      </c>
      <c r="J1187" s="64">
        <v>-0.36</v>
      </c>
      <c r="K1187" s="65">
        <v>-0.83720000000000006</v>
      </c>
      <c r="L1187" s="66">
        <v>1951</v>
      </c>
      <c r="M1187" s="66">
        <v>4113</v>
      </c>
      <c r="N1187" s="67">
        <v>0.502</v>
      </c>
      <c r="O1187" t="s">
        <v>65</v>
      </c>
      <c r="P1187" s="9">
        <v>46106</v>
      </c>
      <c r="Q1187">
        <v>211.71</v>
      </c>
    </row>
    <row r="1188" spans="1:17" x14ac:dyDescent="0.25">
      <c r="A1188" s="12" t="s">
        <v>975</v>
      </c>
      <c r="B1188" s="3" t="str">
        <f t="shared" si="58"/>
        <v>AMZN</v>
      </c>
      <c r="C1188" s="3" t="str">
        <f t="shared" si="56"/>
        <v>260327</v>
      </c>
      <c r="D1188" s="3" t="str">
        <f t="shared" si="57"/>
        <v>P00200000</v>
      </c>
      <c r="E1188" s="63" t="s">
        <v>890</v>
      </c>
      <c r="F1188" s="13">
        <v>200</v>
      </c>
      <c r="G1188" s="63">
        <v>0.11</v>
      </c>
      <c r="H1188" s="63">
        <v>0.1</v>
      </c>
      <c r="I1188" s="63">
        <v>0.12</v>
      </c>
      <c r="J1188" s="64">
        <v>-0.62</v>
      </c>
      <c r="K1188" s="65">
        <v>-0.84930000000000005</v>
      </c>
      <c r="L1188" s="66">
        <v>2772</v>
      </c>
      <c r="M1188" s="66">
        <v>11366</v>
      </c>
      <c r="N1188" s="67">
        <v>0.44729999999999998</v>
      </c>
      <c r="O1188" t="s">
        <v>65</v>
      </c>
      <c r="P1188" s="9">
        <v>46106</v>
      </c>
      <c r="Q1188">
        <v>211.71</v>
      </c>
    </row>
    <row r="1189" spans="1:17" x14ac:dyDescent="0.25">
      <c r="A1189" s="12" t="s">
        <v>976</v>
      </c>
      <c r="B1189" s="3" t="str">
        <f t="shared" si="58"/>
        <v>AMZN</v>
      </c>
      <c r="C1189" s="3" t="str">
        <f t="shared" si="56"/>
        <v>260327</v>
      </c>
      <c r="D1189" s="3" t="str">
        <f t="shared" si="57"/>
        <v>P00202500</v>
      </c>
      <c r="E1189" s="63" t="s">
        <v>890</v>
      </c>
      <c r="F1189" s="13">
        <v>202.5</v>
      </c>
      <c r="G1189" s="63">
        <v>0.2</v>
      </c>
      <c r="H1189" s="63">
        <v>0.19</v>
      </c>
      <c r="I1189" s="63">
        <v>0.2</v>
      </c>
      <c r="J1189" s="64">
        <v>-0.98</v>
      </c>
      <c r="K1189" s="65">
        <v>-0.83050000000000002</v>
      </c>
      <c r="L1189" s="66">
        <v>5523</v>
      </c>
      <c r="M1189" s="66">
        <v>3462</v>
      </c>
      <c r="N1189" s="67">
        <v>0.41020000000000001</v>
      </c>
      <c r="O1189" t="s">
        <v>65</v>
      </c>
      <c r="P1189" s="9">
        <v>46106</v>
      </c>
      <c r="Q1189">
        <v>211.71</v>
      </c>
    </row>
    <row r="1190" spans="1:17" x14ac:dyDescent="0.25">
      <c r="A1190" s="12" t="s">
        <v>977</v>
      </c>
      <c r="B1190" s="3" t="str">
        <f t="shared" si="58"/>
        <v>AMZN</v>
      </c>
      <c r="C1190" s="3" t="str">
        <f t="shared" si="56"/>
        <v>260327</v>
      </c>
      <c r="D1190" s="3" t="str">
        <f t="shared" si="57"/>
        <v>P00205000</v>
      </c>
      <c r="E1190" s="63" t="s">
        <v>890</v>
      </c>
      <c r="F1190" s="13">
        <v>205</v>
      </c>
      <c r="G1190" s="63">
        <v>0.37</v>
      </c>
      <c r="H1190" s="63">
        <v>0.36</v>
      </c>
      <c r="I1190" s="63">
        <v>0.37</v>
      </c>
      <c r="J1190" s="64">
        <v>-1.52</v>
      </c>
      <c r="K1190" s="65">
        <v>-0.80420000000000003</v>
      </c>
      <c r="L1190" s="66">
        <v>5216</v>
      </c>
      <c r="M1190" s="66">
        <v>5470</v>
      </c>
      <c r="N1190" s="67">
        <v>0.38090000000000002</v>
      </c>
      <c r="O1190" t="s">
        <v>65</v>
      </c>
      <c r="P1190" s="9">
        <v>46106</v>
      </c>
      <c r="Q1190">
        <v>211.71</v>
      </c>
    </row>
    <row r="1191" spans="1:17" x14ac:dyDescent="0.25">
      <c r="A1191" s="12" t="s">
        <v>978</v>
      </c>
      <c r="B1191" s="3" t="str">
        <f t="shared" si="58"/>
        <v>AMZN</v>
      </c>
      <c r="C1191" s="3" t="str">
        <f t="shared" si="56"/>
        <v>260327</v>
      </c>
      <c r="D1191" s="3" t="str">
        <f t="shared" si="57"/>
        <v>P00207500</v>
      </c>
      <c r="E1191" s="63" t="s">
        <v>890</v>
      </c>
      <c r="F1191" s="13">
        <v>207.5</v>
      </c>
      <c r="G1191" s="63">
        <v>0.74</v>
      </c>
      <c r="H1191" s="63">
        <v>0.73</v>
      </c>
      <c r="I1191" s="63">
        <v>0.76</v>
      </c>
      <c r="J1191" s="64">
        <v>-2.25</v>
      </c>
      <c r="K1191" s="65">
        <v>-0.75249999999999995</v>
      </c>
      <c r="L1191" s="66">
        <v>4886</v>
      </c>
      <c r="M1191" s="66">
        <v>4995</v>
      </c>
      <c r="N1191" s="67">
        <v>0.36670000000000003</v>
      </c>
      <c r="O1191" t="s">
        <v>65</v>
      </c>
      <c r="P1191" s="9">
        <v>46106</v>
      </c>
      <c r="Q1191">
        <v>211.71</v>
      </c>
    </row>
    <row r="1192" spans="1:17" x14ac:dyDescent="0.25">
      <c r="A1192" s="12" t="s">
        <v>979</v>
      </c>
      <c r="B1192" s="3" t="str">
        <f t="shared" si="58"/>
        <v>AMZN</v>
      </c>
      <c r="C1192" s="3" t="str">
        <f t="shared" si="56"/>
        <v>260327</v>
      </c>
      <c r="D1192" s="3" t="str">
        <f t="shared" si="57"/>
        <v>P00210000</v>
      </c>
      <c r="E1192" s="63" t="s">
        <v>890</v>
      </c>
      <c r="F1192" s="13">
        <v>210</v>
      </c>
      <c r="G1192" s="63">
        <v>1.43</v>
      </c>
      <c r="H1192" s="63">
        <v>1.4</v>
      </c>
      <c r="I1192" s="63">
        <v>1.43</v>
      </c>
      <c r="J1192" s="64">
        <v>-2.88</v>
      </c>
      <c r="K1192" s="65">
        <v>-0.66820000000000002</v>
      </c>
      <c r="L1192" s="66">
        <v>11825</v>
      </c>
      <c r="M1192" s="66">
        <v>4251</v>
      </c>
      <c r="N1192" s="67">
        <v>0.35010000000000002</v>
      </c>
      <c r="O1192" t="s">
        <v>65</v>
      </c>
      <c r="P1192" s="9">
        <v>46106</v>
      </c>
      <c r="Q1192">
        <v>211.71</v>
      </c>
    </row>
    <row r="1193" spans="1:17" x14ac:dyDescent="0.25">
      <c r="A1193" s="12" t="s">
        <v>980</v>
      </c>
      <c r="B1193" s="3" t="str">
        <f t="shared" si="58"/>
        <v>AMZN</v>
      </c>
      <c r="C1193" s="3" t="str">
        <f t="shared" si="56"/>
        <v>260327</v>
      </c>
      <c r="D1193" s="3" t="str">
        <f t="shared" si="57"/>
        <v>P00212500</v>
      </c>
      <c r="E1193" s="63" t="s">
        <v>890</v>
      </c>
      <c r="F1193" s="13">
        <v>212.5</v>
      </c>
      <c r="G1193" s="63">
        <v>2.4900000000000002</v>
      </c>
      <c r="H1193" s="63">
        <v>2.4300000000000002</v>
      </c>
      <c r="I1193" s="63">
        <v>2.4900000000000002</v>
      </c>
      <c r="J1193" s="64">
        <v>-3.61</v>
      </c>
      <c r="K1193" s="65">
        <v>-0.59179999999999999</v>
      </c>
      <c r="L1193" s="66">
        <v>12141</v>
      </c>
      <c r="M1193" s="66">
        <v>4148</v>
      </c>
      <c r="N1193" s="67">
        <v>0.3306</v>
      </c>
      <c r="O1193" t="s">
        <v>65</v>
      </c>
      <c r="P1193" s="9">
        <v>46106</v>
      </c>
      <c r="Q1193">
        <v>211.71</v>
      </c>
    </row>
    <row r="1194" spans="1:17" x14ac:dyDescent="0.25">
      <c r="A1194" s="12" t="s">
        <v>981</v>
      </c>
      <c r="B1194" s="3" t="str">
        <f t="shared" si="58"/>
        <v>AMZN</v>
      </c>
      <c r="C1194" s="3" t="str">
        <f t="shared" si="56"/>
        <v>260327</v>
      </c>
      <c r="D1194" s="3" t="str">
        <f t="shared" si="57"/>
        <v>P00215000</v>
      </c>
      <c r="E1194" s="63" t="s">
        <v>883</v>
      </c>
      <c r="F1194" s="13">
        <v>215</v>
      </c>
      <c r="G1194" s="63">
        <v>4.03</v>
      </c>
      <c r="H1194" s="63">
        <v>3.85</v>
      </c>
      <c r="I1194" s="63">
        <v>4.05</v>
      </c>
      <c r="J1194" s="64">
        <v>-4.1100000000000003</v>
      </c>
      <c r="K1194" s="65">
        <v>-0.50490000000000002</v>
      </c>
      <c r="L1194" s="66">
        <v>1785</v>
      </c>
      <c r="M1194" s="66">
        <v>1584</v>
      </c>
      <c r="N1194" s="67">
        <v>0.31540000000000001</v>
      </c>
      <c r="O1194" t="s">
        <v>65</v>
      </c>
      <c r="P1194" s="9">
        <v>46106</v>
      </c>
      <c r="Q1194">
        <v>211.71</v>
      </c>
    </row>
    <row r="1195" spans="1:17" x14ac:dyDescent="0.25">
      <c r="A1195" s="12" t="s">
        <v>982</v>
      </c>
      <c r="B1195" s="3" t="str">
        <f t="shared" si="58"/>
        <v>AMZN</v>
      </c>
      <c r="C1195" s="3" t="str">
        <f t="shared" si="56"/>
        <v>260327</v>
      </c>
      <c r="D1195" s="3" t="str">
        <f t="shared" si="57"/>
        <v>P00217500</v>
      </c>
      <c r="E1195" s="63" t="s">
        <v>879</v>
      </c>
      <c r="F1195" s="13">
        <v>217.5</v>
      </c>
      <c r="G1195" s="63">
        <v>6.39</v>
      </c>
      <c r="H1195" s="63">
        <v>5.8</v>
      </c>
      <c r="I1195" s="63">
        <v>6.5</v>
      </c>
      <c r="J1195" s="64">
        <v>-3.61</v>
      </c>
      <c r="K1195" s="65">
        <v>-0.36099999999999999</v>
      </c>
      <c r="L1195" s="63">
        <v>257</v>
      </c>
      <c r="M1195" s="63">
        <v>286</v>
      </c>
      <c r="N1195" s="67">
        <v>0.4199</v>
      </c>
      <c r="O1195" t="s">
        <v>65</v>
      </c>
      <c r="P1195" s="9">
        <v>46106</v>
      </c>
      <c r="Q1195">
        <v>211.71</v>
      </c>
    </row>
    <row r="1196" spans="1:17" x14ac:dyDescent="0.25">
      <c r="A1196" s="12" t="s">
        <v>983</v>
      </c>
      <c r="B1196" s="3" t="str">
        <f t="shared" si="58"/>
        <v>AMZN</v>
      </c>
      <c r="C1196" s="3" t="str">
        <f t="shared" si="56"/>
        <v>260327</v>
      </c>
      <c r="D1196" s="3" t="str">
        <f t="shared" si="57"/>
        <v>P00220000</v>
      </c>
      <c r="E1196" s="63" t="s">
        <v>885</v>
      </c>
      <c r="F1196" s="13">
        <v>220</v>
      </c>
      <c r="G1196" s="63">
        <v>8.73</v>
      </c>
      <c r="H1196" s="63">
        <v>7.9</v>
      </c>
      <c r="I1196" s="63">
        <v>9.1</v>
      </c>
      <c r="J1196" s="64">
        <v>-4.5199999999999996</v>
      </c>
      <c r="K1196" s="65">
        <v>-0.34110000000000001</v>
      </c>
      <c r="L1196" s="63">
        <v>943</v>
      </c>
      <c r="M1196" s="66">
        <v>1054</v>
      </c>
      <c r="N1196" s="67">
        <v>0.54879999999999995</v>
      </c>
      <c r="O1196" t="s">
        <v>65</v>
      </c>
      <c r="P1196" s="9">
        <v>46106</v>
      </c>
      <c r="Q1196">
        <v>211.71</v>
      </c>
    </row>
    <row r="1197" spans="1:17" x14ac:dyDescent="0.25">
      <c r="A1197" s="12" t="s">
        <v>984</v>
      </c>
      <c r="B1197" s="3" t="str">
        <f t="shared" si="58"/>
        <v>AMZN</v>
      </c>
      <c r="C1197" s="3" t="str">
        <f t="shared" si="56"/>
        <v>260327</v>
      </c>
      <c r="D1197" s="3" t="str">
        <f t="shared" si="57"/>
        <v>P00222500</v>
      </c>
      <c r="E1197" s="63" t="s">
        <v>985</v>
      </c>
      <c r="F1197" s="13">
        <v>222.5</v>
      </c>
      <c r="G1197" s="63">
        <v>10.5</v>
      </c>
      <c r="H1197" s="63">
        <v>9.6999999999999993</v>
      </c>
      <c r="I1197" s="63">
        <v>12.4</v>
      </c>
      <c r="J1197" s="64">
        <v>-4.62</v>
      </c>
      <c r="K1197" s="65">
        <v>-0.30559999999999998</v>
      </c>
      <c r="L1197" s="63">
        <v>14</v>
      </c>
      <c r="M1197" s="63">
        <v>108</v>
      </c>
      <c r="N1197" s="67">
        <v>0.83720000000000006</v>
      </c>
      <c r="O1197" t="s">
        <v>65</v>
      </c>
      <c r="P1197" s="9">
        <v>46106</v>
      </c>
      <c r="Q1197">
        <v>211.71</v>
      </c>
    </row>
    <row r="1198" spans="1:17" x14ac:dyDescent="0.25">
      <c r="A1198" s="12" t="s">
        <v>986</v>
      </c>
      <c r="B1198" s="3" t="str">
        <f t="shared" si="58"/>
        <v>AMZN</v>
      </c>
      <c r="C1198" s="3" t="str">
        <f t="shared" si="56"/>
        <v>260327</v>
      </c>
      <c r="D1198" s="3" t="str">
        <f t="shared" si="57"/>
        <v>P00225000</v>
      </c>
      <c r="E1198" s="63" t="s">
        <v>987</v>
      </c>
      <c r="F1198" s="13">
        <v>225</v>
      </c>
      <c r="G1198" s="63">
        <v>14.23</v>
      </c>
      <c r="H1198" s="63">
        <v>12.15</v>
      </c>
      <c r="I1198" s="63">
        <v>14.7</v>
      </c>
      <c r="J1198" s="64">
        <v>-3.29</v>
      </c>
      <c r="K1198" s="65">
        <v>-0.18779999999999999</v>
      </c>
      <c r="L1198" s="63">
        <v>6</v>
      </c>
      <c r="M1198" s="63">
        <v>19</v>
      </c>
      <c r="N1198" s="67">
        <v>0.89700000000000002</v>
      </c>
      <c r="O1198" t="s">
        <v>65</v>
      </c>
      <c r="P1198" s="9">
        <v>46106</v>
      </c>
      <c r="Q1198">
        <v>211.71</v>
      </c>
    </row>
    <row r="1199" spans="1:17" x14ac:dyDescent="0.25">
      <c r="A1199" s="12" t="s">
        <v>988</v>
      </c>
      <c r="B1199" s="3" t="str">
        <f t="shared" si="58"/>
        <v>AMZN</v>
      </c>
      <c r="C1199" s="3" t="str">
        <f t="shared" si="56"/>
        <v>260327</v>
      </c>
      <c r="D1199" s="3" t="str">
        <f t="shared" si="57"/>
        <v>P00227500</v>
      </c>
      <c r="E1199" s="63" t="s">
        <v>989</v>
      </c>
      <c r="F1199" s="13">
        <v>227.5</v>
      </c>
      <c r="G1199" s="63">
        <v>16.649999999999999</v>
      </c>
      <c r="H1199" s="63">
        <v>14.2</v>
      </c>
      <c r="I1199" s="63">
        <v>17.8</v>
      </c>
      <c r="J1199" s="64">
        <v>-0.04</v>
      </c>
      <c r="K1199" s="65">
        <v>-2.3999999999999998E-3</v>
      </c>
      <c r="L1199" s="63">
        <v>8</v>
      </c>
      <c r="M1199" s="63">
        <v>0</v>
      </c>
      <c r="N1199" s="67">
        <v>0.59670000000000001</v>
      </c>
      <c r="O1199" t="s">
        <v>65</v>
      </c>
      <c r="P1199" s="9">
        <v>46106</v>
      </c>
      <c r="Q1199">
        <v>211.71</v>
      </c>
    </row>
    <row r="1200" spans="1:17" x14ac:dyDescent="0.25">
      <c r="A1200" s="12" t="s">
        <v>990</v>
      </c>
      <c r="B1200" s="3" t="str">
        <f t="shared" si="58"/>
        <v>AMZN</v>
      </c>
      <c r="C1200" s="3" t="str">
        <f t="shared" si="56"/>
        <v>260327</v>
      </c>
      <c r="D1200" s="3" t="str">
        <f t="shared" si="57"/>
        <v>P00230000</v>
      </c>
      <c r="E1200" s="63" t="s">
        <v>991</v>
      </c>
      <c r="F1200" s="13">
        <v>230</v>
      </c>
      <c r="G1200" s="63">
        <v>18.510000000000002</v>
      </c>
      <c r="H1200" s="63">
        <v>17.55</v>
      </c>
      <c r="I1200" s="63">
        <v>19.649999999999999</v>
      </c>
      <c r="J1200" s="64">
        <v>-3.41</v>
      </c>
      <c r="K1200" s="65">
        <v>-0.15559999999999999</v>
      </c>
      <c r="L1200" s="63">
        <v>206</v>
      </c>
      <c r="M1200" s="63">
        <v>0</v>
      </c>
      <c r="N1200" s="67">
        <v>0.72360000000000002</v>
      </c>
      <c r="O1200" t="s">
        <v>65</v>
      </c>
      <c r="P1200" s="9">
        <v>46106</v>
      </c>
      <c r="Q1200">
        <v>211.71</v>
      </c>
    </row>
    <row r="1201" spans="1:17" x14ac:dyDescent="0.25">
      <c r="A1201" s="12" t="s">
        <v>992</v>
      </c>
      <c r="B1201" s="3" t="str">
        <f t="shared" si="58"/>
        <v>AMZN</v>
      </c>
      <c r="C1201" s="3" t="str">
        <f t="shared" si="56"/>
        <v>260327</v>
      </c>
      <c r="D1201" s="3" t="str">
        <f t="shared" si="57"/>
        <v>P00232500</v>
      </c>
      <c r="E1201" s="63" t="s">
        <v>993</v>
      </c>
      <c r="F1201" s="13">
        <v>232.5</v>
      </c>
      <c r="G1201" s="63">
        <v>21.96</v>
      </c>
      <c r="H1201" s="63">
        <v>19.2</v>
      </c>
      <c r="I1201" s="63">
        <v>22.8</v>
      </c>
      <c r="J1201" s="64">
        <v>-2.34</v>
      </c>
      <c r="K1201" s="65">
        <v>-9.6299999999999997E-2</v>
      </c>
      <c r="L1201" s="63">
        <v>1</v>
      </c>
      <c r="M1201" s="63">
        <v>0</v>
      </c>
      <c r="N1201" s="67">
        <v>0.73540000000000005</v>
      </c>
      <c r="O1201" t="s">
        <v>65</v>
      </c>
      <c r="P1201" s="9">
        <v>46106</v>
      </c>
      <c r="Q1201">
        <v>211.71</v>
      </c>
    </row>
    <row r="1202" spans="1:17" x14ac:dyDescent="0.25">
      <c r="A1202" s="12" t="s">
        <v>994</v>
      </c>
      <c r="B1202" s="3" t="str">
        <f t="shared" si="58"/>
        <v>AMZN</v>
      </c>
      <c r="C1202" s="3" t="str">
        <f t="shared" si="56"/>
        <v>260327</v>
      </c>
      <c r="D1202" s="3" t="str">
        <f t="shared" si="57"/>
        <v>P00235000</v>
      </c>
      <c r="E1202" s="63" t="s">
        <v>995</v>
      </c>
      <c r="F1202" s="13">
        <v>235</v>
      </c>
      <c r="G1202" s="63">
        <v>30.8</v>
      </c>
      <c r="H1202" s="63">
        <v>22.1</v>
      </c>
      <c r="I1202" s="63">
        <v>24.65</v>
      </c>
      <c r="J1202" s="63">
        <v>0</v>
      </c>
      <c r="K1202" s="68">
        <v>0</v>
      </c>
      <c r="L1202" s="63">
        <v>2</v>
      </c>
      <c r="M1202" s="63">
        <v>2</v>
      </c>
      <c r="N1202" s="67">
        <v>0.6895</v>
      </c>
      <c r="O1202" t="s">
        <v>65</v>
      </c>
      <c r="P1202" s="9">
        <v>46106</v>
      </c>
      <c r="Q1202">
        <v>211.71</v>
      </c>
    </row>
    <row r="1203" spans="1:17" x14ac:dyDescent="0.25">
      <c r="A1203" s="12" t="s">
        <v>996</v>
      </c>
      <c r="B1203" s="3" t="str">
        <f t="shared" si="58"/>
        <v>AMZN</v>
      </c>
      <c r="C1203" s="3" t="str">
        <f t="shared" si="56"/>
        <v>260327</v>
      </c>
      <c r="D1203" s="3" t="str">
        <f t="shared" si="57"/>
        <v>P00237500</v>
      </c>
      <c r="E1203" s="69">
        <v>46359.54583333333</v>
      </c>
      <c r="F1203" s="13">
        <v>237.5</v>
      </c>
      <c r="G1203" s="63">
        <v>26.98</v>
      </c>
      <c r="H1203" s="63">
        <v>24.5</v>
      </c>
      <c r="I1203" s="63">
        <v>27.8</v>
      </c>
      <c r="J1203" s="63">
        <v>0</v>
      </c>
      <c r="K1203" s="68">
        <v>0</v>
      </c>
      <c r="L1203" s="63" t="s">
        <v>113</v>
      </c>
      <c r="M1203" s="63">
        <v>0</v>
      </c>
      <c r="N1203" s="67">
        <v>0.96289999999999998</v>
      </c>
      <c r="O1203" t="s">
        <v>65</v>
      </c>
      <c r="P1203" s="9">
        <v>46106</v>
      </c>
      <c r="Q1203">
        <v>211.71</v>
      </c>
    </row>
    <row r="1204" spans="1:17" x14ac:dyDescent="0.25">
      <c r="A1204" s="12" t="s">
        <v>997</v>
      </c>
      <c r="B1204" s="3" t="str">
        <f t="shared" si="58"/>
        <v>AMZN</v>
      </c>
      <c r="C1204" s="3" t="str">
        <f t="shared" ref="C1204:C1267" si="59">+MID(A1204,5,6)</f>
        <v>260327</v>
      </c>
      <c r="D1204" s="3" t="str">
        <f t="shared" ref="D1204:D1267" si="60">+MID(A1204,11,10)</f>
        <v>P00240000</v>
      </c>
      <c r="E1204" s="63" t="s">
        <v>998</v>
      </c>
      <c r="F1204" s="13">
        <v>240</v>
      </c>
      <c r="G1204" s="63">
        <v>32.25</v>
      </c>
      <c r="H1204" s="63">
        <v>26.7</v>
      </c>
      <c r="I1204" s="63">
        <v>30.3</v>
      </c>
      <c r="J1204" s="63">
        <v>0</v>
      </c>
      <c r="K1204" s="68">
        <v>0</v>
      </c>
      <c r="L1204" s="63">
        <v>4</v>
      </c>
      <c r="M1204" s="63">
        <v>0</v>
      </c>
      <c r="N1204" s="67">
        <v>0.93069999999999997</v>
      </c>
      <c r="O1204" t="s">
        <v>65</v>
      </c>
      <c r="P1204" s="9">
        <v>46106</v>
      </c>
      <c r="Q1204">
        <v>211.71</v>
      </c>
    </row>
    <row r="1205" spans="1:17" x14ac:dyDescent="0.25">
      <c r="A1205" s="12" t="s">
        <v>999</v>
      </c>
      <c r="B1205" s="3" t="str">
        <f t="shared" si="58"/>
        <v>AMZN</v>
      </c>
      <c r="C1205" s="3" t="str">
        <f t="shared" si="59"/>
        <v>260327</v>
      </c>
      <c r="D1205" s="3" t="str">
        <f t="shared" si="60"/>
        <v>P00245000</v>
      </c>
      <c r="E1205" s="63" t="s">
        <v>993</v>
      </c>
      <c r="F1205" s="13">
        <v>245</v>
      </c>
      <c r="G1205" s="63">
        <v>33.549999999999997</v>
      </c>
      <c r="H1205" s="63">
        <v>32.200000000000003</v>
      </c>
      <c r="I1205" s="63">
        <v>34.65</v>
      </c>
      <c r="J1205" s="64">
        <v>-1.54</v>
      </c>
      <c r="K1205" s="65">
        <v>-4.3900000000000002E-2</v>
      </c>
      <c r="L1205" s="63">
        <v>4</v>
      </c>
      <c r="M1205" s="63">
        <v>0</v>
      </c>
      <c r="N1205" s="67">
        <v>0.98050000000000004</v>
      </c>
      <c r="O1205" t="s">
        <v>65</v>
      </c>
      <c r="P1205" s="9">
        <v>46106</v>
      </c>
      <c r="Q1205">
        <v>211.71</v>
      </c>
    </row>
    <row r="1206" spans="1:17" x14ac:dyDescent="0.25">
      <c r="A1206" s="12" t="s">
        <v>1000</v>
      </c>
      <c r="B1206" s="3" t="str">
        <f t="shared" si="58"/>
        <v>AMZN</v>
      </c>
      <c r="C1206" s="3" t="str">
        <f t="shared" si="59"/>
        <v>260327</v>
      </c>
      <c r="D1206" s="3" t="str">
        <f t="shared" si="60"/>
        <v>P00250000</v>
      </c>
      <c r="E1206" s="63" t="s">
        <v>1001</v>
      </c>
      <c r="F1206" s="13">
        <v>250</v>
      </c>
      <c r="G1206" s="63">
        <v>36</v>
      </c>
      <c r="H1206" s="63">
        <v>36.700000000000003</v>
      </c>
      <c r="I1206" s="63">
        <v>40.299999999999997</v>
      </c>
      <c r="J1206" s="63">
        <v>0</v>
      </c>
      <c r="K1206" s="68">
        <v>0</v>
      </c>
      <c r="L1206" s="63">
        <v>1</v>
      </c>
      <c r="M1206" s="63">
        <v>0</v>
      </c>
      <c r="N1206" s="67">
        <v>1.1709000000000001</v>
      </c>
      <c r="O1206" t="s">
        <v>65</v>
      </c>
      <c r="P1206" s="9">
        <v>46106</v>
      </c>
      <c r="Q1206">
        <v>211.71</v>
      </c>
    </row>
    <row r="1207" spans="1:17" x14ac:dyDescent="0.25">
      <c r="A1207" s="12" t="s">
        <v>1002</v>
      </c>
      <c r="B1207" s="3" t="str">
        <f t="shared" si="58"/>
        <v>AMZN</v>
      </c>
      <c r="C1207" s="3" t="str">
        <f t="shared" si="59"/>
        <v>260327</v>
      </c>
      <c r="D1207" s="3" t="str">
        <f t="shared" si="60"/>
        <v>P00255000</v>
      </c>
      <c r="E1207" s="69">
        <v>46176.645833333336</v>
      </c>
      <c r="F1207" s="13">
        <v>255</v>
      </c>
      <c r="G1207" s="63">
        <v>39.65</v>
      </c>
      <c r="H1207" s="63">
        <v>41.7</v>
      </c>
      <c r="I1207" s="63">
        <v>45.3</v>
      </c>
      <c r="J1207" s="63">
        <v>0</v>
      </c>
      <c r="K1207" s="68">
        <v>0</v>
      </c>
      <c r="L1207" s="63">
        <v>1</v>
      </c>
      <c r="M1207" s="63">
        <v>0</v>
      </c>
      <c r="N1207" s="67">
        <v>1.2851999999999999</v>
      </c>
      <c r="O1207" t="s">
        <v>65</v>
      </c>
      <c r="P1207" s="9">
        <v>46106</v>
      </c>
      <c r="Q1207">
        <v>211.71</v>
      </c>
    </row>
    <row r="1208" spans="1:17" x14ac:dyDescent="0.25">
      <c r="A1208" s="12" t="s">
        <v>1003</v>
      </c>
      <c r="B1208" s="3" t="str">
        <f t="shared" si="58"/>
        <v>AMZN</v>
      </c>
      <c r="C1208" s="3" t="str">
        <f t="shared" si="59"/>
        <v>260327</v>
      </c>
      <c r="D1208" s="3" t="str">
        <f t="shared" si="60"/>
        <v>P00260000</v>
      </c>
      <c r="E1208" s="63" t="s">
        <v>1004</v>
      </c>
      <c r="F1208" s="13">
        <v>260</v>
      </c>
      <c r="G1208" s="63">
        <v>49.07</v>
      </c>
      <c r="H1208" s="63">
        <v>46.7</v>
      </c>
      <c r="I1208" s="63">
        <v>50.3</v>
      </c>
      <c r="J1208" s="63">
        <v>0</v>
      </c>
      <c r="K1208" s="68">
        <v>0</v>
      </c>
      <c r="L1208" s="63">
        <v>20</v>
      </c>
      <c r="M1208" s="63">
        <v>0</v>
      </c>
      <c r="N1208" s="67">
        <v>1.3945000000000001</v>
      </c>
      <c r="O1208" t="s">
        <v>65</v>
      </c>
      <c r="P1208" s="9">
        <v>46106</v>
      </c>
      <c r="Q1208">
        <v>211.71</v>
      </c>
    </row>
    <row r="1209" spans="1:17" x14ac:dyDescent="0.25">
      <c r="A1209" s="12" t="s">
        <v>1005</v>
      </c>
      <c r="B1209" s="3" t="str">
        <f t="shared" si="58"/>
        <v>AMZN</v>
      </c>
      <c r="C1209" s="3" t="str">
        <f t="shared" si="59"/>
        <v>260327</v>
      </c>
      <c r="D1209" s="3" t="str">
        <f t="shared" si="60"/>
        <v>P00265000</v>
      </c>
      <c r="E1209" s="63" t="s">
        <v>1006</v>
      </c>
      <c r="F1209" s="13">
        <v>265</v>
      </c>
      <c r="G1209" s="63">
        <v>53.02</v>
      </c>
      <c r="H1209" s="63">
        <v>51.7</v>
      </c>
      <c r="I1209" s="63">
        <v>55.3</v>
      </c>
      <c r="J1209" s="63">
        <v>0</v>
      </c>
      <c r="K1209" s="68">
        <v>0</v>
      </c>
      <c r="L1209" s="63">
        <v>75</v>
      </c>
      <c r="M1209" s="63">
        <v>0</v>
      </c>
      <c r="N1209" s="67">
        <v>1.5</v>
      </c>
      <c r="O1209" t="s">
        <v>65</v>
      </c>
      <c r="P1209" s="9">
        <v>46106</v>
      </c>
      <c r="Q1209">
        <v>211.71</v>
      </c>
    </row>
    <row r="1210" spans="1:17" x14ac:dyDescent="0.25">
      <c r="A1210" s="12" t="s">
        <v>844</v>
      </c>
      <c r="B1210" s="3" t="str">
        <f t="shared" si="58"/>
        <v>AMZN</v>
      </c>
      <c r="C1210" s="3" t="str">
        <f t="shared" si="59"/>
        <v>260327</v>
      </c>
      <c r="D1210" s="3" t="str">
        <f t="shared" si="60"/>
        <v>C00125000</v>
      </c>
      <c r="E1210" s="63" t="s">
        <v>1007</v>
      </c>
      <c r="F1210" s="13">
        <v>125</v>
      </c>
      <c r="G1210" s="63">
        <v>83.24</v>
      </c>
      <c r="H1210" s="63">
        <v>80.8</v>
      </c>
      <c r="I1210" s="63">
        <v>84.6</v>
      </c>
      <c r="J1210" s="64">
        <v>-3.09</v>
      </c>
      <c r="K1210" s="65">
        <v>-3.5799999999999998E-2</v>
      </c>
      <c r="L1210" s="63">
        <v>4</v>
      </c>
      <c r="M1210" s="63">
        <v>42</v>
      </c>
      <c r="N1210" s="67">
        <v>4.3281000000000001</v>
      </c>
      <c r="O1210" t="s">
        <v>62</v>
      </c>
      <c r="P1210" s="9">
        <v>46107</v>
      </c>
      <c r="Q1210">
        <v>207.54</v>
      </c>
    </row>
    <row r="1211" spans="1:17" x14ac:dyDescent="0.25">
      <c r="A1211" s="12" t="s">
        <v>846</v>
      </c>
      <c r="B1211" s="3" t="str">
        <f t="shared" si="58"/>
        <v>AMZN</v>
      </c>
      <c r="C1211" s="3" t="str">
        <f t="shared" si="59"/>
        <v>260327</v>
      </c>
      <c r="D1211" s="3" t="str">
        <f t="shared" si="60"/>
        <v>C00130000</v>
      </c>
      <c r="E1211" s="63" t="s">
        <v>1007</v>
      </c>
      <c r="F1211" s="13">
        <v>130</v>
      </c>
      <c r="G1211" s="63">
        <v>78.34</v>
      </c>
      <c r="H1211" s="63">
        <v>75.8</v>
      </c>
      <c r="I1211" s="63">
        <v>79.599999999999994</v>
      </c>
      <c r="J1211" s="64">
        <v>-3.82</v>
      </c>
      <c r="K1211" s="65">
        <v>-4.65E-2</v>
      </c>
      <c r="L1211" s="63">
        <v>5</v>
      </c>
      <c r="M1211" s="63">
        <v>23</v>
      </c>
      <c r="N1211" s="67">
        <v>4.0312999999999999</v>
      </c>
      <c r="O1211" t="s">
        <v>62</v>
      </c>
      <c r="P1211" s="9">
        <v>46107</v>
      </c>
      <c r="Q1211">
        <v>207.54</v>
      </c>
    </row>
    <row r="1212" spans="1:17" x14ac:dyDescent="0.25">
      <c r="A1212" s="12" t="s">
        <v>848</v>
      </c>
      <c r="B1212" s="3" t="str">
        <f t="shared" si="58"/>
        <v>AMZN</v>
      </c>
      <c r="C1212" s="3" t="str">
        <f t="shared" si="59"/>
        <v>260327</v>
      </c>
      <c r="D1212" s="3" t="str">
        <f t="shared" si="60"/>
        <v>C00135000</v>
      </c>
      <c r="E1212" s="63" t="s">
        <v>1007</v>
      </c>
      <c r="F1212" s="13">
        <v>135</v>
      </c>
      <c r="G1212" s="63">
        <v>73.25</v>
      </c>
      <c r="H1212" s="63">
        <v>70.8</v>
      </c>
      <c r="I1212" s="63">
        <v>74.599999999999994</v>
      </c>
      <c r="J1212" s="64">
        <v>-3.05</v>
      </c>
      <c r="K1212" s="65">
        <v>-0.04</v>
      </c>
      <c r="L1212" s="63">
        <v>19</v>
      </c>
      <c r="M1212" s="63">
        <v>22</v>
      </c>
      <c r="N1212" s="67">
        <v>3.7343999999999999</v>
      </c>
      <c r="O1212" t="s">
        <v>62</v>
      </c>
      <c r="P1212" s="9">
        <v>46107</v>
      </c>
      <c r="Q1212">
        <v>207.54</v>
      </c>
    </row>
    <row r="1213" spans="1:17" x14ac:dyDescent="0.25">
      <c r="A1213" s="12" t="s">
        <v>850</v>
      </c>
      <c r="B1213" s="3" t="str">
        <f t="shared" si="58"/>
        <v>AMZN</v>
      </c>
      <c r="C1213" s="3" t="str">
        <f t="shared" si="59"/>
        <v>260327</v>
      </c>
      <c r="D1213" s="3" t="str">
        <f t="shared" si="60"/>
        <v>C00140000</v>
      </c>
      <c r="E1213" s="63" t="s">
        <v>1007</v>
      </c>
      <c r="F1213" s="13">
        <v>140</v>
      </c>
      <c r="G1213" s="63">
        <v>68.349999999999994</v>
      </c>
      <c r="H1213" s="63">
        <v>65.8</v>
      </c>
      <c r="I1213" s="63">
        <v>69.599999999999994</v>
      </c>
      <c r="J1213" s="64">
        <v>-3.99</v>
      </c>
      <c r="K1213" s="65">
        <v>-5.5199999999999999E-2</v>
      </c>
      <c r="L1213" s="63">
        <v>1</v>
      </c>
      <c r="M1213" s="63">
        <v>48</v>
      </c>
      <c r="N1213" s="67">
        <v>3.4531000000000001</v>
      </c>
      <c r="O1213" t="s">
        <v>62</v>
      </c>
      <c r="P1213" s="9">
        <v>46107</v>
      </c>
      <c r="Q1213">
        <v>207.54</v>
      </c>
    </row>
    <row r="1214" spans="1:17" x14ac:dyDescent="0.25">
      <c r="A1214" s="12" t="s">
        <v>852</v>
      </c>
      <c r="B1214" s="3" t="str">
        <f t="shared" si="58"/>
        <v>AMZN</v>
      </c>
      <c r="C1214" s="3" t="str">
        <f t="shared" si="59"/>
        <v>260327</v>
      </c>
      <c r="D1214" s="3" t="str">
        <f t="shared" si="60"/>
        <v>C00145000</v>
      </c>
      <c r="E1214" s="63" t="s">
        <v>1008</v>
      </c>
      <c r="F1214" s="13">
        <v>145</v>
      </c>
      <c r="G1214" s="63">
        <v>63.35</v>
      </c>
      <c r="H1214" s="63">
        <v>60.8</v>
      </c>
      <c r="I1214" s="63">
        <v>64.599999999999994</v>
      </c>
      <c r="J1214" s="64">
        <v>-4.09</v>
      </c>
      <c r="K1214" s="65">
        <v>-6.0600000000000001E-2</v>
      </c>
      <c r="L1214" s="63">
        <v>5</v>
      </c>
      <c r="M1214" s="63">
        <v>15</v>
      </c>
      <c r="N1214" s="67">
        <v>3.1797</v>
      </c>
      <c r="O1214" t="s">
        <v>62</v>
      </c>
      <c r="P1214" s="9">
        <v>46107</v>
      </c>
      <c r="Q1214">
        <v>207.54</v>
      </c>
    </row>
    <row r="1215" spans="1:17" x14ac:dyDescent="0.25">
      <c r="A1215" s="12" t="s">
        <v>853</v>
      </c>
      <c r="B1215" s="3" t="str">
        <f t="shared" si="58"/>
        <v>AMZN</v>
      </c>
      <c r="C1215" s="3" t="str">
        <f t="shared" si="59"/>
        <v>260327</v>
      </c>
      <c r="D1215" s="3" t="str">
        <f t="shared" si="60"/>
        <v>C00150000</v>
      </c>
      <c r="E1215" s="63" t="s">
        <v>1009</v>
      </c>
      <c r="F1215" s="13">
        <v>150</v>
      </c>
      <c r="G1215" s="63">
        <v>57.55</v>
      </c>
      <c r="H1215" s="63">
        <v>55.8</v>
      </c>
      <c r="I1215" s="63">
        <v>59.6</v>
      </c>
      <c r="J1215" s="64">
        <v>-4.82</v>
      </c>
      <c r="K1215" s="65">
        <v>-7.7299999999999994E-2</v>
      </c>
      <c r="L1215" s="63">
        <v>4</v>
      </c>
      <c r="M1215" s="63">
        <v>25</v>
      </c>
      <c r="N1215" s="67">
        <v>2.9140999999999999</v>
      </c>
      <c r="O1215" t="s">
        <v>62</v>
      </c>
      <c r="P1215" s="9">
        <v>46107</v>
      </c>
      <c r="Q1215">
        <v>207.54</v>
      </c>
    </row>
    <row r="1216" spans="1:17" x14ac:dyDescent="0.25">
      <c r="A1216" s="12" t="s">
        <v>855</v>
      </c>
      <c r="B1216" s="3" t="str">
        <f t="shared" si="58"/>
        <v>AMZN</v>
      </c>
      <c r="C1216" s="3" t="str">
        <f t="shared" si="59"/>
        <v>260327</v>
      </c>
      <c r="D1216" s="3" t="str">
        <f t="shared" si="60"/>
        <v>C00155000</v>
      </c>
      <c r="E1216" s="63" t="s">
        <v>1009</v>
      </c>
      <c r="F1216" s="13">
        <v>155</v>
      </c>
      <c r="G1216" s="63">
        <v>52.65</v>
      </c>
      <c r="H1216" s="63">
        <v>50.85</v>
      </c>
      <c r="I1216" s="63">
        <v>54.4</v>
      </c>
      <c r="J1216" s="64">
        <v>-3.76</v>
      </c>
      <c r="K1216" s="65">
        <v>-6.6699999999999995E-2</v>
      </c>
      <c r="L1216" s="63">
        <v>24</v>
      </c>
      <c r="M1216" s="63">
        <v>50</v>
      </c>
      <c r="N1216" s="67">
        <v>2.4297</v>
      </c>
      <c r="O1216" t="s">
        <v>62</v>
      </c>
      <c r="P1216" s="9">
        <v>46107</v>
      </c>
      <c r="Q1216">
        <v>207.54</v>
      </c>
    </row>
    <row r="1217" spans="1:17" x14ac:dyDescent="0.25">
      <c r="A1217" s="12" t="s">
        <v>856</v>
      </c>
      <c r="B1217" s="3" t="str">
        <f t="shared" si="58"/>
        <v>AMZN</v>
      </c>
      <c r="C1217" s="3" t="str">
        <f t="shared" si="59"/>
        <v>260327</v>
      </c>
      <c r="D1217" s="3" t="str">
        <f t="shared" si="60"/>
        <v>C00160000</v>
      </c>
      <c r="E1217" s="63" t="s">
        <v>1010</v>
      </c>
      <c r="F1217" s="13">
        <v>160</v>
      </c>
      <c r="G1217" s="63">
        <v>48.39</v>
      </c>
      <c r="H1217" s="63">
        <v>45.95</v>
      </c>
      <c r="I1217" s="63">
        <v>49.45</v>
      </c>
      <c r="J1217" s="64">
        <v>-3.99</v>
      </c>
      <c r="K1217" s="65">
        <v>-7.6200000000000004E-2</v>
      </c>
      <c r="L1217" s="63">
        <v>7</v>
      </c>
      <c r="M1217" s="63">
        <v>19</v>
      </c>
      <c r="N1217" s="67">
        <v>2.3984000000000001</v>
      </c>
      <c r="O1217" t="s">
        <v>62</v>
      </c>
      <c r="P1217" s="9">
        <v>46107</v>
      </c>
      <c r="Q1217">
        <v>207.54</v>
      </c>
    </row>
    <row r="1218" spans="1:17" x14ac:dyDescent="0.25">
      <c r="A1218" s="12" t="s">
        <v>858</v>
      </c>
      <c r="B1218" s="3" t="str">
        <f t="shared" si="58"/>
        <v>AMZN</v>
      </c>
      <c r="C1218" s="3" t="str">
        <f t="shared" si="59"/>
        <v>260327</v>
      </c>
      <c r="D1218" s="3" t="str">
        <f t="shared" si="60"/>
        <v>C00165000</v>
      </c>
      <c r="E1218" s="63" t="s">
        <v>1011</v>
      </c>
      <c r="F1218" s="13">
        <v>165</v>
      </c>
      <c r="G1218" s="63">
        <v>46.44</v>
      </c>
      <c r="H1218" s="63">
        <v>41</v>
      </c>
      <c r="I1218" s="63">
        <v>44.55</v>
      </c>
      <c r="J1218" s="64">
        <v>-0.77</v>
      </c>
      <c r="K1218" s="65">
        <v>-1.6299999999999999E-2</v>
      </c>
      <c r="L1218" s="63">
        <v>10</v>
      </c>
      <c r="M1218" s="63">
        <v>10</v>
      </c>
      <c r="N1218" s="67">
        <v>2.2890999999999999</v>
      </c>
      <c r="O1218" t="s">
        <v>62</v>
      </c>
      <c r="P1218" s="9">
        <v>46107</v>
      </c>
      <c r="Q1218">
        <v>207.54</v>
      </c>
    </row>
    <row r="1219" spans="1:17" x14ac:dyDescent="0.25">
      <c r="A1219" s="12" t="s">
        <v>860</v>
      </c>
      <c r="B1219" s="3" t="str">
        <f t="shared" ref="B1219:B1282" si="61">+MID(A1219,1,4)</f>
        <v>AMZN</v>
      </c>
      <c r="C1219" s="3" t="str">
        <f t="shared" si="59"/>
        <v>260327</v>
      </c>
      <c r="D1219" s="3" t="str">
        <f t="shared" si="60"/>
        <v>C00170000</v>
      </c>
      <c r="E1219" s="63" t="s">
        <v>1012</v>
      </c>
      <c r="F1219" s="13">
        <v>170</v>
      </c>
      <c r="G1219" s="63">
        <v>38.47</v>
      </c>
      <c r="H1219" s="63">
        <v>36.950000000000003</v>
      </c>
      <c r="I1219" s="63">
        <v>39.450000000000003</v>
      </c>
      <c r="J1219" s="64">
        <v>-3.46</v>
      </c>
      <c r="K1219" s="65">
        <v>-8.2500000000000004E-2</v>
      </c>
      <c r="L1219" s="63">
        <v>3</v>
      </c>
      <c r="M1219" s="63">
        <v>29</v>
      </c>
      <c r="N1219" s="67">
        <v>2.4843999999999999</v>
      </c>
      <c r="O1219" t="s">
        <v>62</v>
      </c>
      <c r="P1219" s="9">
        <v>46107</v>
      </c>
      <c r="Q1219">
        <v>207.54</v>
      </c>
    </row>
    <row r="1220" spans="1:17" x14ac:dyDescent="0.25">
      <c r="A1220" s="12" t="s">
        <v>862</v>
      </c>
      <c r="B1220" s="3" t="str">
        <f t="shared" si="61"/>
        <v>AMZN</v>
      </c>
      <c r="C1220" s="3" t="str">
        <f t="shared" si="59"/>
        <v>260327</v>
      </c>
      <c r="D1220" s="3" t="str">
        <f t="shared" si="60"/>
        <v>C00175000</v>
      </c>
      <c r="E1220" s="63" t="s">
        <v>1013</v>
      </c>
      <c r="F1220" s="13">
        <v>175</v>
      </c>
      <c r="G1220" s="63">
        <v>37.119999999999997</v>
      </c>
      <c r="H1220" s="63">
        <v>31.1</v>
      </c>
      <c r="I1220" s="63">
        <v>34.4</v>
      </c>
      <c r="J1220" s="70">
        <v>0.32</v>
      </c>
      <c r="K1220" s="71">
        <v>8.6999999999999994E-3</v>
      </c>
      <c r="L1220" s="63">
        <v>5</v>
      </c>
      <c r="M1220" s="63">
        <v>235</v>
      </c>
      <c r="N1220" s="67">
        <v>1.7461</v>
      </c>
      <c r="O1220" t="s">
        <v>62</v>
      </c>
      <c r="P1220" s="9">
        <v>46107</v>
      </c>
      <c r="Q1220">
        <v>207.54</v>
      </c>
    </row>
    <row r="1221" spans="1:17" x14ac:dyDescent="0.25">
      <c r="A1221" s="12" t="s">
        <v>864</v>
      </c>
      <c r="B1221" s="3" t="str">
        <f t="shared" si="61"/>
        <v>AMZN</v>
      </c>
      <c r="C1221" s="3" t="str">
        <f t="shared" si="59"/>
        <v>260327</v>
      </c>
      <c r="D1221" s="3" t="str">
        <f t="shared" si="60"/>
        <v>C00177500</v>
      </c>
      <c r="E1221" s="63" t="s">
        <v>865</v>
      </c>
      <c r="F1221" s="13">
        <v>177.5</v>
      </c>
      <c r="G1221" s="63">
        <v>29.02</v>
      </c>
      <c r="H1221" s="63">
        <v>28.65</v>
      </c>
      <c r="I1221" s="63">
        <v>31.95</v>
      </c>
      <c r="J1221" s="63">
        <v>0</v>
      </c>
      <c r="K1221" s="68">
        <v>0</v>
      </c>
      <c r="L1221" s="63">
        <v>17</v>
      </c>
      <c r="M1221" s="63">
        <v>6</v>
      </c>
      <c r="N1221" s="67">
        <v>1.6875</v>
      </c>
      <c r="O1221" t="s">
        <v>62</v>
      </c>
      <c r="P1221" s="9">
        <v>46107</v>
      </c>
      <c r="Q1221">
        <v>207.54</v>
      </c>
    </row>
    <row r="1222" spans="1:17" x14ac:dyDescent="0.25">
      <c r="A1222" s="12" t="s">
        <v>866</v>
      </c>
      <c r="B1222" s="3" t="str">
        <f t="shared" si="61"/>
        <v>AMZN</v>
      </c>
      <c r="C1222" s="3" t="str">
        <f t="shared" si="59"/>
        <v>260327</v>
      </c>
      <c r="D1222" s="3" t="str">
        <f t="shared" si="60"/>
        <v>C00180000</v>
      </c>
      <c r="E1222" s="63" t="s">
        <v>1014</v>
      </c>
      <c r="F1222" s="13">
        <v>180</v>
      </c>
      <c r="G1222" s="63">
        <v>27.62</v>
      </c>
      <c r="H1222" s="63">
        <v>26.2</v>
      </c>
      <c r="I1222" s="63">
        <v>27.95</v>
      </c>
      <c r="J1222" s="64">
        <v>-3.33</v>
      </c>
      <c r="K1222" s="65">
        <v>-0.1076</v>
      </c>
      <c r="L1222" s="63">
        <v>33</v>
      </c>
      <c r="M1222" s="63">
        <v>189</v>
      </c>
      <c r="N1222" s="67">
        <v>1.7090000000000001</v>
      </c>
      <c r="O1222" t="s">
        <v>62</v>
      </c>
      <c r="P1222" s="9">
        <v>46107</v>
      </c>
      <c r="Q1222">
        <v>207.54</v>
      </c>
    </row>
    <row r="1223" spans="1:17" x14ac:dyDescent="0.25">
      <c r="A1223" s="12" t="s">
        <v>868</v>
      </c>
      <c r="B1223" s="3" t="str">
        <f t="shared" si="61"/>
        <v>AMZN</v>
      </c>
      <c r="C1223" s="3" t="str">
        <f t="shared" si="59"/>
        <v>260327</v>
      </c>
      <c r="D1223" s="3" t="str">
        <f t="shared" si="60"/>
        <v>C00182500</v>
      </c>
      <c r="E1223" s="63" t="s">
        <v>1015</v>
      </c>
      <c r="F1223" s="13">
        <v>182.5</v>
      </c>
      <c r="G1223" s="63">
        <v>25.93</v>
      </c>
      <c r="H1223" s="63">
        <v>23.5</v>
      </c>
      <c r="I1223" s="63">
        <v>27.1</v>
      </c>
      <c r="J1223" s="70">
        <v>1.28</v>
      </c>
      <c r="K1223" s="71">
        <v>5.1900000000000002E-2</v>
      </c>
      <c r="L1223" s="63">
        <v>2</v>
      </c>
      <c r="M1223" s="63">
        <v>3</v>
      </c>
      <c r="N1223" s="67">
        <v>1.4355</v>
      </c>
      <c r="O1223" t="s">
        <v>62</v>
      </c>
      <c r="P1223" s="9">
        <v>46107</v>
      </c>
      <c r="Q1223">
        <v>207.54</v>
      </c>
    </row>
    <row r="1224" spans="1:17" x14ac:dyDescent="0.25">
      <c r="A1224" s="12" t="s">
        <v>870</v>
      </c>
      <c r="B1224" s="3" t="str">
        <f t="shared" si="61"/>
        <v>AMZN</v>
      </c>
      <c r="C1224" s="3" t="str">
        <f t="shared" si="59"/>
        <v>260327</v>
      </c>
      <c r="D1224" s="3" t="str">
        <f t="shared" si="60"/>
        <v>C00185000</v>
      </c>
      <c r="E1224" s="63" t="s">
        <v>1016</v>
      </c>
      <c r="F1224" s="13">
        <v>185</v>
      </c>
      <c r="G1224" s="63">
        <v>23.4</v>
      </c>
      <c r="H1224" s="63">
        <v>21.8</v>
      </c>
      <c r="I1224" s="63">
        <v>24.4</v>
      </c>
      <c r="J1224" s="64">
        <v>-3.52</v>
      </c>
      <c r="K1224" s="65">
        <v>-0.1308</v>
      </c>
      <c r="L1224" s="63">
        <v>10</v>
      </c>
      <c r="M1224" s="63">
        <v>128</v>
      </c>
      <c r="N1224" s="67">
        <v>1.5488</v>
      </c>
      <c r="O1224" t="s">
        <v>62</v>
      </c>
      <c r="P1224" s="9">
        <v>46107</v>
      </c>
      <c r="Q1224">
        <v>207.54</v>
      </c>
    </row>
    <row r="1225" spans="1:17" x14ac:dyDescent="0.25">
      <c r="A1225" s="12" t="s">
        <v>872</v>
      </c>
      <c r="B1225" s="3" t="str">
        <f t="shared" si="61"/>
        <v>AMZN</v>
      </c>
      <c r="C1225" s="3" t="str">
        <f t="shared" si="59"/>
        <v>260327</v>
      </c>
      <c r="D1225" s="3" t="str">
        <f t="shared" si="60"/>
        <v>C00187500</v>
      </c>
      <c r="E1225" s="63" t="s">
        <v>873</v>
      </c>
      <c r="F1225" s="13">
        <v>187.5</v>
      </c>
      <c r="G1225" s="63">
        <v>23.83</v>
      </c>
      <c r="H1225" s="63">
        <v>18.75</v>
      </c>
      <c r="I1225" s="63">
        <v>22.1</v>
      </c>
      <c r="J1225" s="63">
        <v>0</v>
      </c>
      <c r="K1225" s="68">
        <v>0</v>
      </c>
      <c r="L1225" s="63">
        <v>31</v>
      </c>
      <c r="M1225" s="66">
        <v>1023</v>
      </c>
      <c r="N1225" s="67">
        <v>1.2890999999999999</v>
      </c>
      <c r="O1225" t="s">
        <v>62</v>
      </c>
      <c r="P1225" s="9">
        <v>46107</v>
      </c>
      <c r="Q1225">
        <v>207.54</v>
      </c>
    </row>
    <row r="1226" spans="1:17" x14ac:dyDescent="0.25">
      <c r="A1226" s="12" t="s">
        <v>874</v>
      </c>
      <c r="B1226" s="3" t="str">
        <f t="shared" si="61"/>
        <v>AMZN</v>
      </c>
      <c r="C1226" s="3" t="str">
        <f t="shared" si="59"/>
        <v>260327</v>
      </c>
      <c r="D1226" s="3" t="str">
        <f t="shared" si="60"/>
        <v>C00190000</v>
      </c>
      <c r="E1226" s="63" t="s">
        <v>1012</v>
      </c>
      <c r="F1226" s="13">
        <v>190</v>
      </c>
      <c r="G1226" s="63">
        <v>18.149999999999999</v>
      </c>
      <c r="H1226" s="63">
        <v>16.3</v>
      </c>
      <c r="I1226" s="63">
        <v>18.95</v>
      </c>
      <c r="J1226" s="64">
        <v>-4.12</v>
      </c>
      <c r="K1226" s="65">
        <v>-0.185</v>
      </c>
      <c r="L1226" s="63">
        <v>178</v>
      </c>
      <c r="M1226" s="66">
        <v>1300</v>
      </c>
      <c r="N1226" s="67">
        <v>0.86129999999999995</v>
      </c>
      <c r="O1226" t="s">
        <v>62</v>
      </c>
      <c r="P1226" s="9">
        <v>46107</v>
      </c>
      <c r="Q1226">
        <v>207.54</v>
      </c>
    </row>
    <row r="1227" spans="1:17" x14ac:dyDescent="0.25">
      <c r="A1227" s="12" t="s">
        <v>876</v>
      </c>
      <c r="B1227" s="3" t="str">
        <f t="shared" si="61"/>
        <v>AMZN</v>
      </c>
      <c r="C1227" s="3" t="str">
        <f t="shared" si="59"/>
        <v>260327</v>
      </c>
      <c r="D1227" s="3" t="str">
        <f t="shared" si="60"/>
        <v>C00192500</v>
      </c>
      <c r="E1227" s="63" t="s">
        <v>877</v>
      </c>
      <c r="F1227" s="13">
        <v>192.5</v>
      </c>
      <c r="G1227" s="63">
        <v>19.73</v>
      </c>
      <c r="H1227" s="63">
        <v>13.85</v>
      </c>
      <c r="I1227" s="63">
        <v>16.8</v>
      </c>
      <c r="J1227" s="63">
        <v>0</v>
      </c>
      <c r="K1227" s="68">
        <v>0</v>
      </c>
      <c r="L1227" s="63">
        <v>13</v>
      </c>
      <c r="M1227" s="63">
        <v>48</v>
      </c>
      <c r="N1227" s="67">
        <v>0.95120000000000005</v>
      </c>
      <c r="O1227" t="s">
        <v>62</v>
      </c>
      <c r="P1227" s="9">
        <v>46107</v>
      </c>
      <c r="Q1227">
        <v>207.54</v>
      </c>
    </row>
    <row r="1228" spans="1:17" x14ac:dyDescent="0.25">
      <c r="A1228" s="12" t="s">
        <v>878</v>
      </c>
      <c r="B1228" s="3" t="str">
        <f t="shared" si="61"/>
        <v>AMZN</v>
      </c>
      <c r="C1228" s="3" t="str">
        <f t="shared" si="59"/>
        <v>260327</v>
      </c>
      <c r="D1228" s="3" t="str">
        <f t="shared" si="60"/>
        <v>C00195000</v>
      </c>
      <c r="E1228" s="63" t="s">
        <v>1010</v>
      </c>
      <c r="F1228" s="13">
        <v>195</v>
      </c>
      <c r="G1228" s="63">
        <v>12.6</v>
      </c>
      <c r="H1228" s="63">
        <v>11.75</v>
      </c>
      <c r="I1228" s="63">
        <v>13.95</v>
      </c>
      <c r="J1228" s="64">
        <v>-3.95</v>
      </c>
      <c r="K1228" s="65">
        <v>-0.2387</v>
      </c>
      <c r="L1228" s="63">
        <v>288</v>
      </c>
      <c r="M1228" s="66">
        <v>1579</v>
      </c>
      <c r="N1228" s="67">
        <v>0.83889999999999998</v>
      </c>
      <c r="O1228" t="s">
        <v>62</v>
      </c>
      <c r="P1228" s="9">
        <v>46107</v>
      </c>
      <c r="Q1228">
        <v>207.54</v>
      </c>
    </row>
    <row r="1229" spans="1:17" x14ac:dyDescent="0.25">
      <c r="A1229" s="12" t="s">
        <v>880</v>
      </c>
      <c r="B1229" s="3" t="str">
        <f t="shared" si="61"/>
        <v>AMZN</v>
      </c>
      <c r="C1229" s="3" t="str">
        <f t="shared" si="59"/>
        <v>260327</v>
      </c>
      <c r="D1229" s="3" t="str">
        <f t="shared" si="60"/>
        <v>C00197500</v>
      </c>
      <c r="E1229" s="63" t="s">
        <v>881</v>
      </c>
      <c r="F1229" s="13">
        <v>197.5</v>
      </c>
      <c r="G1229" s="63">
        <v>13.78</v>
      </c>
      <c r="H1229" s="63">
        <v>8.85</v>
      </c>
      <c r="I1229" s="63">
        <v>12</v>
      </c>
      <c r="J1229" s="63">
        <v>0</v>
      </c>
      <c r="K1229" s="68">
        <v>0</v>
      </c>
      <c r="L1229" s="63">
        <v>130</v>
      </c>
      <c r="M1229" s="66">
        <v>1175</v>
      </c>
      <c r="N1229" s="67">
        <v>0.74709999999999999</v>
      </c>
      <c r="O1229" t="s">
        <v>62</v>
      </c>
      <c r="P1229" s="9">
        <v>46107</v>
      </c>
      <c r="Q1229">
        <v>207.54</v>
      </c>
    </row>
    <row r="1230" spans="1:17" x14ac:dyDescent="0.25">
      <c r="A1230" s="12" t="s">
        <v>882</v>
      </c>
      <c r="B1230" s="3" t="str">
        <f t="shared" si="61"/>
        <v>AMZN</v>
      </c>
      <c r="C1230" s="3" t="str">
        <f t="shared" si="59"/>
        <v>260327</v>
      </c>
      <c r="D1230" s="3" t="str">
        <f t="shared" si="60"/>
        <v>C00200000</v>
      </c>
      <c r="E1230" s="63" t="s">
        <v>1017</v>
      </c>
      <c r="F1230" s="13">
        <v>200</v>
      </c>
      <c r="G1230" s="63">
        <v>7.87</v>
      </c>
      <c r="H1230" s="63">
        <v>7.2</v>
      </c>
      <c r="I1230" s="63">
        <v>8.4</v>
      </c>
      <c r="J1230" s="64">
        <v>-3.53</v>
      </c>
      <c r="K1230" s="65">
        <v>-0.30959999999999999</v>
      </c>
      <c r="L1230" s="63">
        <v>359</v>
      </c>
      <c r="M1230" s="66">
        <v>1296</v>
      </c>
      <c r="N1230" s="67">
        <v>0.54200000000000004</v>
      </c>
      <c r="O1230" t="s">
        <v>62</v>
      </c>
      <c r="P1230" s="9">
        <v>46107</v>
      </c>
      <c r="Q1230">
        <v>207.54</v>
      </c>
    </row>
    <row r="1231" spans="1:17" x14ac:dyDescent="0.25">
      <c r="A1231" s="12" t="s">
        <v>884</v>
      </c>
      <c r="B1231" s="3" t="str">
        <f t="shared" si="61"/>
        <v>AMZN</v>
      </c>
      <c r="C1231" s="3" t="str">
        <f t="shared" si="59"/>
        <v>260327</v>
      </c>
      <c r="D1231" s="3" t="str">
        <f t="shared" si="60"/>
        <v>C00202500</v>
      </c>
      <c r="E1231" s="63" t="s">
        <v>1018</v>
      </c>
      <c r="F1231" s="13">
        <v>202.5</v>
      </c>
      <c r="G1231" s="63">
        <v>5.25</v>
      </c>
      <c r="H1231" s="63">
        <v>5.2</v>
      </c>
      <c r="I1231" s="63">
        <v>6.35</v>
      </c>
      <c r="J1231" s="64">
        <v>-3.86</v>
      </c>
      <c r="K1231" s="65">
        <v>-0.42370000000000002</v>
      </c>
      <c r="L1231" s="63">
        <v>78</v>
      </c>
      <c r="M1231" s="66">
        <v>1377</v>
      </c>
      <c r="N1231" s="67">
        <v>0.58009999999999995</v>
      </c>
      <c r="O1231" t="s">
        <v>62</v>
      </c>
      <c r="P1231" s="9">
        <v>46107</v>
      </c>
      <c r="Q1231">
        <v>207.54</v>
      </c>
    </row>
    <row r="1232" spans="1:17" x14ac:dyDescent="0.25">
      <c r="A1232" s="12" t="s">
        <v>886</v>
      </c>
      <c r="B1232" s="3" t="str">
        <f t="shared" si="61"/>
        <v>AMZN</v>
      </c>
      <c r="C1232" s="3" t="str">
        <f t="shared" si="59"/>
        <v>260327</v>
      </c>
      <c r="D1232" s="3" t="str">
        <f t="shared" si="60"/>
        <v>C00205000</v>
      </c>
      <c r="E1232" s="63" t="s">
        <v>1017</v>
      </c>
      <c r="F1232" s="13">
        <v>205</v>
      </c>
      <c r="G1232" s="63">
        <v>3.42</v>
      </c>
      <c r="H1232" s="63">
        <v>3.25</v>
      </c>
      <c r="I1232" s="63">
        <v>3.5</v>
      </c>
      <c r="J1232" s="64">
        <v>-3.53</v>
      </c>
      <c r="K1232" s="65">
        <v>-0.50790000000000002</v>
      </c>
      <c r="L1232" s="66">
        <v>1484</v>
      </c>
      <c r="M1232" s="66">
        <v>2352</v>
      </c>
      <c r="N1232" s="67">
        <v>0.45850000000000002</v>
      </c>
      <c r="O1232" t="s">
        <v>62</v>
      </c>
      <c r="P1232" s="9">
        <v>46107</v>
      </c>
      <c r="Q1232">
        <v>207.54</v>
      </c>
    </row>
    <row r="1233" spans="1:17" x14ac:dyDescent="0.25">
      <c r="A1233" s="12" t="s">
        <v>887</v>
      </c>
      <c r="B1233" s="3" t="str">
        <f t="shared" si="61"/>
        <v>AMZN</v>
      </c>
      <c r="C1233" s="3" t="str">
        <f t="shared" si="59"/>
        <v>260327</v>
      </c>
      <c r="D1233" s="3" t="str">
        <f t="shared" si="60"/>
        <v>C00207500</v>
      </c>
      <c r="E1233" s="63" t="s">
        <v>1019</v>
      </c>
      <c r="F1233" s="13">
        <v>207.5</v>
      </c>
      <c r="G1233" s="63">
        <v>1.83</v>
      </c>
      <c r="H1233" s="63">
        <v>1.74</v>
      </c>
      <c r="I1233" s="63">
        <v>1.81</v>
      </c>
      <c r="J1233" s="64">
        <v>-3.07</v>
      </c>
      <c r="K1233" s="65">
        <v>-0.62649999999999995</v>
      </c>
      <c r="L1233" s="66">
        <v>17134</v>
      </c>
      <c r="M1233" s="66">
        <v>8800</v>
      </c>
      <c r="N1233" s="67">
        <v>0.41310000000000002</v>
      </c>
      <c r="O1233" t="s">
        <v>62</v>
      </c>
      <c r="P1233" s="9">
        <v>46107</v>
      </c>
      <c r="Q1233">
        <v>207.54</v>
      </c>
    </row>
    <row r="1234" spans="1:17" x14ac:dyDescent="0.25">
      <c r="A1234" s="12" t="s">
        <v>889</v>
      </c>
      <c r="B1234" s="3" t="str">
        <f t="shared" si="61"/>
        <v>AMZN</v>
      </c>
      <c r="C1234" s="3" t="str">
        <f t="shared" si="59"/>
        <v>260327</v>
      </c>
      <c r="D1234" s="3" t="str">
        <f t="shared" si="60"/>
        <v>C00210000</v>
      </c>
      <c r="E1234" s="63" t="s">
        <v>1019</v>
      </c>
      <c r="F1234" s="13">
        <v>210</v>
      </c>
      <c r="G1234" s="63">
        <v>0.74</v>
      </c>
      <c r="H1234" s="63">
        <v>0.72</v>
      </c>
      <c r="I1234" s="63">
        <v>0.76</v>
      </c>
      <c r="J1234" s="64">
        <v>-2.46</v>
      </c>
      <c r="K1234" s="65">
        <v>-0.76880000000000004</v>
      </c>
      <c r="L1234" s="66">
        <v>30087</v>
      </c>
      <c r="M1234" s="66">
        <v>16119</v>
      </c>
      <c r="N1234" s="67">
        <v>0.39400000000000002</v>
      </c>
      <c r="O1234" t="s">
        <v>62</v>
      </c>
      <c r="P1234" s="9">
        <v>46107</v>
      </c>
      <c r="Q1234">
        <v>207.54</v>
      </c>
    </row>
    <row r="1235" spans="1:17" x14ac:dyDescent="0.25">
      <c r="A1235" s="12" t="s">
        <v>891</v>
      </c>
      <c r="B1235" s="3" t="str">
        <f t="shared" si="61"/>
        <v>AMZN</v>
      </c>
      <c r="C1235" s="3" t="str">
        <f t="shared" si="59"/>
        <v>260327</v>
      </c>
      <c r="D1235" s="3" t="str">
        <f t="shared" si="60"/>
        <v>C00212500</v>
      </c>
      <c r="E1235" s="63" t="s">
        <v>1019</v>
      </c>
      <c r="F1235" s="13">
        <v>212.5</v>
      </c>
      <c r="G1235" s="63">
        <v>0.26</v>
      </c>
      <c r="H1235" s="63">
        <v>0.24</v>
      </c>
      <c r="I1235" s="63">
        <v>0.25</v>
      </c>
      <c r="J1235" s="64">
        <v>-1.5</v>
      </c>
      <c r="K1235" s="65">
        <v>-0.85229999999999995</v>
      </c>
      <c r="L1235" s="66">
        <v>35399</v>
      </c>
      <c r="M1235" s="66">
        <v>11796</v>
      </c>
      <c r="N1235" s="67">
        <v>0.38479999999999998</v>
      </c>
      <c r="O1235" t="s">
        <v>62</v>
      </c>
      <c r="P1235" s="9">
        <v>46107</v>
      </c>
      <c r="Q1235">
        <v>207.54</v>
      </c>
    </row>
    <row r="1236" spans="1:17" x14ac:dyDescent="0.25">
      <c r="A1236" s="12" t="s">
        <v>892</v>
      </c>
      <c r="B1236" s="3" t="str">
        <f t="shared" si="61"/>
        <v>AMZN</v>
      </c>
      <c r="C1236" s="3" t="str">
        <f t="shared" si="59"/>
        <v>260327</v>
      </c>
      <c r="D1236" s="3" t="str">
        <f t="shared" si="60"/>
        <v>C00215000</v>
      </c>
      <c r="E1236" s="63" t="s">
        <v>1019</v>
      </c>
      <c r="F1236" s="13">
        <v>215</v>
      </c>
      <c r="G1236" s="63">
        <v>0.09</v>
      </c>
      <c r="H1236" s="63">
        <v>0.09</v>
      </c>
      <c r="I1236" s="63">
        <v>0.1</v>
      </c>
      <c r="J1236" s="64">
        <v>-0.69</v>
      </c>
      <c r="K1236" s="65">
        <v>-0.88460000000000005</v>
      </c>
      <c r="L1236" s="66">
        <v>24664</v>
      </c>
      <c r="M1236" s="66">
        <v>17002</v>
      </c>
      <c r="N1236" s="67">
        <v>0.41410000000000002</v>
      </c>
      <c r="O1236" t="s">
        <v>62</v>
      </c>
      <c r="P1236" s="9">
        <v>46107</v>
      </c>
      <c r="Q1236">
        <v>207.54</v>
      </c>
    </row>
    <row r="1237" spans="1:17" x14ac:dyDescent="0.25">
      <c r="A1237" s="12" t="s">
        <v>893</v>
      </c>
      <c r="B1237" s="3" t="str">
        <f t="shared" si="61"/>
        <v>AMZN</v>
      </c>
      <c r="C1237" s="3" t="str">
        <f t="shared" si="59"/>
        <v>260327</v>
      </c>
      <c r="D1237" s="3" t="str">
        <f t="shared" si="60"/>
        <v>C00217500</v>
      </c>
      <c r="E1237" s="63" t="s">
        <v>1019</v>
      </c>
      <c r="F1237" s="13">
        <v>217.5</v>
      </c>
      <c r="G1237" s="63">
        <v>0.05</v>
      </c>
      <c r="H1237" s="63">
        <v>0.05</v>
      </c>
      <c r="I1237" s="63">
        <v>0.06</v>
      </c>
      <c r="J1237" s="64">
        <v>-0.24</v>
      </c>
      <c r="K1237" s="65">
        <v>-0.8276</v>
      </c>
      <c r="L1237" s="66">
        <v>9452</v>
      </c>
      <c r="M1237" s="66">
        <v>16111</v>
      </c>
      <c r="N1237" s="67">
        <v>0.47460000000000002</v>
      </c>
      <c r="O1237" t="s">
        <v>62</v>
      </c>
      <c r="P1237" s="9">
        <v>46107</v>
      </c>
      <c r="Q1237">
        <v>207.54</v>
      </c>
    </row>
    <row r="1238" spans="1:17" x14ac:dyDescent="0.25">
      <c r="A1238" s="12" t="s">
        <v>894</v>
      </c>
      <c r="B1238" s="3" t="str">
        <f t="shared" si="61"/>
        <v>AMZN</v>
      </c>
      <c r="C1238" s="3" t="str">
        <f t="shared" si="59"/>
        <v>260327</v>
      </c>
      <c r="D1238" s="3" t="str">
        <f t="shared" si="60"/>
        <v>C00220000</v>
      </c>
      <c r="E1238" s="63" t="s">
        <v>1019</v>
      </c>
      <c r="F1238" s="13">
        <v>220</v>
      </c>
      <c r="G1238" s="63">
        <v>0.04</v>
      </c>
      <c r="H1238" s="63">
        <v>0.03</v>
      </c>
      <c r="I1238" s="63">
        <v>0.04</v>
      </c>
      <c r="J1238" s="64">
        <v>-7.0000000000000007E-2</v>
      </c>
      <c r="K1238" s="65">
        <v>-0.63639999999999997</v>
      </c>
      <c r="L1238" s="66">
        <v>8152</v>
      </c>
      <c r="M1238" s="66">
        <v>18846</v>
      </c>
      <c r="N1238" s="67">
        <v>0.52339999999999998</v>
      </c>
      <c r="O1238" t="s">
        <v>62</v>
      </c>
      <c r="P1238" s="9">
        <v>46107</v>
      </c>
      <c r="Q1238">
        <v>207.54</v>
      </c>
    </row>
    <row r="1239" spans="1:17" x14ac:dyDescent="0.25">
      <c r="A1239" s="12" t="s">
        <v>895</v>
      </c>
      <c r="B1239" s="3" t="str">
        <f t="shared" si="61"/>
        <v>AMZN</v>
      </c>
      <c r="C1239" s="3" t="str">
        <f t="shared" si="59"/>
        <v>260327</v>
      </c>
      <c r="D1239" s="3" t="str">
        <f t="shared" si="60"/>
        <v>C00222500</v>
      </c>
      <c r="E1239" s="63" t="s">
        <v>1020</v>
      </c>
      <c r="F1239" s="13">
        <v>222.5</v>
      </c>
      <c r="G1239" s="63">
        <v>0.02</v>
      </c>
      <c r="H1239" s="63">
        <v>0.02</v>
      </c>
      <c r="I1239" s="63">
        <v>0.03</v>
      </c>
      <c r="J1239" s="64">
        <v>-0.04</v>
      </c>
      <c r="K1239" s="65">
        <v>-0.66669999999999996</v>
      </c>
      <c r="L1239" s="66">
        <v>2383</v>
      </c>
      <c r="M1239" s="66">
        <v>14272</v>
      </c>
      <c r="N1239" s="67">
        <v>0.58199999999999996</v>
      </c>
      <c r="O1239" t="s">
        <v>62</v>
      </c>
      <c r="P1239" s="9">
        <v>46107</v>
      </c>
      <c r="Q1239">
        <v>207.54</v>
      </c>
    </row>
    <row r="1240" spans="1:17" x14ac:dyDescent="0.25">
      <c r="A1240" s="12" t="s">
        <v>896</v>
      </c>
      <c r="B1240" s="3" t="str">
        <f t="shared" si="61"/>
        <v>AMZN</v>
      </c>
      <c r="C1240" s="3" t="str">
        <f t="shared" si="59"/>
        <v>260327</v>
      </c>
      <c r="D1240" s="3" t="str">
        <f t="shared" si="60"/>
        <v>C00225000</v>
      </c>
      <c r="E1240" s="63" t="s">
        <v>1021</v>
      </c>
      <c r="F1240" s="13">
        <v>225</v>
      </c>
      <c r="G1240" s="63">
        <v>0.02</v>
      </c>
      <c r="H1240" s="63">
        <v>0.01</v>
      </c>
      <c r="I1240" s="63">
        <v>0.02</v>
      </c>
      <c r="J1240" s="64">
        <v>-0.01</v>
      </c>
      <c r="K1240" s="65">
        <v>-0.33329999999999999</v>
      </c>
      <c r="L1240" s="63">
        <v>763</v>
      </c>
      <c r="M1240" s="66">
        <v>10911</v>
      </c>
      <c r="N1240" s="67">
        <v>0.625</v>
      </c>
      <c r="O1240" t="s">
        <v>62</v>
      </c>
      <c r="P1240" s="9">
        <v>46107</v>
      </c>
      <c r="Q1240">
        <v>207.54</v>
      </c>
    </row>
    <row r="1241" spans="1:17" x14ac:dyDescent="0.25">
      <c r="A1241" s="12" t="s">
        <v>897</v>
      </c>
      <c r="B1241" s="3" t="str">
        <f t="shared" si="61"/>
        <v>AMZN</v>
      </c>
      <c r="C1241" s="3" t="str">
        <f t="shared" si="59"/>
        <v>260327</v>
      </c>
      <c r="D1241" s="3" t="str">
        <f t="shared" si="60"/>
        <v>C00227500</v>
      </c>
      <c r="E1241" s="63" t="s">
        <v>1022</v>
      </c>
      <c r="F1241" s="13">
        <v>227.5</v>
      </c>
      <c r="G1241" s="63">
        <v>0.01</v>
      </c>
      <c r="H1241" s="63">
        <v>0</v>
      </c>
      <c r="I1241" s="63">
        <v>0.01</v>
      </c>
      <c r="J1241" s="64">
        <v>-0.02</v>
      </c>
      <c r="K1241" s="65">
        <v>-0.66669999999999996</v>
      </c>
      <c r="L1241" s="63">
        <v>188</v>
      </c>
      <c r="M1241" s="66">
        <v>5213</v>
      </c>
      <c r="N1241" s="67">
        <v>0.625</v>
      </c>
      <c r="O1241" t="s">
        <v>62</v>
      </c>
      <c r="P1241" s="9">
        <v>46107</v>
      </c>
      <c r="Q1241">
        <v>207.54</v>
      </c>
    </row>
    <row r="1242" spans="1:17" x14ac:dyDescent="0.25">
      <c r="A1242" s="12" t="s">
        <v>899</v>
      </c>
      <c r="B1242" s="3" t="str">
        <f t="shared" si="61"/>
        <v>AMZN</v>
      </c>
      <c r="C1242" s="3" t="str">
        <f t="shared" si="59"/>
        <v>260327</v>
      </c>
      <c r="D1242" s="3" t="str">
        <f t="shared" si="60"/>
        <v>C00230000</v>
      </c>
      <c r="E1242" s="63" t="s">
        <v>1023</v>
      </c>
      <c r="F1242" s="13">
        <v>230</v>
      </c>
      <c r="G1242" s="63">
        <v>0.01</v>
      </c>
      <c r="H1242" s="63">
        <v>0</v>
      </c>
      <c r="I1242" s="63">
        <v>0.01</v>
      </c>
      <c r="J1242" s="64">
        <v>-0.01</v>
      </c>
      <c r="K1242" s="65">
        <v>-0.5</v>
      </c>
      <c r="L1242" s="63">
        <v>552</v>
      </c>
      <c r="M1242" s="66">
        <v>7309</v>
      </c>
      <c r="N1242" s="67">
        <v>0.6875</v>
      </c>
      <c r="O1242" t="s">
        <v>62</v>
      </c>
      <c r="P1242" s="9">
        <v>46107</v>
      </c>
      <c r="Q1242">
        <v>207.54</v>
      </c>
    </row>
    <row r="1243" spans="1:17" x14ac:dyDescent="0.25">
      <c r="A1243" s="12" t="s">
        <v>900</v>
      </c>
      <c r="B1243" s="3" t="str">
        <f t="shared" si="61"/>
        <v>AMZN</v>
      </c>
      <c r="C1243" s="3" t="str">
        <f t="shared" si="59"/>
        <v>260327</v>
      </c>
      <c r="D1243" s="3" t="str">
        <f t="shared" si="60"/>
        <v>C00232500</v>
      </c>
      <c r="E1243" s="63" t="s">
        <v>1024</v>
      </c>
      <c r="F1243" s="13">
        <v>232.5</v>
      </c>
      <c r="G1243" s="63">
        <v>0.01</v>
      </c>
      <c r="H1243" s="63">
        <v>0</v>
      </c>
      <c r="I1243" s="63">
        <v>0.01</v>
      </c>
      <c r="J1243" s="63">
        <v>0</v>
      </c>
      <c r="K1243" s="68">
        <v>0</v>
      </c>
      <c r="L1243" s="63">
        <v>26</v>
      </c>
      <c r="M1243" s="66">
        <v>1627</v>
      </c>
      <c r="N1243" s="67">
        <v>0.75</v>
      </c>
      <c r="O1243" t="s">
        <v>62</v>
      </c>
      <c r="P1243" s="9">
        <v>46107</v>
      </c>
      <c r="Q1243">
        <v>207.54</v>
      </c>
    </row>
    <row r="1244" spans="1:17" x14ac:dyDescent="0.25">
      <c r="A1244" s="12" t="s">
        <v>901</v>
      </c>
      <c r="B1244" s="3" t="str">
        <f t="shared" si="61"/>
        <v>AMZN</v>
      </c>
      <c r="C1244" s="3" t="str">
        <f t="shared" si="59"/>
        <v>260327</v>
      </c>
      <c r="D1244" s="3" t="str">
        <f t="shared" si="60"/>
        <v>C00235000</v>
      </c>
      <c r="E1244" s="63" t="s">
        <v>1025</v>
      </c>
      <c r="F1244" s="13">
        <v>235</v>
      </c>
      <c r="G1244" s="63">
        <v>0.01</v>
      </c>
      <c r="H1244" s="63">
        <v>0</v>
      </c>
      <c r="I1244" s="63">
        <v>0.01</v>
      </c>
      <c r="J1244" s="63">
        <v>0</v>
      </c>
      <c r="K1244" s="68">
        <v>0</v>
      </c>
      <c r="L1244" s="63">
        <v>101</v>
      </c>
      <c r="M1244" s="66">
        <v>2992</v>
      </c>
      <c r="N1244" s="67">
        <v>0.8125</v>
      </c>
      <c r="O1244" t="s">
        <v>62</v>
      </c>
      <c r="P1244" s="9">
        <v>46107</v>
      </c>
      <c r="Q1244">
        <v>207.54</v>
      </c>
    </row>
    <row r="1245" spans="1:17" x14ac:dyDescent="0.25">
      <c r="A1245" s="12" t="s">
        <v>902</v>
      </c>
      <c r="B1245" s="3" t="str">
        <f t="shared" si="61"/>
        <v>AMZN</v>
      </c>
      <c r="C1245" s="3" t="str">
        <f t="shared" si="59"/>
        <v>260327</v>
      </c>
      <c r="D1245" s="3" t="str">
        <f t="shared" si="60"/>
        <v>C00237500</v>
      </c>
      <c r="E1245" s="63" t="s">
        <v>1026</v>
      </c>
      <c r="F1245" s="13">
        <v>237.5</v>
      </c>
      <c r="G1245" s="63">
        <v>0.02</v>
      </c>
      <c r="H1245" s="63">
        <v>0</v>
      </c>
      <c r="I1245" s="63">
        <v>0.02</v>
      </c>
      <c r="J1245" s="70">
        <v>0.01</v>
      </c>
      <c r="K1245" s="71">
        <v>1</v>
      </c>
      <c r="L1245" s="63">
        <v>9</v>
      </c>
      <c r="M1245" s="63">
        <v>709</v>
      </c>
      <c r="N1245" s="67">
        <v>0.9375</v>
      </c>
      <c r="O1245" t="s">
        <v>62</v>
      </c>
      <c r="P1245" s="9">
        <v>46107</v>
      </c>
      <c r="Q1245">
        <v>207.54</v>
      </c>
    </row>
    <row r="1246" spans="1:17" x14ac:dyDescent="0.25">
      <c r="A1246" s="12" t="s">
        <v>904</v>
      </c>
      <c r="B1246" s="3" t="str">
        <f t="shared" si="61"/>
        <v>AMZN</v>
      </c>
      <c r="C1246" s="3" t="str">
        <f t="shared" si="59"/>
        <v>260327</v>
      </c>
      <c r="D1246" s="3" t="str">
        <f t="shared" si="60"/>
        <v>C00240000</v>
      </c>
      <c r="E1246" s="63" t="s">
        <v>1027</v>
      </c>
      <c r="F1246" s="13">
        <v>240</v>
      </c>
      <c r="G1246" s="63">
        <v>0.01</v>
      </c>
      <c r="H1246" s="63">
        <v>0</v>
      </c>
      <c r="I1246" s="63">
        <v>0.01</v>
      </c>
      <c r="J1246" s="63">
        <v>0</v>
      </c>
      <c r="K1246" s="68">
        <v>0</v>
      </c>
      <c r="L1246" s="63">
        <v>87</v>
      </c>
      <c r="M1246" s="66">
        <v>4296</v>
      </c>
      <c r="N1246" s="67">
        <v>0.9375</v>
      </c>
      <c r="O1246" t="s">
        <v>62</v>
      </c>
      <c r="P1246" s="9">
        <v>46107</v>
      </c>
      <c r="Q1246">
        <v>207.54</v>
      </c>
    </row>
    <row r="1247" spans="1:17" x14ac:dyDescent="0.25">
      <c r="A1247" s="12" t="s">
        <v>906</v>
      </c>
      <c r="B1247" s="3" t="str">
        <f t="shared" si="61"/>
        <v>AMZN</v>
      </c>
      <c r="C1247" s="3" t="str">
        <f t="shared" si="59"/>
        <v>260327</v>
      </c>
      <c r="D1247" s="3" t="str">
        <f t="shared" si="60"/>
        <v>C00245000</v>
      </c>
      <c r="E1247" s="63" t="s">
        <v>907</v>
      </c>
      <c r="F1247" s="13">
        <v>245</v>
      </c>
      <c r="G1247" s="63">
        <v>0.01</v>
      </c>
      <c r="H1247" s="63">
        <v>0</v>
      </c>
      <c r="I1247" s="63">
        <v>0.01</v>
      </c>
      <c r="J1247" s="63">
        <v>0</v>
      </c>
      <c r="K1247" s="68">
        <v>0</v>
      </c>
      <c r="L1247" s="63">
        <v>3</v>
      </c>
      <c r="M1247" s="66">
        <v>1518</v>
      </c>
      <c r="N1247" s="67">
        <v>1.0625</v>
      </c>
      <c r="O1247" t="s">
        <v>62</v>
      </c>
      <c r="P1247" s="9">
        <v>46107</v>
      </c>
      <c r="Q1247">
        <v>207.54</v>
      </c>
    </row>
    <row r="1248" spans="1:17" x14ac:dyDescent="0.25">
      <c r="A1248" s="12" t="s">
        <v>908</v>
      </c>
      <c r="B1248" s="3" t="str">
        <f t="shared" si="61"/>
        <v>AMZN</v>
      </c>
      <c r="C1248" s="3" t="str">
        <f t="shared" si="59"/>
        <v>260327</v>
      </c>
      <c r="D1248" s="3" t="str">
        <f t="shared" si="60"/>
        <v>C00250000</v>
      </c>
      <c r="E1248" s="63" t="s">
        <v>1028</v>
      </c>
      <c r="F1248" s="13">
        <v>250</v>
      </c>
      <c r="G1248" s="63">
        <v>0.01</v>
      </c>
      <c r="H1248" s="63">
        <v>0</v>
      </c>
      <c r="I1248" s="63">
        <v>0.01</v>
      </c>
      <c r="J1248" s="63">
        <v>0</v>
      </c>
      <c r="K1248" s="68">
        <v>0</v>
      </c>
      <c r="L1248" s="63">
        <v>3</v>
      </c>
      <c r="M1248" s="66">
        <v>2142</v>
      </c>
      <c r="N1248" s="67">
        <v>1.1875</v>
      </c>
      <c r="O1248" t="s">
        <v>62</v>
      </c>
      <c r="P1248" s="9">
        <v>46107</v>
      </c>
      <c r="Q1248">
        <v>207.54</v>
      </c>
    </row>
    <row r="1249" spans="1:17" x14ac:dyDescent="0.25">
      <c r="A1249" s="12" t="s">
        <v>910</v>
      </c>
      <c r="B1249" s="3" t="str">
        <f t="shared" si="61"/>
        <v>AMZN</v>
      </c>
      <c r="C1249" s="3" t="str">
        <f t="shared" si="59"/>
        <v>260327</v>
      </c>
      <c r="D1249" s="3" t="str">
        <f t="shared" si="60"/>
        <v>C00255000</v>
      </c>
      <c r="E1249" s="63" t="s">
        <v>1029</v>
      </c>
      <c r="F1249" s="13">
        <v>255</v>
      </c>
      <c r="G1249" s="63">
        <v>0.02</v>
      </c>
      <c r="H1249" s="63">
        <v>0</v>
      </c>
      <c r="I1249" s="63">
        <v>0.01</v>
      </c>
      <c r="J1249" s="70">
        <v>0.01</v>
      </c>
      <c r="K1249" s="71">
        <v>1</v>
      </c>
      <c r="L1249" s="63">
        <v>5</v>
      </c>
      <c r="M1249" s="63">
        <v>518</v>
      </c>
      <c r="N1249" s="67">
        <v>1.2813000000000001</v>
      </c>
      <c r="O1249" t="s">
        <v>62</v>
      </c>
      <c r="P1249" s="9">
        <v>46107</v>
      </c>
      <c r="Q1249">
        <v>207.54</v>
      </c>
    </row>
    <row r="1250" spans="1:17" x14ac:dyDescent="0.25">
      <c r="A1250" s="12" t="s">
        <v>912</v>
      </c>
      <c r="B1250" s="3" t="str">
        <f t="shared" si="61"/>
        <v>AMZN</v>
      </c>
      <c r="C1250" s="3" t="str">
        <f t="shared" si="59"/>
        <v>260327</v>
      </c>
      <c r="D1250" s="3" t="str">
        <f t="shared" si="60"/>
        <v>C00260000</v>
      </c>
      <c r="E1250" s="63" t="s">
        <v>1030</v>
      </c>
      <c r="F1250" s="13">
        <v>260</v>
      </c>
      <c r="G1250" s="63">
        <v>0.01</v>
      </c>
      <c r="H1250" s="63">
        <v>0</v>
      </c>
      <c r="I1250" s="63">
        <v>0.01</v>
      </c>
      <c r="J1250" s="63">
        <v>0</v>
      </c>
      <c r="K1250" s="68">
        <v>0</v>
      </c>
      <c r="L1250" s="63">
        <v>6</v>
      </c>
      <c r="M1250" s="63">
        <v>605</v>
      </c>
      <c r="N1250" s="67">
        <v>1.4063000000000001</v>
      </c>
      <c r="O1250" t="s">
        <v>62</v>
      </c>
      <c r="P1250" s="9">
        <v>46107</v>
      </c>
      <c r="Q1250">
        <v>207.54</v>
      </c>
    </row>
    <row r="1251" spans="1:17" x14ac:dyDescent="0.25">
      <c r="A1251" s="12" t="s">
        <v>914</v>
      </c>
      <c r="B1251" s="3" t="str">
        <f t="shared" si="61"/>
        <v>AMZN</v>
      </c>
      <c r="C1251" s="3" t="str">
        <f t="shared" si="59"/>
        <v>260327</v>
      </c>
      <c r="D1251" s="3" t="str">
        <f t="shared" si="60"/>
        <v>C00265000</v>
      </c>
      <c r="E1251" s="63" t="s">
        <v>915</v>
      </c>
      <c r="F1251" s="13">
        <v>265</v>
      </c>
      <c r="G1251" s="63">
        <v>0.03</v>
      </c>
      <c r="H1251" s="63">
        <v>0</v>
      </c>
      <c r="I1251" s="63">
        <v>0.02</v>
      </c>
      <c r="J1251" s="63">
        <v>0</v>
      </c>
      <c r="K1251" s="68">
        <v>0</v>
      </c>
      <c r="L1251" s="63">
        <v>12</v>
      </c>
      <c r="M1251" s="63">
        <v>557</v>
      </c>
      <c r="N1251" s="67">
        <v>1.5938000000000001</v>
      </c>
      <c r="O1251" t="s">
        <v>62</v>
      </c>
      <c r="P1251" s="9">
        <v>46107</v>
      </c>
      <c r="Q1251">
        <v>207.54</v>
      </c>
    </row>
    <row r="1252" spans="1:17" x14ac:dyDescent="0.25">
      <c r="A1252" s="12" t="s">
        <v>916</v>
      </c>
      <c r="B1252" s="3" t="str">
        <f t="shared" si="61"/>
        <v>AMZN</v>
      </c>
      <c r="C1252" s="3" t="str">
        <f t="shared" si="59"/>
        <v>260327</v>
      </c>
      <c r="D1252" s="3" t="str">
        <f t="shared" si="60"/>
        <v>C00270000</v>
      </c>
      <c r="E1252" s="63" t="s">
        <v>917</v>
      </c>
      <c r="F1252" s="13">
        <v>270</v>
      </c>
      <c r="G1252" s="63">
        <v>0.01</v>
      </c>
      <c r="H1252" s="63">
        <v>0</v>
      </c>
      <c r="I1252" s="63">
        <v>0.01</v>
      </c>
      <c r="J1252" s="63">
        <v>0</v>
      </c>
      <c r="K1252" s="68">
        <v>0</v>
      </c>
      <c r="L1252" s="63">
        <v>54</v>
      </c>
      <c r="M1252" s="63">
        <v>85</v>
      </c>
      <c r="N1252" s="67">
        <v>1.625</v>
      </c>
      <c r="O1252" t="s">
        <v>62</v>
      </c>
      <c r="P1252" s="9">
        <v>46107</v>
      </c>
      <c r="Q1252">
        <v>207.54</v>
      </c>
    </row>
    <row r="1253" spans="1:17" x14ac:dyDescent="0.25">
      <c r="A1253" s="12" t="s">
        <v>918</v>
      </c>
      <c r="B1253" s="3" t="str">
        <f t="shared" si="61"/>
        <v>AMZN</v>
      </c>
      <c r="C1253" s="3" t="str">
        <f t="shared" si="59"/>
        <v>260327</v>
      </c>
      <c r="D1253" s="3" t="str">
        <f t="shared" si="60"/>
        <v>C00275000</v>
      </c>
      <c r="E1253" s="63" t="s">
        <v>919</v>
      </c>
      <c r="F1253" s="13">
        <v>275</v>
      </c>
      <c r="G1253" s="63">
        <v>0.01</v>
      </c>
      <c r="H1253" s="63">
        <v>0</v>
      </c>
      <c r="I1253" s="63">
        <v>0.01</v>
      </c>
      <c r="J1253" s="63">
        <v>0</v>
      </c>
      <c r="K1253" s="68">
        <v>0</v>
      </c>
      <c r="L1253" s="63">
        <v>54</v>
      </c>
      <c r="M1253" s="63">
        <v>20</v>
      </c>
      <c r="N1253" s="67">
        <v>1.6875</v>
      </c>
      <c r="O1253" t="s">
        <v>62</v>
      </c>
      <c r="P1253" s="9">
        <v>46107</v>
      </c>
      <c r="Q1253">
        <v>207.54</v>
      </c>
    </row>
    <row r="1254" spans="1:17" x14ac:dyDescent="0.25">
      <c r="A1254" s="12" t="s">
        <v>920</v>
      </c>
      <c r="B1254" s="3" t="str">
        <f t="shared" si="61"/>
        <v>AMZN</v>
      </c>
      <c r="C1254" s="3" t="str">
        <f t="shared" si="59"/>
        <v>260327</v>
      </c>
      <c r="D1254" s="3" t="str">
        <f t="shared" si="60"/>
        <v>C00280000</v>
      </c>
      <c r="E1254" s="63" t="s">
        <v>921</v>
      </c>
      <c r="F1254" s="13">
        <v>280</v>
      </c>
      <c r="G1254" s="63">
        <v>0.01</v>
      </c>
      <c r="H1254" s="63">
        <v>0</v>
      </c>
      <c r="I1254" s="63">
        <v>0.24</v>
      </c>
      <c r="J1254" s="63">
        <v>0</v>
      </c>
      <c r="K1254" s="68">
        <v>0</v>
      </c>
      <c r="L1254" s="63">
        <v>54</v>
      </c>
      <c r="M1254" s="63">
        <v>72</v>
      </c>
      <c r="N1254" s="67">
        <v>2.5</v>
      </c>
      <c r="O1254" t="s">
        <v>62</v>
      </c>
      <c r="P1254" s="9">
        <v>46107</v>
      </c>
      <c r="Q1254">
        <v>207.54</v>
      </c>
    </row>
    <row r="1255" spans="1:17" x14ac:dyDescent="0.25">
      <c r="A1255" s="12" t="s">
        <v>922</v>
      </c>
      <c r="B1255" s="3" t="str">
        <f t="shared" si="61"/>
        <v>AMZN</v>
      </c>
      <c r="C1255" s="3" t="str">
        <f t="shared" si="59"/>
        <v>260327</v>
      </c>
      <c r="D1255" s="3" t="str">
        <f t="shared" si="60"/>
        <v>C00285000</v>
      </c>
      <c r="E1255" s="63" t="s">
        <v>923</v>
      </c>
      <c r="F1255" s="13">
        <v>285</v>
      </c>
      <c r="G1255" s="63">
        <v>0.05</v>
      </c>
      <c r="H1255" s="63">
        <v>0</v>
      </c>
      <c r="I1255" s="63">
        <v>0.24</v>
      </c>
      <c r="J1255" s="63">
        <v>0</v>
      </c>
      <c r="K1255" s="68">
        <v>0</v>
      </c>
      <c r="L1255" s="63">
        <v>1</v>
      </c>
      <c r="M1255" s="63">
        <v>2</v>
      </c>
      <c r="N1255" s="67">
        <v>2.625</v>
      </c>
      <c r="O1255" t="s">
        <v>62</v>
      </c>
      <c r="P1255" s="9">
        <v>46107</v>
      </c>
      <c r="Q1255">
        <v>207.54</v>
      </c>
    </row>
    <row r="1256" spans="1:17" x14ac:dyDescent="0.25">
      <c r="A1256" s="12" t="s">
        <v>924</v>
      </c>
      <c r="B1256" s="3" t="str">
        <f t="shared" si="61"/>
        <v>AMZN</v>
      </c>
      <c r="C1256" s="3" t="str">
        <f t="shared" si="59"/>
        <v>260327</v>
      </c>
      <c r="D1256" s="3" t="str">
        <f t="shared" si="60"/>
        <v>C00290000</v>
      </c>
      <c r="E1256" s="63" t="s">
        <v>925</v>
      </c>
      <c r="F1256" s="13">
        <v>290</v>
      </c>
      <c r="G1256" s="63">
        <v>0.02</v>
      </c>
      <c r="H1256" s="63">
        <v>0</v>
      </c>
      <c r="I1256" s="63">
        <v>0.24</v>
      </c>
      <c r="J1256" s="63">
        <v>0</v>
      </c>
      <c r="K1256" s="68">
        <v>0</v>
      </c>
      <c r="L1256" s="63">
        <v>54</v>
      </c>
      <c r="M1256" s="63">
        <v>3</v>
      </c>
      <c r="N1256" s="67">
        <v>2.75</v>
      </c>
      <c r="O1256" t="s">
        <v>62</v>
      </c>
      <c r="P1256" s="9">
        <v>46107</v>
      </c>
      <c r="Q1256">
        <v>207.54</v>
      </c>
    </row>
    <row r="1257" spans="1:17" x14ac:dyDescent="0.25">
      <c r="A1257" s="12" t="s">
        <v>926</v>
      </c>
      <c r="B1257" s="3" t="str">
        <f t="shared" si="61"/>
        <v>AMZN</v>
      </c>
      <c r="C1257" s="3" t="str">
        <f t="shared" si="59"/>
        <v>260327</v>
      </c>
      <c r="D1257" s="3" t="str">
        <f t="shared" si="60"/>
        <v>C00295000</v>
      </c>
      <c r="E1257" s="63" t="s">
        <v>1031</v>
      </c>
      <c r="F1257" s="13">
        <v>295</v>
      </c>
      <c r="G1257" s="63">
        <v>0.09</v>
      </c>
      <c r="H1257" s="63">
        <v>0</v>
      </c>
      <c r="I1257" s="63">
        <v>0.1</v>
      </c>
      <c r="J1257" s="70">
        <v>0.08</v>
      </c>
      <c r="K1257" s="71">
        <v>8</v>
      </c>
      <c r="L1257" s="63">
        <v>39</v>
      </c>
      <c r="M1257" s="63">
        <v>55</v>
      </c>
      <c r="N1257" s="67">
        <v>2.5937999999999999</v>
      </c>
      <c r="O1257" t="s">
        <v>62</v>
      </c>
      <c r="P1257" s="9">
        <v>46107</v>
      </c>
      <c r="Q1257">
        <v>207.54</v>
      </c>
    </row>
    <row r="1258" spans="1:17" x14ac:dyDescent="0.25">
      <c r="A1258" s="12" t="s">
        <v>928</v>
      </c>
      <c r="B1258" s="3" t="str">
        <f t="shared" si="61"/>
        <v>AMZN</v>
      </c>
      <c r="C1258" s="3" t="str">
        <f t="shared" si="59"/>
        <v>260327</v>
      </c>
      <c r="D1258" s="3" t="str">
        <f t="shared" si="60"/>
        <v>C00300000</v>
      </c>
      <c r="E1258" s="63" t="s">
        <v>929</v>
      </c>
      <c r="F1258" s="13">
        <v>300</v>
      </c>
      <c r="G1258" s="63">
        <v>0.04</v>
      </c>
      <c r="H1258" s="63">
        <v>0</v>
      </c>
      <c r="I1258" s="63">
        <v>0.05</v>
      </c>
      <c r="J1258" s="63">
        <v>0</v>
      </c>
      <c r="K1258" s="68">
        <v>0</v>
      </c>
      <c r="L1258" s="63">
        <v>54</v>
      </c>
      <c r="M1258" s="63">
        <v>33</v>
      </c>
      <c r="N1258" s="67">
        <v>2.5156000000000001</v>
      </c>
      <c r="O1258" t="s">
        <v>62</v>
      </c>
      <c r="P1258" s="9">
        <v>46107</v>
      </c>
      <c r="Q1258">
        <v>207.54</v>
      </c>
    </row>
    <row r="1259" spans="1:17" x14ac:dyDescent="0.25">
      <c r="A1259" s="12" t="s">
        <v>930</v>
      </c>
      <c r="B1259" s="3" t="str">
        <f t="shared" si="61"/>
        <v>AMZN</v>
      </c>
      <c r="C1259" s="3" t="str">
        <f t="shared" si="59"/>
        <v>260327</v>
      </c>
      <c r="D1259" s="3" t="str">
        <f t="shared" si="60"/>
        <v>C00305000</v>
      </c>
      <c r="E1259" s="63" t="s">
        <v>1031</v>
      </c>
      <c r="F1259" s="13">
        <v>305</v>
      </c>
      <c r="G1259" s="63">
        <v>0.02</v>
      </c>
      <c r="H1259" s="63">
        <v>0</v>
      </c>
      <c r="I1259" s="63">
        <v>0.01</v>
      </c>
      <c r="J1259" s="64">
        <v>-0.06</v>
      </c>
      <c r="K1259" s="65">
        <v>-0.75</v>
      </c>
      <c r="L1259" s="63">
        <v>78</v>
      </c>
      <c r="M1259" s="63">
        <v>28</v>
      </c>
      <c r="N1259" s="67">
        <v>2.25</v>
      </c>
      <c r="O1259" t="s">
        <v>62</v>
      </c>
      <c r="P1259" s="9">
        <v>46107</v>
      </c>
      <c r="Q1259">
        <v>207.54</v>
      </c>
    </row>
    <row r="1260" spans="1:17" x14ac:dyDescent="0.25">
      <c r="A1260" s="12" t="s">
        <v>931</v>
      </c>
      <c r="B1260" s="3" t="str">
        <f t="shared" si="61"/>
        <v>AMZN</v>
      </c>
      <c r="C1260" s="3" t="str">
        <f t="shared" si="59"/>
        <v>260327</v>
      </c>
      <c r="D1260" s="3" t="str">
        <f t="shared" si="60"/>
        <v>C00310000</v>
      </c>
      <c r="E1260" s="63" t="s">
        <v>1029</v>
      </c>
      <c r="F1260" s="13">
        <v>310</v>
      </c>
      <c r="G1260" s="63">
        <v>0.02</v>
      </c>
      <c r="H1260" s="63">
        <v>0</v>
      </c>
      <c r="I1260" s="63">
        <v>0.01</v>
      </c>
      <c r="J1260" s="64">
        <v>-0.02</v>
      </c>
      <c r="K1260" s="65">
        <v>-0.5</v>
      </c>
      <c r="L1260" s="63">
        <v>39</v>
      </c>
      <c r="M1260" s="63">
        <v>56</v>
      </c>
      <c r="N1260" s="67">
        <v>2.375</v>
      </c>
      <c r="O1260" t="s">
        <v>62</v>
      </c>
      <c r="P1260" s="9">
        <v>46107</v>
      </c>
      <c r="Q1260">
        <v>207.54</v>
      </c>
    </row>
    <row r="1261" spans="1:17" x14ac:dyDescent="0.25">
      <c r="A1261" s="12" t="s">
        <v>932</v>
      </c>
      <c r="B1261" s="3" t="str">
        <f t="shared" si="61"/>
        <v>AMZN</v>
      </c>
      <c r="C1261" s="3" t="str">
        <f t="shared" si="59"/>
        <v>260327</v>
      </c>
      <c r="D1261" s="3" t="str">
        <f t="shared" si="60"/>
        <v>C00315000</v>
      </c>
      <c r="E1261" s="63" t="s">
        <v>1032</v>
      </c>
      <c r="F1261" s="13">
        <v>315</v>
      </c>
      <c r="G1261" s="63">
        <v>0.03</v>
      </c>
      <c r="H1261" s="63">
        <v>0</v>
      </c>
      <c r="I1261" s="63">
        <v>0.01</v>
      </c>
      <c r="J1261" s="64">
        <v>-0.03</v>
      </c>
      <c r="K1261" s="65">
        <v>-0.5</v>
      </c>
      <c r="L1261" s="63">
        <v>1</v>
      </c>
      <c r="M1261" s="63">
        <v>4</v>
      </c>
      <c r="N1261" s="67">
        <v>2.4375</v>
      </c>
      <c r="O1261" t="s">
        <v>62</v>
      </c>
      <c r="P1261" s="9">
        <v>46107</v>
      </c>
      <c r="Q1261">
        <v>207.54</v>
      </c>
    </row>
    <row r="1262" spans="1:17" x14ac:dyDescent="0.25">
      <c r="A1262" s="12" t="s">
        <v>934</v>
      </c>
      <c r="B1262" s="3" t="str">
        <f t="shared" si="61"/>
        <v>AMZN</v>
      </c>
      <c r="C1262" s="3" t="str">
        <f t="shared" si="59"/>
        <v>260327</v>
      </c>
      <c r="D1262" s="3" t="str">
        <f t="shared" si="60"/>
        <v>C00320000</v>
      </c>
      <c r="E1262" s="63" t="s">
        <v>935</v>
      </c>
      <c r="F1262" s="13">
        <v>320</v>
      </c>
      <c r="G1262" s="63">
        <v>0.01</v>
      </c>
      <c r="H1262" s="63">
        <v>0</v>
      </c>
      <c r="I1262" s="63">
        <v>0.01</v>
      </c>
      <c r="J1262" s="63">
        <v>0</v>
      </c>
      <c r="K1262" s="68">
        <v>0</v>
      </c>
      <c r="L1262" s="63">
        <v>54</v>
      </c>
      <c r="M1262" s="63">
        <v>3</v>
      </c>
      <c r="N1262" s="67">
        <v>2.5</v>
      </c>
      <c r="O1262" t="s">
        <v>62</v>
      </c>
      <c r="P1262" s="9">
        <v>46107</v>
      </c>
      <c r="Q1262">
        <v>207.54</v>
      </c>
    </row>
    <row r="1263" spans="1:17" x14ac:dyDescent="0.25">
      <c r="A1263" s="12" t="s">
        <v>936</v>
      </c>
      <c r="B1263" s="3" t="str">
        <f t="shared" si="61"/>
        <v>AMZN</v>
      </c>
      <c r="C1263" s="3" t="str">
        <f t="shared" si="59"/>
        <v>260327</v>
      </c>
      <c r="D1263" s="3" t="str">
        <f t="shared" si="60"/>
        <v>C00325000</v>
      </c>
      <c r="E1263" s="63" t="s">
        <v>937</v>
      </c>
      <c r="F1263" s="13">
        <v>325</v>
      </c>
      <c r="G1263" s="63">
        <v>0.01</v>
      </c>
      <c r="H1263" s="63">
        <v>0</v>
      </c>
      <c r="I1263" s="63">
        <v>0.01</v>
      </c>
      <c r="J1263" s="63">
        <v>0</v>
      </c>
      <c r="K1263" s="68">
        <v>0</v>
      </c>
      <c r="L1263" s="63">
        <v>54</v>
      </c>
      <c r="M1263" s="63">
        <v>1</v>
      </c>
      <c r="N1263" s="67">
        <v>2.625</v>
      </c>
      <c r="O1263" t="s">
        <v>62</v>
      </c>
      <c r="P1263" s="9">
        <v>46107</v>
      </c>
      <c r="Q1263">
        <v>207.54</v>
      </c>
    </row>
    <row r="1264" spans="1:17" x14ac:dyDescent="0.25">
      <c r="A1264" s="12" t="s">
        <v>938</v>
      </c>
      <c r="B1264" s="3" t="str">
        <f t="shared" si="61"/>
        <v>AMZN</v>
      </c>
      <c r="C1264" s="3" t="str">
        <f t="shared" si="59"/>
        <v>260327</v>
      </c>
      <c r="D1264" s="3" t="str">
        <f t="shared" si="60"/>
        <v>C00330000</v>
      </c>
      <c r="E1264" s="63" t="s">
        <v>939</v>
      </c>
      <c r="F1264" s="13">
        <v>330</v>
      </c>
      <c r="G1264" s="63">
        <v>0.01</v>
      </c>
      <c r="H1264" s="63">
        <v>0</v>
      </c>
      <c r="I1264" s="63">
        <v>0.01</v>
      </c>
      <c r="J1264" s="63">
        <v>0</v>
      </c>
      <c r="K1264" s="68">
        <v>0</v>
      </c>
      <c r="L1264" s="63">
        <v>54</v>
      </c>
      <c r="M1264" s="63">
        <v>1</v>
      </c>
      <c r="N1264" s="67">
        <v>2.6875</v>
      </c>
      <c r="O1264" t="s">
        <v>62</v>
      </c>
      <c r="P1264" s="9">
        <v>46107</v>
      </c>
      <c r="Q1264">
        <v>207.54</v>
      </c>
    </row>
    <row r="1265" spans="1:17" x14ac:dyDescent="0.25">
      <c r="A1265" s="12" t="s">
        <v>940</v>
      </c>
      <c r="B1265" s="3" t="str">
        <f t="shared" si="61"/>
        <v>AMZN</v>
      </c>
      <c r="C1265" s="3" t="str">
        <f t="shared" si="59"/>
        <v>260327</v>
      </c>
      <c r="D1265" s="3" t="str">
        <f t="shared" si="60"/>
        <v>C00335000</v>
      </c>
      <c r="E1265" s="63" t="s">
        <v>941</v>
      </c>
      <c r="F1265" s="13">
        <v>335</v>
      </c>
      <c r="G1265" s="63">
        <v>0.01</v>
      </c>
      <c r="H1265" s="63">
        <v>0</v>
      </c>
      <c r="I1265" s="63">
        <v>0.01</v>
      </c>
      <c r="J1265" s="63">
        <v>0</v>
      </c>
      <c r="K1265" s="68">
        <v>0</v>
      </c>
      <c r="L1265" s="63">
        <v>1</v>
      </c>
      <c r="M1265" s="63">
        <v>8</v>
      </c>
      <c r="N1265" s="67">
        <v>2.75</v>
      </c>
      <c r="O1265" t="s">
        <v>62</v>
      </c>
      <c r="P1265" s="9">
        <v>46107</v>
      </c>
      <c r="Q1265">
        <v>207.54</v>
      </c>
    </row>
    <row r="1266" spans="1:17" x14ac:dyDescent="0.25">
      <c r="A1266" s="12" t="s">
        <v>942</v>
      </c>
      <c r="B1266" s="3" t="str">
        <f t="shared" si="61"/>
        <v>AMZN</v>
      </c>
      <c r="C1266" s="3" t="str">
        <f t="shared" si="59"/>
        <v>260327</v>
      </c>
      <c r="D1266" s="3" t="str">
        <f t="shared" si="60"/>
        <v>P00125000</v>
      </c>
      <c r="E1266" s="63" t="s">
        <v>1033</v>
      </c>
      <c r="F1266" s="13">
        <v>125</v>
      </c>
      <c r="G1266" s="63">
        <v>0.01</v>
      </c>
      <c r="H1266" s="63">
        <v>0</v>
      </c>
      <c r="I1266" s="63">
        <v>0.01</v>
      </c>
      <c r="J1266" s="63">
        <v>0</v>
      </c>
      <c r="K1266" s="68">
        <v>0</v>
      </c>
      <c r="L1266" s="63">
        <v>10</v>
      </c>
      <c r="M1266" s="66">
        <v>1030</v>
      </c>
      <c r="N1266" s="67">
        <v>3</v>
      </c>
      <c r="O1266" t="s">
        <v>65</v>
      </c>
      <c r="P1266" s="9">
        <v>46107</v>
      </c>
      <c r="Q1266">
        <v>207.54</v>
      </c>
    </row>
    <row r="1267" spans="1:17" x14ac:dyDescent="0.25">
      <c r="A1267" s="12" t="s">
        <v>944</v>
      </c>
      <c r="B1267" s="3" t="str">
        <f t="shared" si="61"/>
        <v>AMZN</v>
      </c>
      <c r="C1267" s="3" t="str">
        <f t="shared" si="59"/>
        <v>260327</v>
      </c>
      <c r="D1267" s="3" t="str">
        <f t="shared" si="60"/>
        <v>P00130000</v>
      </c>
      <c r="E1267" s="63" t="s">
        <v>945</v>
      </c>
      <c r="F1267" s="13">
        <v>130</v>
      </c>
      <c r="G1267" s="63">
        <v>0.01</v>
      </c>
      <c r="H1267" s="63">
        <v>0</v>
      </c>
      <c r="I1267" s="63">
        <v>0.01</v>
      </c>
      <c r="J1267" s="63">
        <v>0</v>
      </c>
      <c r="K1267" s="68">
        <v>0</v>
      </c>
      <c r="L1267" s="63">
        <v>4</v>
      </c>
      <c r="M1267" s="63">
        <v>191</v>
      </c>
      <c r="N1267" s="67">
        <v>2.8125</v>
      </c>
      <c r="O1267" t="s">
        <v>65</v>
      </c>
      <c r="P1267" s="9">
        <v>46107</v>
      </c>
      <c r="Q1267">
        <v>207.54</v>
      </c>
    </row>
    <row r="1268" spans="1:17" x14ac:dyDescent="0.25">
      <c r="A1268" s="12" t="s">
        <v>946</v>
      </c>
      <c r="B1268" s="3" t="str">
        <f t="shared" si="61"/>
        <v>AMZN</v>
      </c>
      <c r="C1268" s="3" t="str">
        <f t="shared" ref="C1268:C1331" si="62">+MID(A1268,5,6)</f>
        <v>260327</v>
      </c>
      <c r="D1268" s="3" t="str">
        <f t="shared" ref="D1268:D1331" si="63">+MID(A1268,11,10)</f>
        <v>P00135000</v>
      </c>
      <c r="E1268" s="63" t="s">
        <v>903</v>
      </c>
      <c r="F1268" s="13">
        <v>135</v>
      </c>
      <c r="G1268" s="63">
        <v>0.05</v>
      </c>
      <c r="H1268" s="63">
        <v>0</v>
      </c>
      <c r="I1268" s="63">
        <v>0.03</v>
      </c>
      <c r="J1268" s="70">
        <v>0.04</v>
      </c>
      <c r="K1268" s="71">
        <v>4</v>
      </c>
      <c r="L1268" s="63">
        <v>1</v>
      </c>
      <c r="M1268" s="63">
        <v>32</v>
      </c>
      <c r="N1268" s="67">
        <v>2.875</v>
      </c>
      <c r="O1268" t="s">
        <v>65</v>
      </c>
      <c r="P1268" s="9">
        <v>46107</v>
      </c>
      <c r="Q1268">
        <v>207.54</v>
      </c>
    </row>
    <row r="1269" spans="1:17" x14ac:dyDescent="0.25">
      <c r="A1269" s="12" t="s">
        <v>947</v>
      </c>
      <c r="B1269" s="3" t="str">
        <f t="shared" si="61"/>
        <v>AMZN</v>
      </c>
      <c r="C1269" s="3" t="str">
        <f t="shared" si="62"/>
        <v>260327</v>
      </c>
      <c r="D1269" s="3" t="str">
        <f t="shared" si="63"/>
        <v>P00140000</v>
      </c>
      <c r="E1269" s="69">
        <v>46298.539583333331</v>
      </c>
      <c r="F1269" s="13">
        <v>140</v>
      </c>
      <c r="G1269" s="63">
        <v>0.04</v>
      </c>
      <c r="H1269" s="63">
        <v>0</v>
      </c>
      <c r="I1269" s="63">
        <v>0.24</v>
      </c>
      <c r="J1269" s="63">
        <v>0</v>
      </c>
      <c r="K1269" s="68">
        <v>0</v>
      </c>
      <c r="L1269" s="63">
        <v>2</v>
      </c>
      <c r="M1269" s="63">
        <v>30</v>
      </c>
      <c r="N1269" s="67">
        <v>3.3203</v>
      </c>
      <c r="O1269" t="s">
        <v>65</v>
      </c>
      <c r="P1269" s="9">
        <v>46107</v>
      </c>
      <c r="Q1269">
        <v>207.54</v>
      </c>
    </row>
    <row r="1270" spans="1:17" x14ac:dyDescent="0.25">
      <c r="A1270" s="12" t="s">
        <v>948</v>
      </c>
      <c r="B1270" s="3" t="str">
        <f t="shared" si="61"/>
        <v>AMZN</v>
      </c>
      <c r="C1270" s="3" t="str">
        <f t="shared" si="62"/>
        <v>260327</v>
      </c>
      <c r="D1270" s="3" t="str">
        <f t="shared" si="63"/>
        <v>P00145000</v>
      </c>
      <c r="E1270" s="63" t="s">
        <v>949</v>
      </c>
      <c r="F1270" s="13">
        <v>145</v>
      </c>
      <c r="G1270" s="63">
        <v>0.01</v>
      </c>
      <c r="H1270" s="63">
        <v>0</v>
      </c>
      <c r="I1270" s="63">
        <v>0.01</v>
      </c>
      <c r="J1270" s="63">
        <v>0</v>
      </c>
      <c r="K1270" s="68">
        <v>0</v>
      </c>
      <c r="L1270" s="63">
        <v>5</v>
      </c>
      <c r="M1270" s="63">
        <v>92</v>
      </c>
      <c r="N1270" s="67">
        <v>2.1875</v>
      </c>
      <c r="O1270" t="s">
        <v>65</v>
      </c>
      <c r="P1270" s="9">
        <v>46107</v>
      </c>
      <c r="Q1270">
        <v>207.54</v>
      </c>
    </row>
    <row r="1271" spans="1:17" x14ac:dyDescent="0.25">
      <c r="A1271" s="12" t="s">
        <v>950</v>
      </c>
      <c r="B1271" s="3" t="str">
        <f t="shared" si="61"/>
        <v>AMZN</v>
      </c>
      <c r="C1271" s="3" t="str">
        <f t="shared" si="62"/>
        <v>260327</v>
      </c>
      <c r="D1271" s="3" t="str">
        <f t="shared" si="63"/>
        <v>P00150000</v>
      </c>
      <c r="E1271" s="63" t="s">
        <v>1034</v>
      </c>
      <c r="F1271" s="13">
        <v>150</v>
      </c>
      <c r="G1271" s="63">
        <v>0.01</v>
      </c>
      <c r="H1271" s="63">
        <v>0</v>
      </c>
      <c r="I1271" s="63">
        <v>0.01</v>
      </c>
      <c r="J1271" s="63">
        <v>0</v>
      </c>
      <c r="K1271" s="68">
        <v>0</v>
      </c>
      <c r="L1271" s="63">
        <v>2</v>
      </c>
      <c r="M1271" s="66">
        <v>1819</v>
      </c>
      <c r="N1271" s="67">
        <v>2</v>
      </c>
      <c r="O1271" t="s">
        <v>65</v>
      </c>
      <c r="P1271" s="9">
        <v>46107</v>
      </c>
      <c r="Q1271">
        <v>207.54</v>
      </c>
    </row>
    <row r="1272" spans="1:17" x14ac:dyDescent="0.25">
      <c r="A1272" s="12" t="s">
        <v>952</v>
      </c>
      <c r="B1272" s="3" t="str">
        <f t="shared" si="61"/>
        <v>AMZN</v>
      </c>
      <c r="C1272" s="3" t="str">
        <f t="shared" si="62"/>
        <v>260327</v>
      </c>
      <c r="D1272" s="3" t="str">
        <f t="shared" si="63"/>
        <v>P00155000</v>
      </c>
      <c r="E1272" s="63" t="s">
        <v>953</v>
      </c>
      <c r="F1272" s="13">
        <v>155</v>
      </c>
      <c r="G1272" s="63">
        <v>0.01</v>
      </c>
      <c r="H1272" s="63">
        <v>0</v>
      </c>
      <c r="I1272" s="63">
        <v>0.01</v>
      </c>
      <c r="J1272" s="63">
        <v>0</v>
      </c>
      <c r="K1272" s="68">
        <v>0</v>
      </c>
      <c r="L1272" s="63">
        <v>204</v>
      </c>
      <c r="M1272" s="66">
        <v>3249</v>
      </c>
      <c r="N1272" s="67">
        <v>1.8125</v>
      </c>
      <c r="O1272" t="s">
        <v>65</v>
      </c>
      <c r="P1272" s="9">
        <v>46107</v>
      </c>
      <c r="Q1272">
        <v>207.54</v>
      </c>
    </row>
    <row r="1273" spans="1:17" x14ac:dyDescent="0.25">
      <c r="A1273" s="12" t="s">
        <v>954</v>
      </c>
      <c r="B1273" s="3" t="str">
        <f t="shared" si="61"/>
        <v>AMZN</v>
      </c>
      <c r="C1273" s="3" t="str">
        <f t="shared" si="62"/>
        <v>260327</v>
      </c>
      <c r="D1273" s="3" t="str">
        <f t="shared" si="63"/>
        <v>P00160000</v>
      </c>
      <c r="E1273" s="63" t="s">
        <v>1035</v>
      </c>
      <c r="F1273" s="13">
        <v>160</v>
      </c>
      <c r="G1273" s="63">
        <v>0.01</v>
      </c>
      <c r="H1273" s="63">
        <v>0</v>
      </c>
      <c r="I1273" s="63">
        <v>0.01</v>
      </c>
      <c r="J1273" s="64">
        <v>-0.01</v>
      </c>
      <c r="K1273" s="65">
        <v>-0.5</v>
      </c>
      <c r="L1273" s="66">
        <v>2947</v>
      </c>
      <c r="M1273" s="66">
        <v>6344</v>
      </c>
      <c r="N1273" s="67">
        <v>1.625</v>
      </c>
      <c r="O1273" t="s">
        <v>65</v>
      </c>
      <c r="P1273" s="9">
        <v>46107</v>
      </c>
      <c r="Q1273">
        <v>207.54</v>
      </c>
    </row>
    <row r="1274" spans="1:17" x14ac:dyDescent="0.25">
      <c r="A1274" s="12" t="s">
        <v>956</v>
      </c>
      <c r="B1274" s="3" t="str">
        <f t="shared" si="61"/>
        <v>AMZN</v>
      </c>
      <c r="C1274" s="3" t="str">
        <f t="shared" si="62"/>
        <v>260327</v>
      </c>
      <c r="D1274" s="3" t="str">
        <f t="shared" si="63"/>
        <v>P00165000</v>
      </c>
      <c r="E1274" s="63" t="s">
        <v>1022</v>
      </c>
      <c r="F1274" s="13">
        <v>165</v>
      </c>
      <c r="G1274" s="63">
        <v>0.01</v>
      </c>
      <c r="H1274" s="63">
        <v>0</v>
      </c>
      <c r="I1274" s="63">
        <v>0.01</v>
      </c>
      <c r="J1274" s="63">
        <v>0</v>
      </c>
      <c r="K1274" s="68">
        <v>0</v>
      </c>
      <c r="L1274" s="63">
        <v>55</v>
      </c>
      <c r="M1274" s="66">
        <v>1948</v>
      </c>
      <c r="N1274" s="67">
        <v>1.4375</v>
      </c>
      <c r="O1274" t="s">
        <v>65</v>
      </c>
      <c r="P1274" s="9">
        <v>46107</v>
      </c>
      <c r="Q1274">
        <v>207.54</v>
      </c>
    </row>
    <row r="1275" spans="1:17" x14ac:dyDescent="0.25">
      <c r="A1275" s="12" t="s">
        <v>958</v>
      </c>
      <c r="B1275" s="3" t="str">
        <f t="shared" si="61"/>
        <v>AMZN</v>
      </c>
      <c r="C1275" s="3" t="str">
        <f t="shared" si="62"/>
        <v>260327</v>
      </c>
      <c r="D1275" s="3" t="str">
        <f t="shared" si="63"/>
        <v>P00170000</v>
      </c>
      <c r="E1275" s="63" t="s">
        <v>1036</v>
      </c>
      <c r="F1275" s="13">
        <v>170</v>
      </c>
      <c r="G1275" s="63">
        <v>0.01</v>
      </c>
      <c r="H1275" s="63">
        <v>0</v>
      </c>
      <c r="I1275" s="63">
        <v>0.01</v>
      </c>
      <c r="J1275" s="63">
        <v>0</v>
      </c>
      <c r="K1275" s="68">
        <v>0</v>
      </c>
      <c r="L1275" s="63">
        <v>12</v>
      </c>
      <c r="M1275" s="66">
        <v>4442</v>
      </c>
      <c r="N1275" s="67">
        <v>1.2813000000000001</v>
      </c>
      <c r="O1275" t="s">
        <v>65</v>
      </c>
      <c r="P1275" s="9">
        <v>46107</v>
      </c>
      <c r="Q1275">
        <v>207.54</v>
      </c>
    </row>
    <row r="1276" spans="1:17" x14ac:dyDescent="0.25">
      <c r="A1276" s="12" t="s">
        <v>960</v>
      </c>
      <c r="B1276" s="3" t="str">
        <f t="shared" si="61"/>
        <v>AMZN</v>
      </c>
      <c r="C1276" s="3" t="str">
        <f t="shared" si="62"/>
        <v>260327</v>
      </c>
      <c r="D1276" s="3" t="str">
        <f t="shared" si="63"/>
        <v>P00175000</v>
      </c>
      <c r="E1276" s="63" t="s">
        <v>1037</v>
      </c>
      <c r="F1276" s="13">
        <v>175</v>
      </c>
      <c r="G1276" s="63">
        <v>0.01</v>
      </c>
      <c r="H1276" s="63">
        <v>0</v>
      </c>
      <c r="I1276" s="63">
        <v>0.01</v>
      </c>
      <c r="J1276" s="63">
        <v>0</v>
      </c>
      <c r="K1276" s="68">
        <v>0</v>
      </c>
      <c r="L1276" s="63">
        <v>284</v>
      </c>
      <c r="M1276" s="66">
        <v>2032</v>
      </c>
      <c r="N1276" s="67">
        <v>1.0938000000000001</v>
      </c>
      <c r="O1276" t="s">
        <v>65</v>
      </c>
      <c r="P1276" s="9">
        <v>46107</v>
      </c>
      <c r="Q1276">
        <v>207.54</v>
      </c>
    </row>
    <row r="1277" spans="1:17" x14ac:dyDescent="0.25">
      <c r="A1277" s="12" t="s">
        <v>961</v>
      </c>
      <c r="B1277" s="3" t="str">
        <f t="shared" si="61"/>
        <v>AMZN</v>
      </c>
      <c r="C1277" s="3" t="str">
        <f t="shared" si="62"/>
        <v>260327</v>
      </c>
      <c r="D1277" s="3" t="str">
        <f t="shared" si="63"/>
        <v>P00177500</v>
      </c>
      <c r="E1277" s="63" t="s">
        <v>1038</v>
      </c>
      <c r="F1277" s="13">
        <v>177.5</v>
      </c>
      <c r="G1277" s="63">
        <v>0.01</v>
      </c>
      <c r="H1277" s="63">
        <v>0</v>
      </c>
      <c r="I1277" s="63">
        <v>0.01</v>
      </c>
      <c r="J1277" s="63">
        <v>0</v>
      </c>
      <c r="K1277" s="68">
        <v>0</v>
      </c>
      <c r="L1277" s="63">
        <v>40</v>
      </c>
      <c r="M1277" s="63">
        <v>771</v>
      </c>
      <c r="N1277" s="67">
        <v>1</v>
      </c>
      <c r="O1277" t="s">
        <v>65</v>
      </c>
      <c r="P1277" s="9">
        <v>46107</v>
      </c>
      <c r="Q1277">
        <v>207.54</v>
      </c>
    </row>
    <row r="1278" spans="1:17" x14ac:dyDescent="0.25">
      <c r="A1278" s="12" t="s">
        <v>962</v>
      </c>
      <c r="B1278" s="3" t="str">
        <f t="shared" si="61"/>
        <v>AMZN</v>
      </c>
      <c r="C1278" s="3" t="str">
        <f t="shared" si="62"/>
        <v>260327</v>
      </c>
      <c r="D1278" s="3" t="str">
        <f t="shared" si="63"/>
        <v>P00180000</v>
      </c>
      <c r="E1278" s="63" t="s">
        <v>1039</v>
      </c>
      <c r="F1278" s="13">
        <v>180</v>
      </c>
      <c r="G1278" s="63">
        <v>0.01</v>
      </c>
      <c r="H1278" s="63">
        <v>0</v>
      </c>
      <c r="I1278" s="63">
        <v>0.01</v>
      </c>
      <c r="J1278" s="63">
        <v>0</v>
      </c>
      <c r="K1278" s="68">
        <v>0</v>
      </c>
      <c r="L1278" s="63">
        <v>132</v>
      </c>
      <c r="M1278" s="66">
        <v>3282</v>
      </c>
      <c r="N1278" s="67">
        <v>0.9375</v>
      </c>
      <c r="O1278" t="s">
        <v>65</v>
      </c>
      <c r="P1278" s="9">
        <v>46107</v>
      </c>
      <c r="Q1278">
        <v>207.54</v>
      </c>
    </row>
    <row r="1279" spans="1:17" x14ac:dyDescent="0.25">
      <c r="A1279" s="12" t="s">
        <v>964</v>
      </c>
      <c r="B1279" s="3" t="str">
        <f t="shared" si="61"/>
        <v>AMZN</v>
      </c>
      <c r="C1279" s="3" t="str">
        <f t="shared" si="62"/>
        <v>260327</v>
      </c>
      <c r="D1279" s="3" t="str">
        <f t="shared" si="63"/>
        <v>P00182500</v>
      </c>
      <c r="E1279" s="63" t="s">
        <v>1040</v>
      </c>
      <c r="F1279" s="13">
        <v>182.5</v>
      </c>
      <c r="G1279" s="63">
        <v>0.02</v>
      </c>
      <c r="H1279" s="63">
        <v>0</v>
      </c>
      <c r="I1279" s="63">
        <v>0.01</v>
      </c>
      <c r="J1279" s="63">
        <v>0</v>
      </c>
      <c r="K1279" s="68">
        <v>0</v>
      </c>
      <c r="L1279" s="63">
        <v>353</v>
      </c>
      <c r="M1279" s="66">
        <v>1017</v>
      </c>
      <c r="N1279" s="67">
        <v>0.84379999999999999</v>
      </c>
      <c r="O1279" t="s">
        <v>65</v>
      </c>
      <c r="P1279" s="9">
        <v>46107</v>
      </c>
      <c r="Q1279">
        <v>207.54</v>
      </c>
    </row>
    <row r="1280" spans="1:17" x14ac:dyDescent="0.25">
      <c r="A1280" s="12" t="s">
        <v>966</v>
      </c>
      <c r="B1280" s="3" t="str">
        <f t="shared" si="61"/>
        <v>AMZN</v>
      </c>
      <c r="C1280" s="3" t="str">
        <f t="shared" si="62"/>
        <v>260327</v>
      </c>
      <c r="D1280" s="3" t="str">
        <f t="shared" si="63"/>
        <v>P00185000</v>
      </c>
      <c r="E1280" s="63" t="s">
        <v>1023</v>
      </c>
      <c r="F1280" s="13">
        <v>185</v>
      </c>
      <c r="G1280" s="63">
        <v>0.01</v>
      </c>
      <c r="H1280" s="63">
        <v>0</v>
      </c>
      <c r="I1280" s="63">
        <v>0.02</v>
      </c>
      <c r="J1280" s="63">
        <v>0</v>
      </c>
      <c r="K1280" s="68">
        <v>0</v>
      </c>
      <c r="L1280" s="63">
        <v>330</v>
      </c>
      <c r="M1280" s="66">
        <v>4733</v>
      </c>
      <c r="N1280" s="67">
        <v>0.82809999999999995</v>
      </c>
      <c r="O1280" t="s">
        <v>65</v>
      </c>
      <c r="P1280" s="9">
        <v>46107</v>
      </c>
      <c r="Q1280">
        <v>207.54</v>
      </c>
    </row>
    <row r="1281" spans="1:17" x14ac:dyDescent="0.25">
      <c r="A1281" s="12" t="s">
        <v>968</v>
      </c>
      <c r="B1281" s="3" t="str">
        <f t="shared" si="61"/>
        <v>AMZN</v>
      </c>
      <c r="C1281" s="3" t="str">
        <f t="shared" si="62"/>
        <v>260327</v>
      </c>
      <c r="D1281" s="3" t="str">
        <f t="shared" si="63"/>
        <v>P00187500</v>
      </c>
      <c r="E1281" s="63" t="s">
        <v>1041</v>
      </c>
      <c r="F1281" s="13">
        <v>187.5</v>
      </c>
      <c r="G1281" s="63">
        <v>0.02</v>
      </c>
      <c r="H1281" s="63">
        <v>0.01</v>
      </c>
      <c r="I1281" s="63">
        <v>0.02</v>
      </c>
      <c r="J1281" s="63">
        <v>0</v>
      </c>
      <c r="K1281" s="68">
        <v>0</v>
      </c>
      <c r="L1281" s="63">
        <v>63</v>
      </c>
      <c r="M1281" s="66">
        <v>4040</v>
      </c>
      <c r="N1281" s="67">
        <v>0.76559999999999995</v>
      </c>
      <c r="O1281" t="s">
        <v>65</v>
      </c>
      <c r="P1281" s="9">
        <v>46107</v>
      </c>
      <c r="Q1281">
        <v>207.54</v>
      </c>
    </row>
    <row r="1282" spans="1:17" x14ac:dyDescent="0.25">
      <c r="A1282" s="12" t="s">
        <v>970</v>
      </c>
      <c r="B1282" s="3" t="str">
        <f t="shared" si="61"/>
        <v>AMZN</v>
      </c>
      <c r="C1282" s="3" t="str">
        <f t="shared" si="62"/>
        <v>260327</v>
      </c>
      <c r="D1282" s="3" t="str">
        <f t="shared" si="63"/>
        <v>P00190000</v>
      </c>
      <c r="E1282" s="63" t="s">
        <v>1016</v>
      </c>
      <c r="F1282" s="13">
        <v>190</v>
      </c>
      <c r="G1282" s="63">
        <v>0.02</v>
      </c>
      <c r="H1282" s="63">
        <v>0.01</v>
      </c>
      <c r="I1282" s="63">
        <v>0.03</v>
      </c>
      <c r="J1282" s="64">
        <v>-0.01</v>
      </c>
      <c r="K1282" s="65">
        <v>-0.33329999999999999</v>
      </c>
      <c r="L1282" s="63">
        <v>469</v>
      </c>
      <c r="M1282" s="66">
        <v>9022</v>
      </c>
      <c r="N1282" s="67">
        <v>0.70309999999999995</v>
      </c>
      <c r="O1282" t="s">
        <v>65</v>
      </c>
      <c r="P1282" s="9">
        <v>46107</v>
      </c>
      <c r="Q1282">
        <v>207.54</v>
      </c>
    </row>
    <row r="1283" spans="1:17" x14ac:dyDescent="0.25">
      <c r="A1283" s="12" t="s">
        <v>971</v>
      </c>
      <c r="B1283" s="3" t="str">
        <f t="shared" ref="B1283:B1346" si="64">+MID(A1283,1,4)</f>
        <v>AMZN</v>
      </c>
      <c r="C1283" s="3" t="str">
        <f t="shared" si="62"/>
        <v>260327</v>
      </c>
      <c r="D1283" s="3" t="str">
        <f t="shared" si="63"/>
        <v>P00192500</v>
      </c>
      <c r="E1283" s="63" t="s">
        <v>1018</v>
      </c>
      <c r="F1283" s="13">
        <v>192.5</v>
      </c>
      <c r="G1283" s="63">
        <v>0.02</v>
      </c>
      <c r="H1283" s="63">
        <v>0.02</v>
      </c>
      <c r="I1283" s="63">
        <v>0.03</v>
      </c>
      <c r="J1283" s="64">
        <v>-0.02</v>
      </c>
      <c r="K1283" s="65">
        <v>-0.5</v>
      </c>
      <c r="L1283" s="63">
        <v>313</v>
      </c>
      <c r="M1283" s="66">
        <v>3126</v>
      </c>
      <c r="N1283" s="67">
        <v>0.62890000000000001</v>
      </c>
      <c r="O1283" t="s">
        <v>65</v>
      </c>
      <c r="P1283" s="9">
        <v>46107</v>
      </c>
      <c r="Q1283">
        <v>207.54</v>
      </c>
    </row>
    <row r="1284" spans="1:17" x14ac:dyDescent="0.25">
      <c r="A1284" s="12" t="s">
        <v>972</v>
      </c>
      <c r="B1284" s="3" t="str">
        <f t="shared" si="64"/>
        <v>AMZN</v>
      </c>
      <c r="C1284" s="3" t="str">
        <f t="shared" si="62"/>
        <v>260327</v>
      </c>
      <c r="D1284" s="3" t="str">
        <f t="shared" si="63"/>
        <v>P00195000</v>
      </c>
      <c r="E1284" s="63" t="s">
        <v>1018</v>
      </c>
      <c r="F1284" s="13">
        <v>195</v>
      </c>
      <c r="G1284" s="63">
        <v>0.03</v>
      </c>
      <c r="H1284" s="63">
        <v>0.03</v>
      </c>
      <c r="I1284" s="63">
        <v>0.05</v>
      </c>
      <c r="J1284" s="64">
        <v>-0.02</v>
      </c>
      <c r="K1284" s="65">
        <v>-0.4</v>
      </c>
      <c r="L1284" s="63">
        <v>576</v>
      </c>
      <c r="M1284" s="66">
        <v>5330</v>
      </c>
      <c r="N1284" s="67">
        <v>0.57030000000000003</v>
      </c>
      <c r="O1284" t="s">
        <v>65</v>
      </c>
      <c r="P1284" s="9">
        <v>46107</v>
      </c>
      <c r="Q1284">
        <v>207.54</v>
      </c>
    </row>
    <row r="1285" spans="1:17" x14ac:dyDescent="0.25">
      <c r="A1285" s="12" t="s">
        <v>974</v>
      </c>
      <c r="B1285" s="3" t="str">
        <f t="shared" si="64"/>
        <v>AMZN</v>
      </c>
      <c r="C1285" s="3" t="str">
        <f t="shared" si="62"/>
        <v>260327</v>
      </c>
      <c r="D1285" s="3" t="str">
        <f t="shared" si="63"/>
        <v>P00197500</v>
      </c>
      <c r="E1285" s="63" t="s">
        <v>1019</v>
      </c>
      <c r="F1285" s="13">
        <v>197.5</v>
      </c>
      <c r="G1285" s="63">
        <v>7.0000000000000007E-2</v>
      </c>
      <c r="H1285" s="63">
        <v>0.04</v>
      </c>
      <c r="I1285" s="63">
        <v>7.0000000000000007E-2</v>
      </c>
      <c r="J1285" s="63">
        <v>0</v>
      </c>
      <c r="K1285" s="68">
        <v>0</v>
      </c>
      <c r="L1285" s="66">
        <v>2067</v>
      </c>
      <c r="M1285" s="66">
        <v>3932</v>
      </c>
      <c r="N1285" s="67">
        <v>0.51559999999999995</v>
      </c>
      <c r="O1285" t="s">
        <v>65</v>
      </c>
      <c r="P1285" s="9">
        <v>46107</v>
      </c>
      <c r="Q1285">
        <v>207.54</v>
      </c>
    </row>
    <row r="1286" spans="1:17" x14ac:dyDescent="0.25">
      <c r="A1286" s="12" t="s">
        <v>975</v>
      </c>
      <c r="B1286" s="3" t="str">
        <f t="shared" si="64"/>
        <v>AMZN</v>
      </c>
      <c r="C1286" s="3" t="str">
        <f t="shared" si="62"/>
        <v>260327</v>
      </c>
      <c r="D1286" s="3" t="str">
        <f t="shared" si="63"/>
        <v>P00200000</v>
      </c>
      <c r="E1286" s="63" t="s">
        <v>1031</v>
      </c>
      <c r="F1286" s="13">
        <v>200</v>
      </c>
      <c r="G1286" s="63">
        <v>0.11</v>
      </c>
      <c r="H1286" s="63">
        <v>0.11</v>
      </c>
      <c r="I1286" s="63">
        <v>0.13</v>
      </c>
      <c r="J1286" s="63">
        <v>0</v>
      </c>
      <c r="K1286" s="68">
        <v>0</v>
      </c>
      <c r="L1286" s="66">
        <v>4435</v>
      </c>
      <c r="M1286" s="66">
        <v>10996</v>
      </c>
      <c r="N1286" s="67">
        <v>0.45900000000000002</v>
      </c>
      <c r="O1286" t="s">
        <v>65</v>
      </c>
      <c r="P1286" s="9">
        <v>46107</v>
      </c>
      <c r="Q1286">
        <v>207.54</v>
      </c>
    </row>
    <row r="1287" spans="1:17" x14ac:dyDescent="0.25">
      <c r="A1287" s="12" t="s">
        <v>976</v>
      </c>
      <c r="B1287" s="3" t="str">
        <f t="shared" si="64"/>
        <v>AMZN</v>
      </c>
      <c r="C1287" s="3" t="str">
        <f t="shared" si="62"/>
        <v>260327</v>
      </c>
      <c r="D1287" s="3" t="str">
        <f t="shared" si="63"/>
        <v>P00202500</v>
      </c>
      <c r="E1287" s="63" t="s">
        <v>1019</v>
      </c>
      <c r="F1287" s="13">
        <v>202.5</v>
      </c>
      <c r="G1287" s="63">
        <v>0.28000000000000003</v>
      </c>
      <c r="H1287" s="63">
        <v>0.27</v>
      </c>
      <c r="I1287" s="63">
        <v>0.3</v>
      </c>
      <c r="J1287" s="70">
        <v>0.08</v>
      </c>
      <c r="K1287" s="71">
        <v>0.4</v>
      </c>
      <c r="L1287" s="66">
        <v>5864</v>
      </c>
      <c r="M1287" s="66">
        <v>6004</v>
      </c>
      <c r="N1287" s="67">
        <v>0.4209</v>
      </c>
      <c r="O1287" t="s">
        <v>65</v>
      </c>
      <c r="P1287" s="9">
        <v>46107</v>
      </c>
      <c r="Q1287">
        <v>207.54</v>
      </c>
    </row>
    <row r="1288" spans="1:17" x14ac:dyDescent="0.25">
      <c r="A1288" s="12" t="s">
        <v>977</v>
      </c>
      <c r="B1288" s="3" t="str">
        <f t="shared" si="64"/>
        <v>AMZN</v>
      </c>
      <c r="C1288" s="3" t="str">
        <f t="shared" si="62"/>
        <v>260327</v>
      </c>
      <c r="D1288" s="3" t="str">
        <f t="shared" si="63"/>
        <v>P00205000</v>
      </c>
      <c r="E1288" s="63" t="s">
        <v>1019</v>
      </c>
      <c r="F1288" s="13">
        <v>205</v>
      </c>
      <c r="G1288" s="63">
        <v>0.74</v>
      </c>
      <c r="H1288" s="63">
        <v>0.73</v>
      </c>
      <c r="I1288" s="63">
        <v>0.77</v>
      </c>
      <c r="J1288" s="70">
        <v>0.37</v>
      </c>
      <c r="K1288" s="71">
        <v>1</v>
      </c>
      <c r="L1288" s="66">
        <v>15213</v>
      </c>
      <c r="M1288" s="66">
        <v>6367</v>
      </c>
      <c r="N1288" s="67">
        <v>0.40770000000000001</v>
      </c>
      <c r="O1288" t="s">
        <v>65</v>
      </c>
      <c r="P1288" s="9">
        <v>46107</v>
      </c>
      <c r="Q1288">
        <v>207.54</v>
      </c>
    </row>
    <row r="1289" spans="1:17" x14ac:dyDescent="0.25">
      <c r="A1289" s="12" t="s">
        <v>978</v>
      </c>
      <c r="B1289" s="3" t="str">
        <f t="shared" si="64"/>
        <v>AMZN</v>
      </c>
      <c r="C1289" s="3" t="str">
        <f t="shared" si="62"/>
        <v>260327</v>
      </c>
      <c r="D1289" s="3" t="str">
        <f t="shared" si="63"/>
        <v>P00207500</v>
      </c>
      <c r="E1289" s="63" t="s">
        <v>1019</v>
      </c>
      <c r="F1289" s="13">
        <v>207.5</v>
      </c>
      <c r="G1289" s="63">
        <v>1.6</v>
      </c>
      <c r="H1289" s="63">
        <v>1.61</v>
      </c>
      <c r="I1289" s="63">
        <v>1.72</v>
      </c>
      <c r="J1289" s="70">
        <v>0.86</v>
      </c>
      <c r="K1289" s="71">
        <v>1.1621999999999999</v>
      </c>
      <c r="L1289" s="66">
        <v>23314</v>
      </c>
      <c r="M1289" s="66">
        <v>4902</v>
      </c>
      <c r="N1289" s="67">
        <v>0.40139999999999998</v>
      </c>
      <c r="O1289" t="s">
        <v>65</v>
      </c>
      <c r="P1289" s="9">
        <v>46107</v>
      </c>
      <c r="Q1289">
        <v>207.54</v>
      </c>
    </row>
    <row r="1290" spans="1:17" x14ac:dyDescent="0.25">
      <c r="A1290" s="12" t="s">
        <v>979</v>
      </c>
      <c r="B1290" s="3" t="str">
        <f t="shared" si="64"/>
        <v>AMZN</v>
      </c>
      <c r="C1290" s="3" t="str">
        <f t="shared" si="62"/>
        <v>260327</v>
      </c>
      <c r="D1290" s="3" t="str">
        <f t="shared" si="63"/>
        <v>P00210000</v>
      </c>
      <c r="E1290" s="63" t="s">
        <v>1019</v>
      </c>
      <c r="F1290" s="13">
        <v>210</v>
      </c>
      <c r="G1290" s="63">
        <v>3.01</v>
      </c>
      <c r="H1290" s="63">
        <v>3</v>
      </c>
      <c r="I1290" s="63">
        <v>3.2</v>
      </c>
      <c r="J1290" s="70">
        <v>1.58</v>
      </c>
      <c r="K1290" s="71">
        <v>1.1049</v>
      </c>
      <c r="L1290" s="66">
        <v>36567</v>
      </c>
      <c r="M1290" s="66">
        <v>5498</v>
      </c>
      <c r="N1290" s="67">
        <v>0.38869999999999999</v>
      </c>
      <c r="O1290" t="s">
        <v>65</v>
      </c>
      <c r="P1290" s="9">
        <v>46107</v>
      </c>
      <c r="Q1290">
        <v>207.54</v>
      </c>
    </row>
    <row r="1291" spans="1:17" x14ac:dyDescent="0.25">
      <c r="A1291" s="12" t="s">
        <v>980</v>
      </c>
      <c r="B1291" s="3" t="str">
        <f t="shared" si="64"/>
        <v>AMZN</v>
      </c>
      <c r="C1291" s="3" t="str">
        <f t="shared" si="62"/>
        <v>260327</v>
      </c>
      <c r="D1291" s="3" t="str">
        <f t="shared" si="63"/>
        <v>P00212500</v>
      </c>
      <c r="E1291" s="63" t="s">
        <v>1019</v>
      </c>
      <c r="F1291" s="13">
        <v>212.5</v>
      </c>
      <c r="G1291" s="63">
        <v>4.9000000000000004</v>
      </c>
      <c r="H1291" s="63">
        <v>4.8</v>
      </c>
      <c r="I1291" s="63">
        <v>5.2</v>
      </c>
      <c r="J1291" s="70">
        <v>2.41</v>
      </c>
      <c r="K1291" s="71">
        <v>0.96789999999999998</v>
      </c>
      <c r="L1291" s="66">
        <v>14142</v>
      </c>
      <c r="M1291" s="66">
        <v>4256</v>
      </c>
      <c r="N1291" s="67">
        <v>0.37990000000000002</v>
      </c>
      <c r="O1291" t="s">
        <v>65</v>
      </c>
      <c r="P1291" s="9">
        <v>46107</v>
      </c>
      <c r="Q1291">
        <v>207.54</v>
      </c>
    </row>
    <row r="1292" spans="1:17" x14ac:dyDescent="0.25">
      <c r="A1292" s="12" t="s">
        <v>981</v>
      </c>
      <c r="B1292" s="3" t="str">
        <f t="shared" si="64"/>
        <v>AMZN</v>
      </c>
      <c r="C1292" s="3" t="str">
        <f t="shared" si="62"/>
        <v>260327</v>
      </c>
      <c r="D1292" s="3" t="str">
        <f t="shared" si="63"/>
        <v>P00215000</v>
      </c>
      <c r="E1292" s="63" t="s">
        <v>1019</v>
      </c>
      <c r="F1292" s="13">
        <v>215</v>
      </c>
      <c r="G1292" s="63">
        <v>7.43</v>
      </c>
      <c r="H1292" s="63">
        <v>6.9</v>
      </c>
      <c r="I1292" s="63">
        <v>8.3000000000000007</v>
      </c>
      <c r="J1292" s="70">
        <v>3.4</v>
      </c>
      <c r="K1292" s="71">
        <v>0.84370000000000001</v>
      </c>
      <c r="L1292" s="66">
        <v>2230</v>
      </c>
      <c r="M1292" s="66">
        <v>1628</v>
      </c>
      <c r="N1292" s="67">
        <v>0.752</v>
      </c>
      <c r="O1292" t="s">
        <v>65</v>
      </c>
      <c r="P1292" s="9">
        <v>46107</v>
      </c>
      <c r="Q1292">
        <v>207.54</v>
      </c>
    </row>
    <row r="1293" spans="1:17" x14ac:dyDescent="0.25">
      <c r="A1293" s="12" t="s">
        <v>982</v>
      </c>
      <c r="B1293" s="3" t="str">
        <f t="shared" si="64"/>
        <v>AMZN</v>
      </c>
      <c r="C1293" s="3" t="str">
        <f t="shared" si="62"/>
        <v>260327</v>
      </c>
      <c r="D1293" s="3" t="str">
        <f t="shared" si="63"/>
        <v>P00217500</v>
      </c>
      <c r="E1293" s="63" t="s">
        <v>1007</v>
      </c>
      <c r="F1293" s="13">
        <v>217.5</v>
      </c>
      <c r="G1293" s="63">
        <v>9.9499999999999993</v>
      </c>
      <c r="H1293" s="63">
        <v>9.4499999999999993</v>
      </c>
      <c r="I1293" s="63">
        <v>11.05</v>
      </c>
      <c r="J1293" s="70">
        <v>3.56</v>
      </c>
      <c r="K1293" s="71">
        <v>0.55710000000000004</v>
      </c>
      <c r="L1293" s="63">
        <v>463</v>
      </c>
      <c r="M1293" s="63">
        <v>327</v>
      </c>
      <c r="N1293" s="67">
        <v>0.65629999999999999</v>
      </c>
      <c r="O1293" t="s">
        <v>65</v>
      </c>
      <c r="P1293" s="9">
        <v>46107</v>
      </c>
      <c r="Q1293">
        <v>207.54</v>
      </c>
    </row>
    <row r="1294" spans="1:17" x14ac:dyDescent="0.25">
      <c r="A1294" s="12" t="s">
        <v>983</v>
      </c>
      <c r="B1294" s="3" t="str">
        <f t="shared" si="64"/>
        <v>AMZN</v>
      </c>
      <c r="C1294" s="3" t="str">
        <f t="shared" si="62"/>
        <v>260327</v>
      </c>
      <c r="D1294" s="3" t="str">
        <f t="shared" si="63"/>
        <v>P00220000</v>
      </c>
      <c r="E1294" s="63" t="s">
        <v>1022</v>
      </c>
      <c r="F1294" s="13">
        <v>220</v>
      </c>
      <c r="G1294" s="63">
        <v>11.95</v>
      </c>
      <c r="H1294" s="63">
        <v>11.6</v>
      </c>
      <c r="I1294" s="63">
        <v>14.05</v>
      </c>
      <c r="J1294" s="70">
        <v>3.22</v>
      </c>
      <c r="K1294" s="71">
        <v>0.36880000000000002</v>
      </c>
      <c r="L1294" s="63">
        <v>156</v>
      </c>
      <c r="M1294" s="63">
        <v>982</v>
      </c>
      <c r="N1294" s="67">
        <v>0.81840000000000002</v>
      </c>
      <c r="O1294" t="s">
        <v>65</v>
      </c>
      <c r="P1294" s="9">
        <v>46107</v>
      </c>
      <c r="Q1294">
        <v>207.54</v>
      </c>
    </row>
    <row r="1295" spans="1:17" x14ac:dyDescent="0.25">
      <c r="A1295" s="12" t="s">
        <v>984</v>
      </c>
      <c r="B1295" s="3" t="str">
        <f t="shared" si="64"/>
        <v>AMZN</v>
      </c>
      <c r="C1295" s="3" t="str">
        <f t="shared" si="62"/>
        <v>260327</v>
      </c>
      <c r="D1295" s="3" t="str">
        <f t="shared" si="63"/>
        <v>P00222500</v>
      </c>
      <c r="E1295" s="63" t="s">
        <v>1042</v>
      </c>
      <c r="F1295" s="13">
        <v>222.5</v>
      </c>
      <c r="G1295" s="63">
        <v>12.74</v>
      </c>
      <c r="H1295" s="63">
        <v>14</v>
      </c>
      <c r="I1295" s="63">
        <v>16.5</v>
      </c>
      <c r="J1295" s="70">
        <v>2.2400000000000002</v>
      </c>
      <c r="K1295" s="71">
        <v>0.21329999999999999</v>
      </c>
      <c r="L1295" s="63">
        <v>49</v>
      </c>
      <c r="M1295" s="63">
        <v>107</v>
      </c>
      <c r="N1295" s="67">
        <v>0.88480000000000003</v>
      </c>
      <c r="O1295" t="s">
        <v>65</v>
      </c>
      <c r="P1295" s="9">
        <v>46107</v>
      </c>
      <c r="Q1295">
        <v>207.54</v>
      </c>
    </row>
    <row r="1296" spans="1:17" x14ac:dyDescent="0.25">
      <c r="A1296" s="12" t="s">
        <v>986</v>
      </c>
      <c r="B1296" s="3" t="str">
        <f t="shared" si="64"/>
        <v>AMZN</v>
      </c>
      <c r="C1296" s="3" t="str">
        <f t="shared" si="62"/>
        <v>260327</v>
      </c>
      <c r="D1296" s="3" t="str">
        <f t="shared" si="63"/>
        <v>P00225000</v>
      </c>
      <c r="E1296" s="63" t="s">
        <v>1043</v>
      </c>
      <c r="F1296" s="13">
        <v>225</v>
      </c>
      <c r="G1296" s="63">
        <v>14.85</v>
      </c>
      <c r="H1296" s="63">
        <v>16.55</v>
      </c>
      <c r="I1296" s="63">
        <v>19.25</v>
      </c>
      <c r="J1296" s="70">
        <v>0.62</v>
      </c>
      <c r="K1296" s="71">
        <v>4.36E-2</v>
      </c>
      <c r="L1296" s="63">
        <v>7</v>
      </c>
      <c r="M1296" s="63">
        <v>13</v>
      </c>
      <c r="N1296" s="67">
        <v>1.0918000000000001</v>
      </c>
      <c r="O1296" t="s">
        <v>65</v>
      </c>
      <c r="P1296" s="9">
        <v>46107</v>
      </c>
      <c r="Q1296">
        <v>207.54</v>
      </c>
    </row>
    <row r="1297" spans="1:17" x14ac:dyDescent="0.25">
      <c r="A1297" s="12" t="s">
        <v>988</v>
      </c>
      <c r="B1297" s="3" t="str">
        <f t="shared" si="64"/>
        <v>AMZN</v>
      </c>
      <c r="C1297" s="3" t="str">
        <f t="shared" si="62"/>
        <v>260327</v>
      </c>
      <c r="D1297" s="3" t="str">
        <f t="shared" si="63"/>
        <v>P00227500</v>
      </c>
      <c r="E1297" s="63" t="s">
        <v>989</v>
      </c>
      <c r="F1297" s="13">
        <v>227.5</v>
      </c>
      <c r="G1297" s="63">
        <v>16.649999999999999</v>
      </c>
      <c r="H1297" s="63">
        <v>18.350000000000001</v>
      </c>
      <c r="I1297" s="63">
        <v>21.75</v>
      </c>
      <c r="J1297" s="63">
        <v>0</v>
      </c>
      <c r="K1297" s="68">
        <v>0</v>
      </c>
      <c r="L1297" s="63">
        <v>8</v>
      </c>
      <c r="M1297" s="63">
        <v>0</v>
      </c>
      <c r="N1297" s="67">
        <v>0.88670000000000004</v>
      </c>
      <c r="O1297" t="s">
        <v>65</v>
      </c>
      <c r="P1297" s="9">
        <v>46107</v>
      </c>
      <c r="Q1297">
        <v>207.54</v>
      </c>
    </row>
    <row r="1298" spans="1:17" x14ac:dyDescent="0.25">
      <c r="A1298" s="12" t="s">
        <v>990</v>
      </c>
      <c r="B1298" s="3" t="str">
        <f t="shared" si="64"/>
        <v>AMZN</v>
      </c>
      <c r="C1298" s="3" t="str">
        <f t="shared" si="62"/>
        <v>260327</v>
      </c>
      <c r="D1298" s="3" t="str">
        <f t="shared" si="63"/>
        <v>P00230000</v>
      </c>
      <c r="E1298" s="63" t="s">
        <v>1044</v>
      </c>
      <c r="F1298" s="13">
        <v>230</v>
      </c>
      <c r="G1298" s="63">
        <v>18.3</v>
      </c>
      <c r="H1298" s="63">
        <v>21.4</v>
      </c>
      <c r="I1298" s="63">
        <v>24.25</v>
      </c>
      <c r="J1298" s="64">
        <v>-0.21</v>
      </c>
      <c r="K1298" s="65">
        <v>-1.1299999999999999E-2</v>
      </c>
      <c r="L1298" s="63">
        <v>2</v>
      </c>
      <c r="M1298" s="63">
        <v>0</v>
      </c>
      <c r="N1298" s="67">
        <v>1.2567999999999999</v>
      </c>
      <c r="O1298" t="s">
        <v>65</v>
      </c>
      <c r="P1298" s="9">
        <v>46107</v>
      </c>
      <c r="Q1298">
        <v>207.54</v>
      </c>
    </row>
    <row r="1299" spans="1:17" x14ac:dyDescent="0.25">
      <c r="A1299" s="12" t="s">
        <v>992</v>
      </c>
      <c r="B1299" s="3" t="str">
        <f t="shared" si="64"/>
        <v>AMZN</v>
      </c>
      <c r="C1299" s="3" t="str">
        <f t="shared" si="62"/>
        <v>260327</v>
      </c>
      <c r="D1299" s="3" t="str">
        <f t="shared" si="63"/>
        <v>P00232500</v>
      </c>
      <c r="E1299" s="63" t="s">
        <v>1045</v>
      </c>
      <c r="F1299" s="13">
        <v>232.5</v>
      </c>
      <c r="G1299" s="63">
        <v>24</v>
      </c>
      <c r="H1299" s="63">
        <v>23.5</v>
      </c>
      <c r="I1299" s="63">
        <v>26.75</v>
      </c>
      <c r="J1299" s="70">
        <v>2.04</v>
      </c>
      <c r="K1299" s="71">
        <v>9.2899999999999996E-2</v>
      </c>
      <c r="L1299" s="63">
        <v>1</v>
      </c>
      <c r="M1299" s="63">
        <v>1</v>
      </c>
      <c r="N1299" s="67">
        <v>1.1679999999999999</v>
      </c>
      <c r="O1299" t="s">
        <v>65</v>
      </c>
      <c r="P1299" s="9">
        <v>46107</v>
      </c>
      <c r="Q1299">
        <v>207.54</v>
      </c>
    </row>
    <row r="1300" spans="1:17" x14ac:dyDescent="0.25">
      <c r="A1300" s="12" t="s">
        <v>994</v>
      </c>
      <c r="B1300" s="3" t="str">
        <f t="shared" si="64"/>
        <v>AMZN</v>
      </c>
      <c r="C1300" s="3" t="str">
        <f t="shared" si="62"/>
        <v>260327</v>
      </c>
      <c r="D1300" s="3" t="str">
        <f t="shared" si="63"/>
        <v>P00235000</v>
      </c>
      <c r="E1300" s="63" t="s">
        <v>1046</v>
      </c>
      <c r="F1300" s="13">
        <v>235</v>
      </c>
      <c r="G1300" s="63">
        <v>24.7</v>
      </c>
      <c r="H1300" s="63">
        <v>26.55</v>
      </c>
      <c r="I1300" s="63">
        <v>29.2</v>
      </c>
      <c r="J1300" s="64">
        <v>-6.1</v>
      </c>
      <c r="K1300" s="65">
        <v>-0.1981</v>
      </c>
      <c r="L1300" s="63">
        <v>80</v>
      </c>
      <c r="M1300" s="63">
        <v>2</v>
      </c>
      <c r="N1300" s="67">
        <v>1.4961</v>
      </c>
      <c r="O1300" t="s">
        <v>65</v>
      </c>
      <c r="P1300" s="9">
        <v>46107</v>
      </c>
      <c r="Q1300">
        <v>207.54</v>
      </c>
    </row>
    <row r="1301" spans="1:17" x14ac:dyDescent="0.25">
      <c r="A1301" s="12" t="s">
        <v>996</v>
      </c>
      <c r="B1301" s="3" t="str">
        <f t="shared" si="64"/>
        <v>AMZN</v>
      </c>
      <c r="C1301" s="3" t="str">
        <f t="shared" si="62"/>
        <v>260327</v>
      </c>
      <c r="D1301" s="3" t="str">
        <f t="shared" si="63"/>
        <v>P00237500</v>
      </c>
      <c r="E1301" s="69">
        <v>46359.54583333333</v>
      </c>
      <c r="F1301" s="13">
        <v>237.5</v>
      </c>
      <c r="G1301" s="63">
        <v>26.98</v>
      </c>
      <c r="H1301" s="63">
        <v>28.35</v>
      </c>
      <c r="I1301" s="63">
        <v>31.75</v>
      </c>
      <c r="J1301" s="63">
        <v>0</v>
      </c>
      <c r="K1301" s="68">
        <v>0</v>
      </c>
      <c r="L1301" s="63" t="s">
        <v>113</v>
      </c>
      <c r="M1301" s="63">
        <v>0</v>
      </c>
      <c r="N1301" s="67">
        <v>1.2226999999999999</v>
      </c>
      <c r="O1301" t="s">
        <v>65</v>
      </c>
      <c r="P1301" s="9">
        <v>46107</v>
      </c>
      <c r="Q1301">
        <v>207.54</v>
      </c>
    </row>
    <row r="1302" spans="1:17" x14ac:dyDescent="0.25">
      <c r="A1302" s="12" t="s">
        <v>997</v>
      </c>
      <c r="B1302" s="3" t="str">
        <f t="shared" si="64"/>
        <v>AMZN</v>
      </c>
      <c r="C1302" s="3" t="str">
        <f t="shared" si="62"/>
        <v>260327</v>
      </c>
      <c r="D1302" s="3" t="str">
        <f t="shared" si="63"/>
        <v>P00240000</v>
      </c>
      <c r="E1302" s="63" t="s">
        <v>998</v>
      </c>
      <c r="F1302" s="13">
        <v>240</v>
      </c>
      <c r="G1302" s="63">
        <v>32.25</v>
      </c>
      <c r="H1302" s="63">
        <v>30.85</v>
      </c>
      <c r="I1302" s="63">
        <v>34.25</v>
      </c>
      <c r="J1302" s="63">
        <v>0</v>
      </c>
      <c r="K1302" s="68">
        <v>0</v>
      </c>
      <c r="L1302" s="63">
        <v>4</v>
      </c>
      <c r="M1302" s="63">
        <v>0</v>
      </c>
      <c r="N1302" s="67">
        <v>1.3008</v>
      </c>
      <c r="O1302" t="s">
        <v>65</v>
      </c>
      <c r="P1302" s="9">
        <v>46107</v>
      </c>
      <c r="Q1302">
        <v>207.54</v>
      </c>
    </row>
    <row r="1303" spans="1:17" x14ac:dyDescent="0.25">
      <c r="A1303" s="12" t="s">
        <v>999</v>
      </c>
      <c r="B1303" s="3" t="str">
        <f t="shared" si="64"/>
        <v>AMZN</v>
      </c>
      <c r="C1303" s="3" t="str">
        <f t="shared" si="62"/>
        <v>260327</v>
      </c>
      <c r="D1303" s="3" t="str">
        <f t="shared" si="63"/>
        <v>P00245000</v>
      </c>
      <c r="E1303" s="63" t="s">
        <v>993</v>
      </c>
      <c r="F1303" s="13">
        <v>245</v>
      </c>
      <c r="G1303" s="63">
        <v>33.549999999999997</v>
      </c>
      <c r="H1303" s="63">
        <v>36.299999999999997</v>
      </c>
      <c r="I1303" s="63">
        <v>39.25</v>
      </c>
      <c r="J1303" s="63">
        <v>0</v>
      </c>
      <c r="K1303" s="68">
        <v>0</v>
      </c>
      <c r="L1303" s="63">
        <v>4</v>
      </c>
      <c r="M1303" s="63">
        <v>0</v>
      </c>
      <c r="N1303" s="67">
        <v>1.7813000000000001</v>
      </c>
      <c r="O1303" t="s">
        <v>65</v>
      </c>
      <c r="P1303" s="9">
        <v>46107</v>
      </c>
      <c r="Q1303">
        <v>207.54</v>
      </c>
    </row>
    <row r="1304" spans="1:17" x14ac:dyDescent="0.25">
      <c r="A1304" s="12" t="s">
        <v>1000</v>
      </c>
      <c r="B1304" s="3" t="str">
        <f t="shared" si="64"/>
        <v>AMZN</v>
      </c>
      <c r="C1304" s="3" t="str">
        <f t="shared" si="62"/>
        <v>260327</v>
      </c>
      <c r="D1304" s="3" t="str">
        <f t="shared" si="63"/>
        <v>P00250000</v>
      </c>
      <c r="E1304" s="63" t="s">
        <v>1001</v>
      </c>
      <c r="F1304" s="13">
        <v>250</v>
      </c>
      <c r="G1304" s="63">
        <v>36</v>
      </c>
      <c r="H1304" s="63">
        <v>40.85</v>
      </c>
      <c r="I1304" s="63">
        <v>44.25</v>
      </c>
      <c r="J1304" s="63">
        <v>0</v>
      </c>
      <c r="K1304" s="68">
        <v>0</v>
      </c>
      <c r="L1304" s="63">
        <v>1</v>
      </c>
      <c r="M1304" s="63">
        <v>0</v>
      </c>
      <c r="N1304" s="67">
        <v>1.6054999999999999</v>
      </c>
      <c r="O1304" t="s">
        <v>65</v>
      </c>
      <c r="P1304" s="9">
        <v>46107</v>
      </c>
      <c r="Q1304">
        <v>207.54</v>
      </c>
    </row>
    <row r="1305" spans="1:17" x14ac:dyDescent="0.25">
      <c r="A1305" s="12" t="s">
        <v>1002</v>
      </c>
      <c r="B1305" s="3" t="str">
        <f t="shared" si="64"/>
        <v>AMZN</v>
      </c>
      <c r="C1305" s="3" t="str">
        <f t="shared" si="62"/>
        <v>260327</v>
      </c>
      <c r="D1305" s="3" t="str">
        <f t="shared" si="63"/>
        <v>P00255000</v>
      </c>
      <c r="E1305" s="69">
        <v>46176.645833333336</v>
      </c>
      <c r="F1305" s="13">
        <v>255</v>
      </c>
      <c r="G1305" s="63">
        <v>39.65</v>
      </c>
      <c r="H1305" s="63">
        <v>45.85</v>
      </c>
      <c r="I1305" s="63">
        <v>49.3</v>
      </c>
      <c r="J1305" s="63">
        <v>0</v>
      </c>
      <c r="K1305" s="68">
        <v>0</v>
      </c>
      <c r="L1305" s="63">
        <v>1</v>
      </c>
      <c r="M1305" s="63">
        <v>0</v>
      </c>
      <c r="N1305" s="67">
        <v>1.8125</v>
      </c>
      <c r="O1305" t="s">
        <v>65</v>
      </c>
      <c r="P1305" s="9">
        <v>46107</v>
      </c>
      <c r="Q1305">
        <v>207.54</v>
      </c>
    </row>
    <row r="1306" spans="1:17" x14ac:dyDescent="0.25">
      <c r="A1306" s="12" t="s">
        <v>1003</v>
      </c>
      <c r="B1306" s="3" t="str">
        <f t="shared" si="64"/>
        <v>AMZN</v>
      </c>
      <c r="C1306" s="3" t="str">
        <f t="shared" si="62"/>
        <v>260327</v>
      </c>
      <c r="D1306" s="3" t="str">
        <f t="shared" si="63"/>
        <v>P00260000</v>
      </c>
      <c r="E1306" s="63" t="s">
        <v>1004</v>
      </c>
      <c r="F1306" s="13">
        <v>260</v>
      </c>
      <c r="G1306" s="63">
        <v>49.07</v>
      </c>
      <c r="H1306" s="63">
        <v>50.85</v>
      </c>
      <c r="I1306" s="63">
        <v>54.25</v>
      </c>
      <c r="J1306" s="63">
        <v>0</v>
      </c>
      <c r="K1306" s="68">
        <v>0</v>
      </c>
      <c r="L1306" s="63">
        <v>20</v>
      </c>
      <c r="M1306" s="63">
        <v>0</v>
      </c>
      <c r="N1306" s="67">
        <v>1.8906000000000001</v>
      </c>
      <c r="O1306" t="s">
        <v>65</v>
      </c>
      <c r="P1306" s="9">
        <v>46107</v>
      </c>
      <c r="Q1306">
        <v>207.54</v>
      </c>
    </row>
    <row r="1307" spans="1:17" x14ac:dyDescent="0.25">
      <c r="A1307" s="12" t="s">
        <v>1005</v>
      </c>
      <c r="B1307" s="3" t="str">
        <f t="shared" si="64"/>
        <v>AMZN</v>
      </c>
      <c r="C1307" s="3" t="str">
        <f t="shared" si="62"/>
        <v>260327</v>
      </c>
      <c r="D1307" s="3" t="str">
        <f t="shared" si="63"/>
        <v>P00265000</v>
      </c>
      <c r="E1307" s="63" t="s">
        <v>1006</v>
      </c>
      <c r="F1307" s="13">
        <v>265</v>
      </c>
      <c r="G1307" s="63">
        <v>53.02</v>
      </c>
      <c r="H1307" s="63">
        <v>55.85</v>
      </c>
      <c r="I1307" s="63">
        <v>59.25</v>
      </c>
      <c r="J1307" s="63">
        <v>0</v>
      </c>
      <c r="K1307" s="68">
        <v>0</v>
      </c>
      <c r="L1307" s="63">
        <v>75</v>
      </c>
      <c r="M1307" s="63">
        <v>0</v>
      </c>
      <c r="N1307" s="67">
        <v>2.0272999999999999</v>
      </c>
      <c r="O1307" t="s">
        <v>65</v>
      </c>
      <c r="P1307" s="9">
        <v>46107</v>
      </c>
      <c r="Q1307">
        <v>207.54</v>
      </c>
    </row>
    <row r="1308" spans="1:17" x14ac:dyDescent="0.25">
      <c r="A1308" s="10" t="s">
        <v>1047</v>
      </c>
      <c r="B1308" s="3" t="str">
        <f t="shared" si="64"/>
        <v>AMZN</v>
      </c>
      <c r="C1308" s="3" t="str">
        <f t="shared" si="62"/>
        <v>260410</v>
      </c>
      <c r="D1308" s="3" t="str">
        <f t="shared" si="63"/>
        <v>C00120000</v>
      </c>
      <c r="E1308" s="72">
        <v>46269.587500000001</v>
      </c>
      <c r="F1308" s="11">
        <v>120</v>
      </c>
      <c r="G1308" s="27">
        <v>111.15</v>
      </c>
      <c r="H1308" s="27">
        <v>111.95</v>
      </c>
      <c r="I1308" s="27">
        <v>114.85</v>
      </c>
      <c r="J1308" s="25">
        <v>10.23</v>
      </c>
      <c r="K1308" s="26">
        <v>0.1014</v>
      </c>
      <c r="L1308" s="27">
        <v>18</v>
      </c>
      <c r="M1308" s="27">
        <v>15</v>
      </c>
      <c r="N1308" s="28">
        <v>7.5098000000000003</v>
      </c>
      <c r="O1308" t="s">
        <v>62</v>
      </c>
      <c r="P1308" s="9">
        <v>46121</v>
      </c>
      <c r="Q1308">
        <v>233.65</v>
      </c>
    </row>
    <row r="1309" spans="1:17" x14ac:dyDescent="0.25">
      <c r="A1309" s="10" t="s">
        <v>1048</v>
      </c>
      <c r="B1309" s="3" t="str">
        <f t="shared" si="64"/>
        <v>AMZN</v>
      </c>
      <c r="C1309" s="3" t="str">
        <f t="shared" si="62"/>
        <v>260410</v>
      </c>
      <c r="D1309" s="3" t="str">
        <f t="shared" si="63"/>
        <v>C00125000</v>
      </c>
      <c r="E1309" s="72">
        <v>46269.406944444447</v>
      </c>
      <c r="F1309" s="11">
        <v>125</v>
      </c>
      <c r="G1309" s="27">
        <v>100.08</v>
      </c>
      <c r="H1309" s="27">
        <v>106.9</v>
      </c>
      <c r="I1309" s="27">
        <v>109.85</v>
      </c>
      <c r="J1309" s="25">
        <v>2.78</v>
      </c>
      <c r="K1309" s="26">
        <v>2.86E-2</v>
      </c>
      <c r="L1309" s="27">
        <v>8</v>
      </c>
      <c r="M1309" s="27">
        <v>10</v>
      </c>
      <c r="N1309" s="28">
        <v>7.1055000000000001</v>
      </c>
      <c r="O1309" t="s">
        <v>62</v>
      </c>
      <c r="P1309" s="9">
        <v>46121</v>
      </c>
      <c r="Q1309">
        <v>233.65</v>
      </c>
    </row>
    <row r="1310" spans="1:17" x14ac:dyDescent="0.25">
      <c r="A1310" s="10" t="s">
        <v>1049</v>
      </c>
      <c r="B1310" s="3" t="str">
        <f t="shared" si="64"/>
        <v>AMZN</v>
      </c>
      <c r="C1310" s="3" t="str">
        <f t="shared" si="62"/>
        <v>260410</v>
      </c>
      <c r="D1310" s="3" t="str">
        <f t="shared" si="63"/>
        <v>C00130000</v>
      </c>
      <c r="E1310" s="72">
        <v>46269.638194444444</v>
      </c>
      <c r="F1310" s="11">
        <v>130</v>
      </c>
      <c r="G1310" s="27">
        <v>102.39</v>
      </c>
      <c r="H1310" s="27">
        <v>101.95</v>
      </c>
      <c r="I1310" s="27">
        <v>104.85</v>
      </c>
      <c r="J1310" s="25">
        <v>11.68</v>
      </c>
      <c r="K1310" s="26">
        <v>0.1288</v>
      </c>
      <c r="L1310" s="27">
        <v>38</v>
      </c>
      <c r="M1310" s="27">
        <v>41</v>
      </c>
      <c r="N1310" s="28">
        <v>6.7187999999999999</v>
      </c>
      <c r="O1310" t="s">
        <v>62</v>
      </c>
      <c r="P1310" s="9">
        <v>46121</v>
      </c>
      <c r="Q1310">
        <v>233.65</v>
      </c>
    </row>
    <row r="1311" spans="1:17" x14ac:dyDescent="0.25">
      <c r="A1311" s="10" t="s">
        <v>1050</v>
      </c>
      <c r="B1311" s="3" t="str">
        <f t="shared" si="64"/>
        <v>AMZN</v>
      </c>
      <c r="C1311" s="3" t="str">
        <f t="shared" si="62"/>
        <v>260410</v>
      </c>
      <c r="D1311" s="3" t="str">
        <f t="shared" si="63"/>
        <v>C00135000</v>
      </c>
      <c r="E1311" s="72">
        <v>46269.5625</v>
      </c>
      <c r="F1311" s="11">
        <v>135</v>
      </c>
      <c r="G1311" s="27">
        <v>96.61</v>
      </c>
      <c r="H1311" s="27">
        <v>96.45</v>
      </c>
      <c r="I1311" s="27">
        <v>99.85</v>
      </c>
      <c r="J1311" s="25">
        <v>10.78</v>
      </c>
      <c r="K1311" s="26">
        <v>0.12559999999999999</v>
      </c>
      <c r="L1311" s="27">
        <v>5</v>
      </c>
      <c r="M1311" s="27">
        <v>35</v>
      </c>
      <c r="N1311" s="28">
        <v>6.3456999999999999</v>
      </c>
      <c r="O1311" t="s">
        <v>62</v>
      </c>
      <c r="P1311" s="9">
        <v>46121</v>
      </c>
      <c r="Q1311">
        <v>233.65</v>
      </c>
    </row>
    <row r="1312" spans="1:17" x14ac:dyDescent="0.25">
      <c r="A1312" s="10" t="s">
        <v>1051</v>
      </c>
      <c r="B1312" s="3" t="str">
        <f t="shared" si="64"/>
        <v>AMZN</v>
      </c>
      <c r="C1312" s="3" t="str">
        <f t="shared" si="62"/>
        <v>260410</v>
      </c>
      <c r="D1312" s="3" t="str">
        <f t="shared" si="63"/>
        <v>C00140000</v>
      </c>
      <c r="E1312" s="72">
        <v>46269.570833333331</v>
      </c>
      <c r="F1312" s="11">
        <v>140</v>
      </c>
      <c r="G1312" s="27">
        <v>90.41</v>
      </c>
      <c r="H1312" s="27">
        <v>92</v>
      </c>
      <c r="I1312" s="27">
        <v>94.6</v>
      </c>
      <c r="J1312" s="25">
        <v>9.67</v>
      </c>
      <c r="K1312" s="26">
        <v>0.1198</v>
      </c>
      <c r="L1312" s="27">
        <v>9</v>
      </c>
      <c r="M1312" s="27">
        <v>7</v>
      </c>
      <c r="N1312" s="28">
        <v>5.7129000000000003</v>
      </c>
      <c r="O1312" t="s">
        <v>62</v>
      </c>
      <c r="P1312" s="9">
        <v>46121</v>
      </c>
      <c r="Q1312">
        <v>233.65</v>
      </c>
    </row>
    <row r="1313" spans="1:17" x14ac:dyDescent="0.25">
      <c r="A1313" s="10" t="s">
        <v>1052</v>
      </c>
      <c r="B1313" s="3" t="str">
        <f t="shared" si="64"/>
        <v>AMZN</v>
      </c>
      <c r="C1313" s="3" t="str">
        <f t="shared" si="62"/>
        <v>260410</v>
      </c>
      <c r="D1313" s="3" t="str">
        <f t="shared" si="63"/>
        <v>C00145000</v>
      </c>
      <c r="E1313" s="72">
        <v>46269.456944444442</v>
      </c>
      <c r="F1313" s="11">
        <v>145</v>
      </c>
      <c r="G1313" s="27">
        <v>82.8</v>
      </c>
      <c r="H1313" s="27">
        <v>86.9</v>
      </c>
      <c r="I1313" s="27">
        <v>89.95</v>
      </c>
      <c r="J1313" s="25">
        <v>5.21</v>
      </c>
      <c r="K1313" s="26">
        <v>6.7100000000000007E-2</v>
      </c>
      <c r="L1313" s="27">
        <v>1</v>
      </c>
      <c r="M1313" s="27">
        <v>27</v>
      </c>
      <c r="N1313" s="28">
        <v>5.7285000000000004</v>
      </c>
      <c r="O1313" t="s">
        <v>62</v>
      </c>
      <c r="P1313" s="9">
        <v>46121</v>
      </c>
      <c r="Q1313">
        <v>233.65</v>
      </c>
    </row>
    <row r="1314" spans="1:17" x14ac:dyDescent="0.25">
      <c r="A1314" s="10" t="s">
        <v>1053</v>
      </c>
      <c r="B1314" s="3" t="str">
        <f t="shared" si="64"/>
        <v>AMZN</v>
      </c>
      <c r="C1314" s="3" t="str">
        <f t="shared" si="62"/>
        <v>260410</v>
      </c>
      <c r="D1314" s="3" t="str">
        <f t="shared" si="63"/>
        <v>C00150000</v>
      </c>
      <c r="E1314" s="72">
        <v>46269.643750000003</v>
      </c>
      <c r="F1314" s="11">
        <v>150</v>
      </c>
      <c r="G1314" s="27">
        <v>82.1</v>
      </c>
      <c r="H1314" s="27">
        <v>81.45</v>
      </c>
      <c r="I1314" s="27">
        <v>84.55</v>
      </c>
      <c r="J1314" s="25">
        <v>10.81</v>
      </c>
      <c r="K1314" s="26">
        <v>0.15160000000000001</v>
      </c>
      <c r="L1314" s="27">
        <v>6</v>
      </c>
      <c r="M1314" s="27">
        <v>7</v>
      </c>
      <c r="N1314" s="28">
        <v>4.9941000000000004</v>
      </c>
      <c r="O1314" t="s">
        <v>62</v>
      </c>
      <c r="P1314" s="9">
        <v>46121</v>
      </c>
      <c r="Q1314">
        <v>233.65</v>
      </c>
    </row>
    <row r="1315" spans="1:17" x14ac:dyDescent="0.25">
      <c r="A1315" s="10" t="s">
        <v>1054</v>
      </c>
      <c r="B1315" s="3" t="str">
        <f t="shared" si="64"/>
        <v>AMZN</v>
      </c>
      <c r="C1315" s="3" t="str">
        <f t="shared" si="62"/>
        <v>260410</v>
      </c>
      <c r="D1315" s="3" t="str">
        <f t="shared" si="63"/>
        <v>C00155000</v>
      </c>
      <c r="E1315" s="72">
        <v>46269.643750000003</v>
      </c>
      <c r="F1315" s="11">
        <v>155</v>
      </c>
      <c r="G1315" s="27">
        <v>77.25</v>
      </c>
      <c r="H1315" s="27">
        <v>76.5</v>
      </c>
      <c r="I1315" s="27">
        <v>79.95</v>
      </c>
      <c r="J1315" s="25">
        <v>11.39</v>
      </c>
      <c r="K1315" s="26">
        <v>0.1729</v>
      </c>
      <c r="L1315" s="27">
        <v>3</v>
      </c>
      <c r="M1315" s="27">
        <v>41</v>
      </c>
      <c r="N1315" s="28">
        <v>5.0518000000000001</v>
      </c>
      <c r="O1315" t="s">
        <v>62</v>
      </c>
      <c r="P1315" s="9">
        <v>46121</v>
      </c>
      <c r="Q1315">
        <v>233.65</v>
      </c>
    </row>
    <row r="1316" spans="1:17" x14ac:dyDescent="0.25">
      <c r="A1316" s="10" t="s">
        <v>1055</v>
      </c>
      <c r="B1316" s="3" t="str">
        <f t="shared" si="64"/>
        <v>AMZN</v>
      </c>
      <c r="C1316" s="3" t="str">
        <f t="shared" si="62"/>
        <v>260410</v>
      </c>
      <c r="D1316" s="3" t="str">
        <f t="shared" si="63"/>
        <v>C00160000</v>
      </c>
      <c r="E1316" s="72">
        <v>46269.630555555559</v>
      </c>
      <c r="F1316" s="11">
        <v>160</v>
      </c>
      <c r="G1316" s="27">
        <v>71.45</v>
      </c>
      <c r="H1316" s="27">
        <v>71.5</v>
      </c>
      <c r="I1316" s="27">
        <v>74.900000000000006</v>
      </c>
      <c r="J1316" s="25">
        <v>10.41</v>
      </c>
      <c r="K1316" s="26">
        <v>0.17050000000000001</v>
      </c>
      <c r="L1316" s="27">
        <v>4</v>
      </c>
      <c r="M1316" s="27">
        <v>30</v>
      </c>
      <c r="N1316" s="28">
        <v>4.6856</v>
      </c>
      <c r="O1316" t="s">
        <v>62</v>
      </c>
      <c r="P1316" s="9">
        <v>46121</v>
      </c>
      <c r="Q1316">
        <v>233.65</v>
      </c>
    </row>
    <row r="1317" spans="1:17" x14ac:dyDescent="0.25">
      <c r="A1317" s="10" t="s">
        <v>1056</v>
      </c>
      <c r="B1317" s="3" t="str">
        <f t="shared" si="64"/>
        <v>AMZN</v>
      </c>
      <c r="C1317" s="3" t="str">
        <f t="shared" si="62"/>
        <v>260410</v>
      </c>
      <c r="D1317" s="3" t="str">
        <f t="shared" si="63"/>
        <v>C00165000</v>
      </c>
      <c r="E1317" s="72">
        <v>46238.627083333333</v>
      </c>
      <c r="F1317" s="11">
        <v>165</v>
      </c>
      <c r="G1317" s="27">
        <v>56.06</v>
      </c>
      <c r="H1317" s="27">
        <v>66.45</v>
      </c>
      <c r="I1317" s="27">
        <v>69.849999999999994</v>
      </c>
      <c r="J1317" s="27">
        <v>0</v>
      </c>
      <c r="K1317" s="28">
        <v>0</v>
      </c>
      <c r="L1317" s="27">
        <v>18</v>
      </c>
      <c r="M1317" s="27">
        <v>14</v>
      </c>
      <c r="N1317" s="28">
        <v>4.3319999999999999</v>
      </c>
      <c r="O1317" t="s">
        <v>62</v>
      </c>
      <c r="P1317" s="9">
        <v>46121</v>
      </c>
      <c r="Q1317">
        <v>233.65</v>
      </c>
    </row>
    <row r="1318" spans="1:17" x14ac:dyDescent="0.25">
      <c r="A1318" s="10" t="s">
        <v>1057</v>
      </c>
      <c r="B1318" s="3" t="str">
        <f t="shared" si="64"/>
        <v>AMZN</v>
      </c>
      <c r="C1318" s="3" t="str">
        <f t="shared" si="62"/>
        <v>260410</v>
      </c>
      <c r="D1318" s="3" t="str">
        <f t="shared" si="63"/>
        <v>C00170000</v>
      </c>
      <c r="E1318" s="72">
        <v>46269.65347222222</v>
      </c>
      <c r="F1318" s="11">
        <v>170</v>
      </c>
      <c r="G1318" s="27">
        <v>62.96</v>
      </c>
      <c r="H1318" s="27">
        <v>62</v>
      </c>
      <c r="I1318" s="27">
        <v>64.25</v>
      </c>
      <c r="J1318" s="25">
        <v>11.07</v>
      </c>
      <c r="K1318" s="26">
        <v>0.21329999999999999</v>
      </c>
      <c r="L1318" s="27">
        <v>391</v>
      </c>
      <c r="M1318" s="27">
        <v>32</v>
      </c>
      <c r="N1318" s="28">
        <v>3.4902000000000002</v>
      </c>
      <c r="O1318" t="s">
        <v>62</v>
      </c>
      <c r="P1318" s="9">
        <v>46121</v>
      </c>
      <c r="Q1318">
        <v>233.65</v>
      </c>
    </row>
    <row r="1319" spans="1:17" x14ac:dyDescent="0.25">
      <c r="A1319" s="10" t="s">
        <v>1058</v>
      </c>
      <c r="B1319" s="3" t="str">
        <f t="shared" si="64"/>
        <v>AMZN</v>
      </c>
      <c r="C1319" s="3" t="str">
        <f t="shared" si="62"/>
        <v>260410</v>
      </c>
      <c r="D1319" s="3" t="str">
        <f t="shared" si="63"/>
        <v>C00172500</v>
      </c>
      <c r="E1319" s="72">
        <v>46238.426388888889</v>
      </c>
      <c r="F1319" s="11">
        <v>172.5</v>
      </c>
      <c r="G1319" s="27">
        <v>48.54</v>
      </c>
      <c r="H1319" s="27">
        <v>58.7</v>
      </c>
      <c r="I1319" s="27">
        <v>62.5</v>
      </c>
      <c r="J1319" s="27">
        <v>0</v>
      </c>
      <c r="K1319" s="28">
        <v>0</v>
      </c>
      <c r="L1319" s="27">
        <v>1</v>
      </c>
      <c r="M1319" s="27">
        <v>0</v>
      </c>
      <c r="N1319" s="28">
        <v>3.9824000000000002</v>
      </c>
      <c r="O1319" t="s">
        <v>62</v>
      </c>
      <c r="P1319" s="9">
        <v>46121</v>
      </c>
      <c r="Q1319">
        <v>233.65</v>
      </c>
    </row>
    <row r="1320" spans="1:17" x14ac:dyDescent="0.25">
      <c r="A1320" s="10" t="s">
        <v>1059</v>
      </c>
      <c r="B1320" s="3" t="str">
        <f t="shared" si="64"/>
        <v>AMZN</v>
      </c>
      <c r="C1320" s="3" t="str">
        <f t="shared" si="62"/>
        <v>260410</v>
      </c>
      <c r="D1320" s="3" t="str">
        <f t="shared" si="63"/>
        <v>C00175000</v>
      </c>
      <c r="E1320" s="72">
        <v>46269.500694444447</v>
      </c>
      <c r="F1320" s="11">
        <v>175</v>
      </c>
      <c r="G1320" s="27">
        <v>56.85</v>
      </c>
      <c r="H1320" s="27">
        <v>56.95</v>
      </c>
      <c r="I1320" s="27">
        <v>59.9</v>
      </c>
      <c r="J1320" s="25">
        <v>10.77</v>
      </c>
      <c r="K1320" s="26">
        <v>0.23369999999999999</v>
      </c>
      <c r="L1320" s="27">
        <v>30</v>
      </c>
      <c r="M1320" s="27">
        <v>56</v>
      </c>
      <c r="N1320" s="28">
        <v>3.7616999999999998</v>
      </c>
      <c r="O1320" t="s">
        <v>62</v>
      </c>
      <c r="P1320" s="9">
        <v>46121</v>
      </c>
      <c r="Q1320">
        <v>233.65</v>
      </c>
    </row>
    <row r="1321" spans="1:17" x14ac:dyDescent="0.25">
      <c r="A1321" s="10" t="s">
        <v>1060</v>
      </c>
      <c r="B1321" s="3" t="str">
        <f t="shared" si="64"/>
        <v>AMZN</v>
      </c>
      <c r="C1321" s="3" t="str">
        <f t="shared" si="62"/>
        <v>260410</v>
      </c>
      <c r="D1321" s="3" t="str">
        <f t="shared" si="63"/>
        <v>C00177500</v>
      </c>
      <c r="E1321" s="72">
        <v>46207.416666666664</v>
      </c>
      <c r="F1321" s="11">
        <v>177.5</v>
      </c>
      <c r="G1321" s="27">
        <v>34.57</v>
      </c>
      <c r="H1321" s="27">
        <v>53.9</v>
      </c>
      <c r="I1321" s="27">
        <v>57.4</v>
      </c>
      <c r="J1321" s="27">
        <v>0</v>
      </c>
      <c r="K1321" s="28">
        <v>0</v>
      </c>
      <c r="L1321" s="27">
        <v>1</v>
      </c>
      <c r="M1321" s="27">
        <v>3</v>
      </c>
      <c r="N1321" s="28">
        <v>3.6133000000000002</v>
      </c>
      <c r="O1321" t="s">
        <v>62</v>
      </c>
      <c r="P1321" s="9">
        <v>46121</v>
      </c>
      <c r="Q1321">
        <v>233.65</v>
      </c>
    </row>
    <row r="1322" spans="1:17" x14ac:dyDescent="0.25">
      <c r="A1322" s="10" t="s">
        <v>1061</v>
      </c>
      <c r="B1322" s="3" t="str">
        <f t="shared" si="64"/>
        <v>AMZN</v>
      </c>
      <c r="C1322" s="3" t="str">
        <f t="shared" si="62"/>
        <v>260410</v>
      </c>
      <c r="D1322" s="3" t="str">
        <f t="shared" si="63"/>
        <v>C00180000</v>
      </c>
      <c r="E1322" s="72">
        <v>46269.581944444442</v>
      </c>
      <c r="F1322" s="11">
        <v>180</v>
      </c>
      <c r="G1322" s="27">
        <v>51.59</v>
      </c>
      <c r="H1322" s="27">
        <v>52.7</v>
      </c>
      <c r="I1322" s="27">
        <v>54.45</v>
      </c>
      <c r="J1322" s="25">
        <v>6.58</v>
      </c>
      <c r="K1322" s="26">
        <v>0.1462</v>
      </c>
      <c r="L1322" s="27">
        <v>405</v>
      </c>
      <c r="M1322" s="73">
        <v>2102</v>
      </c>
      <c r="N1322" s="28">
        <v>3.1347999999999998</v>
      </c>
      <c r="O1322" t="s">
        <v>62</v>
      </c>
      <c r="P1322" s="9">
        <v>46121</v>
      </c>
      <c r="Q1322">
        <v>233.65</v>
      </c>
    </row>
    <row r="1323" spans="1:17" x14ac:dyDescent="0.25">
      <c r="A1323" s="10" t="s">
        <v>1062</v>
      </c>
      <c r="B1323" s="3" t="str">
        <f t="shared" si="64"/>
        <v>AMZN</v>
      </c>
      <c r="C1323" s="3" t="str">
        <f t="shared" si="62"/>
        <v>260410</v>
      </c>
      <c r="D1323" s="3" t="str">
        <f t="shared" si="63"/>
        <v>C00182500</v>
      </c>
      <c r="E1323" s="72">
        <v>46207.65</v>
      </c>
      <c r="F1323" s="11">
        <v>182.5</v>
      </c>
      <c r="G1323" s="27">
        <v>30.37</v>
      </c>
      <c r="H1323" s="27">
        <v>49.4</v>
      </c>
      <c r="I1323" s="27">
        <v>52.4</v>
      </c>
      <c r="J1323" s="27">
        <v>0</v>
      </c>
      <c r="K1323" s="28">
        <v>0</v>
      </c>
      <c r="L1323" s="27">
        <v>8</v>
      </c>
      <c r="M1323" s="27">
        <v>1</v>
      </c>
      <c r="N1323" s="28">
        <v>3.3193000000000001</v>
      </c>
      <c r="O1323" t="s">
        <v>62</v>
      </c>
      <c r="P1323" s="9">
        <v>46121</v>
      </c>
      <c r="Q1323">
        <v>233.65</v>
      </c>
    </row>
    <row r="1324" spans="1:17" x14ac:dyDescent="0.25">
      <c r="A1324" s="10" t="s">
        <v>1063</v>
      </c>
      <c r="B1324" s="3" t="str">
        <f t="shared" si="64"/>
        <v>AMZN</v>
      </c>
      <c r="C1324" s="3" t="str">
        <f t="shared" si="62"/>
        <v>260410</v>
      </c>
      <c r="D1324" s="3" t="str">
        <f t="shared" si="63"/>
        <v>C00185000</v>
      </c>
      <c r="E1324" s="72">
        <v>46269.500694444447</v>
      </c>
      <c r="F1324" s="11">
        <v>185</v>
      </c>
      <c r="G1324" s="27">
        <v>47.4</v>
      </c>
      <c r="H1324" s="27">
        <v>46.95</v>
      </c>
      <c r="I1324" s="27">
        <v>49.9</v>
      </c>
      <c r="J1324" s="25">
        <v>10.08</v>
      </c>
      <c r="K1324" s="26">
        <v>0.27010000000000001</v>
      </c>
      <c r="L1324" s="27">
        <v>40</v>
      </c>
      <c r="M1324" s="27">
        <v>48</v>
      </c>
      <c r="N1324" s="28">
        <v>3.1747999999999998</v>
      </c>
      <c r="O1324" t="s">
        <v>62</v>
      </c>
      <c r="P1324" s="9">
        <v>46121</v>
      </c>
      <c r="Q1324">
        <v>233.65</v>
      </c>
    </row>
    <row r="1325" spans="1:17" x14ac:dyDescent="0.25">
      <c r="A1325" s="10" t="s">
        <v>1064</v>
      </c>
      <c r="B1325" s="3" t="str">
        <f t="shared" si="64"/>
        <v>AMZN</v>
      </c>
      <c r="C1325" s="3" t="str">
        <f t="shared" si="62"/>
        <v>260410</v>
      </c>
      <c r="D1325" s="3" t="str">
        <f t="shared" si="63"/>
        <v>C00187500</v>
      </c>
      <c r="E1325" s="72">
        <v>46207.53402777778</v>
      </c>
      <c r="F1325" s="11">
        <v>187.5</v>
      </c>
      <c r="G1325" s="27">
        <v>24.6</v>
      </c>
      <c r="H1325" s="27">
        <v>44.2</v>
      </c>
      <c r="I1325" s="27">
        <v>47.4</v>
      </c>
      <c r="J1325" s="27">
        <v>0</v>
      </c>
      <c r="K1325" s="28">
        <v>0</v>
      </c>
      <c r="L1325" s="27">
        <v>5</v>
      </c>
      <c r="M1325" s="73">
        <v>1233</v>
      </c>
      <c r="N1325" s="28">
        <v>3.0312999999999999</v>
      </c>
      <c r="O1325" t="s">
        <v>62</v>
      </c>
      <c r="P1325" s="9">
        <v>46121</v>
      </c>
      <c r="Q1325">
        <v>233.65</v>
      </c>
    </row>
    <row r="1326" spans="1:17" x14ac:dyDescent="0.25">
      <c r="A1326" s="10" t="s">
        <v>1065</v>
      </c>
      <c r="B1326" s="3" t="str">
        <f t="shared" si="64"/>
        <v>AMZN</v>
      </c>
      <c r="C1326" s="3" t="str">
        <f t="shared" si="62"/>
        <v>260410</v>
      </c>
      <c r="D1326" s="3" t="str">
        <f t="shared" si="63"/>
        <v>C00190000</v>
      </c>
      <c r="E1326" s="72">
        <v>46269.623611111114</v>
      </c>
      <c r="F1326" s="11">
        <v>190</v>
      </c>
      <c r="G1326" s="27">
        <v>42.3</v>
      </c>
      <c r="H1326" s="27">
        <v>42</v>
      </c>
      <c r="I1326" s="27">
        <v>44.5</v>
      </c>
      <c r="J1326" s="25">
        <v>11.2</v>
      </c>
      <c r="K1326" s="26">
        <v>0.36009999999999998</v>
      </c>
      <c r="L1326" s="27">
        <v>43</v>
      </c>
      <c r="M1326" s="27">
        <v>227</v>
      </c>
      <c r="N1326" s="28">
        <v>2.6337999999999999</v>
      </c>
      <c r="O1326" t="s">
        <v>62</v>
      </c>
      <c r="P1326" s="9">
        <v>46121</v>
      </c>
      <c r="Q1326">
        <v>233.65</v>
      </c>
    </row>
    <row r="1327" spans="1:17" x14ac:dyDescent="0.25">
      <c r="A1327" s="10" t="s">
        <v>1066</v>
      </c>
      <c r="B1327" s="3" t="str">
        <f t="shared" si="64"/>
        <v>AMZN</v>
      </c>
      <c r="C1327" s="3" t="str">
        <f t="shared" si="62"/>
        <v>260410</v>
      </c>
      <c r="D1327" s="3" t="str">
        <f t="shared" si="63"/>
        <v>C00192500</v>
      </c>
      <c r="E1327" s="72">
        <v>46269.640972222223</v>
      </c>
      <c r="F1327" s="11">
        <v>192.5</v>
      </c>
      <c r="G1327" s="27">
        <v>39.81</v>
      </c>
      <c r="H1327" s="27">
        <v>39.450000000000003</v>
      </c>
      <c r="I1327" s="27">
        <v>41.95</v>
      </c>
      <c r="J1327" s="25">
        <v>11.29</v>
      </c>
      <c r="K1327" s="26">
        <v>0.39589999999999997</v>
      </c>
      <c r="L1327" s="27">
        <v>55</v>
      </c>
      <c r="M1327" s="27">
        <v>306</v>
      </c>
      <c r="N1327" s="28">
        <v>2.4668000000000001</v>
      </c>
      <c r="O1327" t="s">
        <v>62</v>
      </c>
      <c r="P1327" s="9">
        <v>46121</v>
      </c>
      <c r="Q1327">
        <v>233.65</v>
      </c>
    </row>
    <row r="1328" spans="1:17" x14ac:dyDescent="0.25">
      <c r="A1328" s="10" t="s">
        <v>1067</v>
      </c>
      <c r="B1328" s="3" t="str">
        <f t="shared" si="64"/>
        <v>AMZN</v>
      </c>
      <c r="C1328" s="3" t="str">
        <f t="shared" si="62"/>
        <v>260410</v>
      </c>
      <c r="D1328" s="3" t="str">
        <f t="shared" si="63"/>
        <v>C00195000</v>
      </c>
      <c r="E1328" s="72">
        <v>46269.659722222219</v>
      </c>
      <c r="F1328" s="11">
        <v>195</v>
      </c>
      <c r="G1328" s="27">
        <v>37.85</v>
      </c>
      <c r="H1328" s="27">
        <v>37</v>
      </c>
      <c r="I1328" s="27">
        <v>39</v>
      </c>
      <c r="J1328" s="25">
        <v>10.81</v>
      </c>
      <c r="K1328" s="26">
        <v>0.39979999999999999</v>
      </c>
      <c r="L1328" s="27">
        <v>38</v>
      </c>
      <c r="M1328" s="27">
        <v>302</v>
      </c>
      <c r="N1328" s="28">
        <v>1.9668000000000001</v>
      </c>
      <c r="O1328" t="s">
        <v>62</v>
      </c>
      <c r="P1328" s="9">
        <v>46121</v>
      </c>
      <c r="Q1328">
        <v>233.65</v>
      </c>
    </row>
    <row r="1329" spans="1:17" x14ac:dyDescent="0.25">
      <c r="A1329" s="10" t="s">
        <v>1068</v>
      </c>
      <c r="B1329" s="3" t="str">
        <f t="shared" si="64"/>
        <v>AMZN</v>
      </c>
      <c r="C1329" s="3" t="str">
        <f t="shared" si="62"/>
        <v>260410</v>
      </c>
      <c r="D1329" s="3" t="str">
        <f t="shared" si="63"/>
        <v>C00197500</v>
      </c>
      <c r="E1329" s="72">
        <v>46269.617361111108</v>
      </c>
      <c r="F1329" s="11">
        <v>197.5</v>
      </c>
      <c r="G1329" s="27">
        <v>35.299999999999997</v>
      </c>
      <c r="H1329" s="27">
        <v>34.299999999999997</v>
      </c>
      <c r="I1329" s="27">
        <v>36.950000000000003</v>
      </c>
      <c r="J1329" s="25">
        <v>11.3</v>
      </c>
      <c r="K1329" s="26">
        <v>0.4708</v>
      </c>
      <c r="L1329" s="27">
        <v>12</v>
      </c>
      <c r="M1329" s="73">
        <v>1110</v>
      </c>
      <c r="N1329" s="28">
        <v>2.2040999999999999</v>
      </c>
      <c r="O1329" t="s">
        <v>62</v>
      </c>
      <c r="P1329" s="9">
        <v>46121</v>
      </c>
      <c r="Q1329">
        <v>233.65</v>
      </c>
    </row>
    <row r="1330" spans="1:17" x14ac:dyDescent="0.25">
      <c r="A1330" s="10" t="s">
        <v>1069</v>
      </c>
      <c r="B1330" s="3" t="str">
        <f t="shared" si="64"/>
        <v>AMZN</v>
      </c>
      <c r="C1330" s="3" t="str">
        <f t="shared" si="62"/>
        <v>260410</v>
      </c>
      <c r="D1330" s="3" t="str">
        <f t="shared" si="63"/>
        <v>C00200000</v>
      </c>
      <c r="E1330" s="72">
        <v>46269.658333333333</v>
      </c>
      <c r="F1330" s="11">
        <v>200</v>
      </c>
      <c r="G1330" s="27">
        <v>33.1</v>
      </c>
      <c r="H1330" s="27">
        <v>32.950000000000003</v>
      </c>
      <c r="I1330" s="27">
        <v>34.5</v>
      </c>
      <c r="J1330" s="25">
        <v>12.18</v>
      </c>
      <c r="K1330" s="26">
        <v>0.58220000000000005</v>
      </c>
      <c r="L1330" s="27">
        <v>464</v>
      </c>
      <c r="M1330" s="27">
        <v>441</v>
      </c>
      <c r="N1330" s="28">
        <v>1.3515999999999999</v>
      </c>
      <c r="O1330" t="s">
        <v>62</v>
      </c>
      <c r="P1330" s="9">
        <v>46121</v>
      </c>
      <c r="Q1330">
        <v>233.65</v>
      </c>
    </row>
    <row r="1331" spans="1:17" x14ac:dyDescent="0.25">
      <c r="A1331" s="10" t="s">
        <v>1070</v>
      </c>
      <c r="B1331" s="3" t="str">
        <f t="shared" si="64"/>
        <v>AMZN</v>
      </c>
      <c r="C1331" s="3" t="str">
        <f t="shared" si="62"/>
        <v>260410</v>
      </c>
      <c r="D1331" s="3" t="str">
        <f t="shared" si="63"/>
        <v>C00202500</v>
      </c>
      <c r="E1331" s="72">
        <v>46269.665277777778</v>
      </c>
      <c r="F1331" s="11">
        <v>202.5</v>
      </c>
      <c r="G1331" s="27">
        <v>30.9</v>
      </c>
      <c r="H1331" s="27">
        <v>30.55</v>
      </c>
      <c r="I1331" s="27">
        <v>31.95</v>
      </c>
      <c r="J1331" s="25">
        <v>12.43</v>
      </c>
      <c r="K1331" s="26">
        <v>0.67300000000000004</v>
      </c>
      <c r="L1331" s="27">
        <v>12</v>
      </c>
      <c r="M1331" s="27">
        <v>682</v>
      </c>
      <c r="N1331" s="28">
        <v>1.3086</v>
      </c>
      <c r="O1331" t="s">
        <v>62</v>
      </c>
      <c r="P1331" s="9">
        <v>46121</v>
      </c>
      <c r="Q1331">
        <v>233.65</v>
      </c>
    </row>
    <row r="1332" spans="1:17" x14ac:dyDescent="0.25">
      <c r="A1332" s="10" t="s">
        <v>1071</v>
      </c>
      <c r="B1332" s="3" t="str">
        <f t="shared" si="64"/>
        <v>AMZN</v>
      </c>
      <c r="C1332" s="3" t="str">
        <f t="shared" ref="C1332:C1358" si="65">+MID(A1332,5,6)</f>
        <v>260410</v>
      </c>
      <c r="D1332" s="3" t="str">
        <f t="shared" ref="D1332:D1358" si="66">+MID(A1332,11,10)</f>
        <v>C00205000</v>
      </c>
      <c r="E1332" s="72">
        <v>46269.663888888892</v>
      </c>
      <c r="F1332" s="11">
        <v>205</v>
      </c>
      <c r="G1332" s="27">
        <v>28.21</v>
      </c>
      <c r="H1332" s="27">
        <v>28</v>
      </c>
      <c r="I1332" s="27">
        <v>29.15</v>
      </c>
      <c r="J1332" s="25">
        <v>12.01</v>
      </c>
      <c r="K1332" s="26">
        <v>0.74139999999999995</v>
      </c>
      <c r="L1332" s="27">
        <v>198</v>
      </c>
      <c r="M1332" s="73">
        <v>1690</v>
      </c>
      <c r="N1332" s="28">
        <v>1.625</v>
      </c>
      <c r="O1332" t="s">
        <v>62</v>
      </c>
      <c r="P1332" s="9">
        <v>46121</v>
      </c>
      <c r="Q1332">
        <v>233.65</v>
      </c>
    </row>
    <row r="1333" spans="1:17" x14ac:dyDescent="0.25">
      <c r="A1333" s="10" t="s">
        <v>1072</v>
      </c>
      <c r="B1333" s="3" t="str">
        <f t="shared" si="64"/>
        <v>AMZN</v>
      </c>
      <c r="C1333" s="3" t="str">
        <f t="shared" si="65"/>
        <v>260410</v>
      </c>
      <c r="D1333" s="3" t="str">
        <f t="shared" si="66"/>
        <v>C00207500</v>
      </c>
      <c r="E1333" s="72">
        <v>46269.664583333331</v>
      </c>
      <c r="F1333" s="11">
        <v>207.5</v>
      </c>
      <c r="G1333" s="27">
        <v>26.1</v>
      </c>
      <c r="H1333" s="27">
        <v>25.4</v>
      </c>
      <c r="I1333" s="27">
        <v>26.95</v>
      </c>
      <c r="J1333" s="25">
        <v>12.31</v>
      </c>
      <c r="K1333" s="26">
        <v>0.89270000000000005</v>
      </c>
      <c r="L1333" s="73">
        <v>1393</v>
      </c>
      <c r="M1333" s="73">
        <v>3120</v>
      </c>
      <c r="N1333" s="28">
        <v>0.92190000000000005</v>
      </c>
      <c r="O1333" t="s">
        <v>62</v>
      </c>
      <c r="P1333" s="9">
        <v>46121</v>
      </c>
      <c r="Q1333">
        <v>233.65</v>
      </c>
    </row>
    <row r="1334" spans="1:17" x14ac:dyDescent="0.25">
      <c r="A1334" s="10" t="s">
        <v>1073</v>
      </c>
      <c r="B1334" s="3" t="str">
        <f t="shared" si="64"/>
        <v>AMZN</v>
      </c>
      <c r="C1334" s="3" t="str">
        <f t="shared" si="65"/>
        <v>260410</v>
      </c>
      <c r="D1334" s="3" t="str">
        <f t="shared" si="66"/>
        <v>C00210000</v>
      </c>
      <c r="E1334" s="72">
        <v>46269.664583333331</v>
      </c>
      <c r="F1334" s="11">
        <v>210</v>
      </c>
      <c r="G1334" s="27">
        <v>22.75</v>
      </c>
      <c r="H1334" s="27">
        <v>23</v>
      </c>
      <c r="I1334" s="27">
        <v>24.15</v>
      </c>
      <c r="J1334" s="25">
        <v>11.37</v>
      </c>
      <c r="K1334" s="26">
        <v>0.99909999999999999</v>
      </c>
      <c r="L1334" s="27">
        <v>694</v>
      </c>
      <c r="M1334" s="73">
        <v>10863</v>
      </c>
      <c r="N1334" s="28">
        <v>1.3848</v>
      </c>
      <c r="O1334" t="s">
        <v>62</v>
      </c>
      <c r="P1334" s="9">
        <v>46121</v>
      </c>
      <c r="Q1334">
        <v>233.65</v>
      </c>
    </row>
    <row r="1335" spans="1:17" x14ac:dyDescent="0.25">
      <c r="A1335" s="10" t="s">
        <v>1074</v>
      </c>
      <c r="B1335" s="3" t="str">
        <f t="shared" si="64"/>
        <v>AMZN</v>
      </c>
      <c r="C1335" s="3" t="str">
        <f t="shared" si="65"/>
        <v>260410</v>
      </c>
      <c r="D1335" s="3" t="str">
        <f t="shared" si="66"/>
        <v>C00212500</v>
      </c>
      <c r="E1335" s="72">
        <v>46269.656944444447</v>
      </c>
      <c r="F1335" s="11">
        <v>212.5</v>
      </c>
      <c r="G1335" s="27">
        <v>20.7</v>
      </c>
      <c r="H1335" s="27">
        <v>20.55</v>
      </c>
      <c r="I1335" s="27">
        <v>21.5</v>
      </c>
      <c r="J1335" s="25">
        <v>11.64</v>
      </c>
      <c r="K1335" s="26">
        <v>1.2847999999999999</v>
      </c>
      <c r="L1335" s="27">
        <v>833</v>
      </c>
      <c r="M1335" s="73">
        <v>7987</v>
      </c>
      <c r="N1335" s="28">
        <v>1.165</v>
      </c>
      <c r="O1335" t="s">
        <v>62</v>
      </c>
      <c r="P1335" s="9">
        <v>46121</v>
      </c>
      <c r="Q1335">
        <v>233.65</v>
      </c>
    </row>
    <row r="1336" spans="1:17" x14ac:dyDescent="0.25">
      <c r="A1336" s="10" t="s">
        <v>1075</v>
      </c>
      <c r="B1336" s="3" t="str">
        <f t="shared" si="64"/>
        <v>AMZN</v>
      </c>
      <c r="C1336" s="3" t="str">
        <f t="shared" si="65"/>
        <v>260410</v>
      </c>
      <c r="D1336" s="3" t="str">
        <f t="shared" si="66"/>
        <v>C00215000</v>
      </c>
      <c r="E1336" s="72">
        <v>46269.665972222225</v>
      </c>
      <c r="F1336" s="11">
        <v>215</v>
      </c>
      <c r="G1336" s="27">
        <v>18.53</v>
      </c>
      <c r="H1336" s="27">
        <v>18.05</v>
      </c>
      <c r="I1336" s="27">
        <v>19.05</v>
      </c>
      <c r="J1336" s="25">
        <v>11.77</v>
      </c>
      <c r="K1336" s="26">
        <v>1.7411000000000001</v>
      </c>
      <c r="L1336" s="73">
        <v>2975</v>
      </c>
      <c r="M1336" s="73">
        <v>9989</v>
      </c>
      <c r="N1336" s="28">
        <v>1.0820000000000001</v>
      </c>
      <c r="O1336" t="s">
        <v>62</v>
      </c>
      <c r="P1336" s="9">
        <v>46121</v>
      </c>
      <c r="Q1336">
        <v>233.65</v>
      </c>
    </row>
    <row r="1337" spans="1:17" x14ac:dyDescent="0.25">
      <c r="A1337" s="10" t="s">
        <v>1076</v>
      </c>
      <c r="B1337" s="3" t="str">
        <f t="shared" si="64"/>
        <v>AMZN</v>
      </c>
      <c r="C1337" s="3" t="str">
        <f t="shared" si="65"/>
        <v>260410</v>
      </c>
      <c r="D1337" s="3" t="str">
        <f t="shared" si="66"/>
        <v>C00217500</v>
      </c>
      <c r="E1337" s="72">
        <v>46269.665972222225</v>
      </c>
      <c r="F1337" s="11">
        <v>217.5</v>
      </c>
      <c r="G1337" s="27">
        <v>15.82</v>
      </c>
      <c r="H1337" s="27">
        <v>15.65</v>
      </c>
      <c r="I1337" s="27">
        <v>17.149999999999999</v>
      </c>
      <c r="J1337" s="25">
        <v>11.12</v>
      </c>
      <c r="K1337" s="26">
        <v>2.3660000000000001</v>
      </c>
      <c r="L1337" s="73">
        <v>3494</v>
      </c>
      <c r="M1337" s="73">
        <v>17676</v>
      </c>
      <c r="N1337" s="28">
        <v>0.86719999999999997</v>
      </c>
      <c r="O1337" t="s">
        <v>62</v>
      </c>
      <c r="P1337" s="9">
        <v>46121</v>
      </c>
      <c r="Q1337">
        <v>233.65</v>
      </c>
    </row>
    <row r="1338" spans="1:17" x14ac:dyDescent="0.25">
      <c r="A1338" s="10" t="s">
        <v>1077</v>
      </c>
      <c r="B1338" s="3" t="str">
        <f t="shared" si="64"/>
        <v>AMZN</v>
      </c>
      <c r="C1338" s="3" t="str">
        <f t="shared" si="65"/>
        <v>260410</v>
      </c>
      <c r="D1338" s="3" t="str">
        <f t="shared" si="66"/>
        <v>C00220000</v>
      </c>
      <c r="E1338" s="72">
        <v>46269.665972222225</v>
      </c>
      <c r="F1338" s="11">
        <v>220</v>
      </c>
      <c r="G1338" s="27">
        <v>13.55</v>
      </c>
      <c r="H1338" s="27">
        <v>13.25</v>
      </c>
      <c r="I1338" s="27">
        <v>14.05</v>
      </c>
      <c r="J1338" s="25">
        <v>10.67</v>
      </c>
      <c r="K1338" s="26">
        <v>3.7048999999999999</v>
      </c>
      <c r="L1338" s="73">
        <v>4669</v>
      </c>
      <c r="M1338" s="73">
        <v>17282</v>
      </c>
      <c r="N1338" s="28">
        <v>0.84470000000000001</v>
      </c>
      <c r="O1338" t="s">
        <v>62</v>
      </c>
      <c r="P1338" s="9">
        <v>46121</v>
      </c>
      <c r="Q1338">
        <v>233.65</v>
      </c>
    </row>
    <row r="1339" spans="1:17" x14ac:dyDescent="0.25">
      <c r="A1339" s="10" t="s">
        <v>1078</v>
      </c>
      <c r="B1339" s="3" t="str">
        <f t="shared" si="64"/>
        <v>AMZN</v>
      </c>
      <c r="C1339" s="3" t="str">
        <f t="shared" si="65"/>
        <v>260410</v>
      </c>
      <c r="D1339" s="3" t="str">
        <f t="shared" si="66"/>
        <v>C00222500</v>
      </c>
      <c r="E1339" s="72">
        <v>46269.665972222225</v>
      </c>
      <c r="F1339" s="11">
        <v>222.5</v>
      </c>
      <c r="G1339" s="27">
        <v>11</v>
      </c>
      <c r="H1339" s="27">
        <v>11</v>
      </c>
      <c r="I1339" s="27">
        <v>11.85</v>
      </c>
      <c r="J1339" s="25">
        <v>9.4499999999999993</v>
      </c>
      <c r="K1339" s="26">
        <v>6.0968</v>
      </c>
      <c r="L1339" s="73">
        <v>7088</v>
      </c>
      <c r="M1339" s="73">
        <v>12276</v>
      </c>
      <c r="N1339" s="28">
        <v>0.65720000000000001</v>
      </c>
      <c r="O1339" t="s">
        <v>62</v>
      </c>
      <c r="P1339" s="9">
        <v>46121</v>
      </c>
      <c r="Q1339">
        <v>233.65</v>
      </c>
    </row>
    <row r="1340" spans="1:17" x14ac:dyDescent="0.25">
      <c r="A1340" s="10" t="s">
        <v>1079</v>
      </c>
      <c r="B1340" s="3" t="str">
        <f t="shared" si="64"/>
        <v>AMZN</v>
      </c>
      <c r="C1340" s="3" t="str">
        <f t="shared" si="65"/>
        <v>260410</v>
      </c>
      <c r="D1340" s="3" t="str">
        <f t="shared" si="66"/>
        <v>C00225000</v>
      </c>
      <c r="E1340" s="72">
        <v>46269.665972222225</v>
      </c>
      <c r="F1340" s="11">
        <v>225</v>
      </c>
      <c r="G1340" s="27">
        <v>8.75</v>
      </c>
      <c r="H1340" s="27">
        <v>8.75</v>
      </c>
      <c r="I1340" s="27">
        <v>9</v>
      </c>
      <c r="J1340" s="25">
        <v>8.0299999999999994</v>
      </c>
      <c r="K1340" s="26">
        <v>11.152799999999999</v>
      </c>
      <c r="L1340" s="73">
        <v>48083</v>
      </c>
      <c r="M1340" s="73">
        <v>15181</v>
      </c>
      <c r="N1340" s="28">
        <v>0.51370000000000005</v>
      </c>
      <c r="O1340" t="s">
        <v>62</v>
      </c>
      <c r="P1340" s="9">
        <v>46121</v>
      </c>
      <c r="Q1340">
        <v>233.65</v>
      </c>
    </row>
    <row r="1341" spans="1:17" x14ac:dyDescent="0.25">
      <c r="A1341" s="10" t="s">
        <v>1080</v>
      </c>
      <c r="B1341" s="3" t="str">
        <f t="shared" si="64"/>
        <v>AMZN</v>
      </c>
      <c r="C1341" s="3" t="str">
        <f t="shared" si="65"/>
        <v>260410</v>
      </c>
      <c r="D1341" s="3" t="str">
        <f t="shared" si="66"/>
        <v>C00227500</v>
      </c>
      <c r="E1341" s="72">
        <v>46269.665277777778</v>
      </c>
      <c r="F1341" s="11">
        <v>227.5</v>
      </c>
      <c r="G1341" s="27">
        <v>6.01</v>
      </c>
      <c r="H1341" s="27">
        <v>6</v>
      </c>
      <c r="I1341" s="27">
        <v>6.5</v>
      </c>
      <c r="J1341" s="25">
        <v>5.72</v>
      </c>
      <c r="K1341" s="26">
        <v>19.7241</v>
      </c>
      <c r="L1341" s="73">
        <v>41168</v>
      </c>
      <c r="M1341" s="73">
        <v>8943</v>
      </c>
      <c r="N1341" s="28">
        <v>0.45019999999999999</v>
      </c>
      <c r="O1341" t="s">
        <v>62</v>
      </c>
      <c r="P1341" s="9">
        <v>46121</v>
      </c>
      <c r="Q1341">
        <v>233.65</v>
      </c>
    </row>
    <row r="1342" spans="1:17" x14ac:dyDescent="0.25">
      <c r="A1342" s="10" t="s">
        <v>1081</v>
      </c>
      <c r="B1342" s="3" t="str">
        <f t="shared" si="64"/>
        <v>AMZN</v>
      </c>
      <c r="C1342" s="3" t="str">
        <f t="shared" si="65"/>
        <v>260410</v>
      </c>
      <c r="D1342" s="3" t="str">
        <f t="shared" si="66"/>
        <v>C00230000</v>
      </c>
      <c r="E1342" s="72">
        <v>46269.665972222225</v>
      </c>
      <c r="F1342" s="11">
        <v>230</v>
      </c>
      <c r="G1342" s="27">
        <v>4.2</v>
      </c>
      <c r="H1342" s="27">
        <v>3.45</v>
      </c>
      <c r="I1342" s="27">
        <v>3.6</v>
      </c>
      <c r="J1342" s="25">
        <v>4.09</v>
      </c>
      <c r="K1342" s="26">
        <v>24.058900000000001</v>
      </c>
      <c r="L1342" s="73">
        <v>74368</v>
      </c>
      <c r="M1342" s="73">
        <v>10646</v>
      </c>
      <c r="N1342" s="28">
        <v>0</v>
      </c>
      <c r="O1342" t="s">
        <v>62</v>
      </c>
      <c r="P1342" s="9">
        <v>46121</v>
      </c>
      <c r="Q1342">
        <v>233.65</v>
      </c>
    </row>
    <row r="1343" spans="1:17" x14ac:dyDescent="0.25">
      <c r="A1343" s="10" t="s">
        <v>1082</v>
      </c>
      <c r="B1343" s="3" t="str">
        <f t="shared" si="64"/>
        <v>AMZN</v>
      </c>
      <c r="C1343" s="3" t="str">
        <f t="shared" si="65"/>
        <v>260410</v>
      </c>
      <c r="D1343" s="3" t="str">
        <f t="shared" si="66"/>
        <v>C00232500</v>
      </c>
      <c r="E1343" s="72">
        <v>46269.665972222225</v>
      </c>
      <c r="F1343" s="11">
        <v>232.5</v>
      </c>
      <c r="G1343" s="27">
        <v>2.35</v>
      </c>
      <c r="H1343" s="27">
        <v>1.66</v>
      </c>
      <c r="I1343" s="27">
        <v>1.7</v>
      </c>
      <c r="J1343" s="25">
        <v>2.2999999999999998</v>
      </c>
      <c r="K1343" s="28">
        <v>0</v>
      </c>
      <c r="L1343" s="73">
        <v>55033</v>
      </c>
      <c r="M1343" s="73">
        <v>1881</v>
      </c>
      <c r="N1343" s="28">
        <v>0.21049999999999999</v>
      </c>
      <c r="O1343" t="s">
        <v>62</v>
      </c>
      <c r="P1343" s="9">
        <v>46121</v>
      </c>
      <c r="Q1343">
        <v>233.65</v>
      </c>
    </row>
    <row r="1344" spans="1:17" x14ac:dyDescent="0.25">
      <c r="A1344" s="10" t="s">
        <v>1083</v>
      </c>
      <c r="B1344" s="3" t="str">
        <f t="shared" si="64"/>
        <v>AMZN</v>
      </c>
      <c r="C1344" s="3" t="str">
        <f t="shared" si="65"/>
        <v>260410</v>
      </c>
      <c r="D1344" s="3" t="str">
        <f t="shared" si="66"/>
        <v>C00235000</v>
      </c>
      <c r="E1344" s="72">
        <v>46269.665972222225</v>
      </c>
      <c r="F1344" s="11">
        <v>235</v>
      </c>
      <c r="G1344" s="27">
        <v>1.18</v>
      </c>
      <c r="H1344" s="27">
        <v>1</v>
      </c>
      <c r="I1344" s="27">
        <v>1.1000000000000001</v>
      </c>
      <c r="J1344" s="25">
        <v>1.1499999999999999</v>
      </c>
      <c r="K1344" s="26">
        <v>28.75</v>
      </c>
      <c r="L1344" s="73">
        <v>46298</v>
      </c>
      <c r="M1344" s="73">
        <v>5729</v>
      </c>
      <c r="N1344" s="28">
        <v>0.34520000000000001</v>
      </c>
      <c r="O1344" t="s">
        <v>62</v>
      </c>
      <c r="P1344" s="9">
        <v>46121</v>
      </c>
      <c r="Q1344">
        <v>233.65</v>
      </c>
    </row>
    <row r="1345" spans="1:17" x14ac:dyDescent="0.25">
      <c r="A1345" s="10" t="s">
        <v>1084</v>
      </c>
      <c r="B1345" s="3" t="str">
        <f t="shared" si="64"/>
        <v>AMZN</v>
      </c>
      <c r="C1345" s="3" t="str">
        <f t="shared" si="65"/>
        <v>260410</v>
      </c>
      <c r="D1345" s="3" t="str">
        <f t="shared" si="66"/>
        <v>C00240000</v>
      </c>
      <c r="E1345" s="72">
        <v>46269.665972222225</v>
      </c>
      <c r="F1345" s="11">
        <v>240</v>
      </c>
      <c r="G1345" s="27">
        <v>0.33</v>
      </c>
      <c r="H1345" s="27">
        <v>0.34</v>
      </c>
      <c r="I1345" s="27">
        <v>0.35</v>
      </c>
      <c r="J1345" s="25">
        <v>0.32</v>
      </c>
      <c r="K1345" s="26">
        <v>32</v>
      </c>
      <c r="L1345" s="73">
        <v>35146</v>
      </c>
      <c r="M1345" s="73">
        <v>2116</v>
      </c>
      <c r="N1345" s="28">
        <v>0.44819999999999999</v>
      </c>
      <c r="O1345" t="s">
        <v>62</v>
      </c>
      <c r="P1345" s="9">
        <v>46121</v>
      </c>
      <c r="Q1345">
        <v>233.65</v>
      </c>
    </row>
    <row r="1346" spans="1:17" x14ac:dyDescent="0.25">
      <c r="A1346" s="10" t="s">
        <v>1085</v>
      </c>
      <c r="B1346" s="3" t="str">
        <f t="shared" si="64"/>
        <v>AMZN</v>
      </c>
      <c r="C1346" s="3" t="str">
        <f t="shared" si="65"/>
        <v>260410</v>
      </c>
      <c r="D1346" s="3" t="str">
        <f t="shared" si="66"/>
        <v>C00245000</v>
      </c>
      <c r="E1346" s="72">
        <v>46269.665972222225</v>
      </c>
      <c r="F1346" s="11">
        <v>245</v>
      </c>
      <c r="G1346" s="27">
        <v>0.1</v>
      </c>
      <c r="H1346" s="27">
        <v>0.1</v>
      </c>
      <c r="I1346" s="27">
        <v>0.11</v>
      </c>
      <c r="J1346" s="25">
        <v>0.09</v>
      </c>
      <c r="K1346" s="26">
        <v>9</v>
      </c>
      <c r="L1346" s="73">
        <v>10198</v>
      </c>
      <c r="M1346" s="73">
        <v>1299</v>
      </c>
      <c r="N1346" s="28">
        <v>0.51759999999999995</v>
      </c>
      <c r="O1346" t="s">
        <v>62</v>
      </c>
      <c r="P1346" s="9">
        <v>46121</v>
      </c>
      <c r="Q1346">
        <v>233.65</v>
      </c>
    </row>
    <row r="1347" spans="1:17" x14ac:dyDescent="0.25">
      <c r="A1347" s="10" t="s">
        <v>1086</v>
      </c>
      <c r="B1347" s="3" t="str">
        <f t="shared" ref="B1347:B1400" si="67">+MID(A1347,1,4)</f>
        <v>AMZN</v>
      </c>
      <c r="C1347" s="3" t="str">
        <f t="shared" si="65"/>
        <v>260410</v>
      </c>
      <c r="D1347" s="3" t="str">
        <f t="shared" si="66"/>
        <v>C00250000</v>
      </c>
      <c r="E1347" s="72">
        <v>46269.665972222225</v>
      </c>
      <c r="F1347" s="11">
        <v>250</v>
      </c>
      <c r="G1347" s="27">
        <v>0.04</v>
      </c>
      <c r="H1347" s="27">
        <v>0.03</v>
      </c>
      <c r="I1347" s="27">
        <v>0.05</v>
      </c>
      <c r="J1347" s="25">
        <v>0.03</v>
      </c>
      <c r="K1347" s="26">
        <v>3</v>
      </c>
      <c r="L1347" s="73">
        <v>6264</v>
      </c>
      <c r="M1347" s="73">
        <v>1034</v>
      </c>
      <c r="N1347" s="28">
        <v>0.59379999999999999</v>
      </c>
      <c r="O1347" t="s">
        <v>62</v>
      </c>
      <c r="P1347" s="9">
        <v>46121</v>
      </c>
      <c r="Q1347">
        <v>233.65</v>
      </c>
    </row>
    <row r="1348" spans="1:17" x14ac:dyDescent="0.25">
      <c r="A1348" s="10" t="s">
        <v>1087</v>
      </c>
      <c r="B1348" s="3" t="str">
        <f t="shared" si="67"/>
        <v>AMZN</v>
      </c>
      <c r="C1348" s="3" t="str">
        <f t="shared" si="65"/>
        <v>260410</v>
      </c>
      <c r="D1348" s="3" t="str">
        <f t="shared" si="66"/>
        <v>C00255000</v>
      </c>
      <c r="E1348" s="72">
        <v>46269.665972222225</v>
      </c>
      <c r="F1348" s="11">
        <v>255</v>
      </c>
      <c r="G1348" s="27">
        <v>0.01</v>
      </c>
      <c r="H1348" s="27">
        <v>0</v>
      </c>
      <c r="I1348" s="27">
        <v>0.02</v>
      </c>
      <c r="J1348" s="29">
        <v>-0.04</v>
      </c>
      <c r="K1348" s="30">
        <v>-0.8</v>
      </c>
      <c r="L1348" s="73">
        <v>1295</v>
      </c>
      <c r="M1348" s="27">
        <v>218</v>
      </c>
      <c r="N1348" s="28">
        <v>0.625</v>
      </c>
      <c r="O1348" t="s">
        <v>62</v>
      </c>
      <c r="P1348" s="9">
        <v>46121</v>
      </c>
      <c r="Q1348">
        <v>233.65</v>
      </c>
    </row>
    <row r="1349" spans="1:17" x14ac:dyDescent="0.25">
      <c r="A1349" s="10" t="s">
        <v>1088</v>
      </c>
      <c r="B1349" s="3" t="str">
        <f t="shared" si="67"/>
        <v>AMZN</v>
      </c>
      <c r="C1349" s="3" t="str">
        <f t="shared" si="65"/>
        <v>260410</v>
      </c>
      <c r="D1349" s="3" t="str">
        <f t="shared" si="66"/>
        <v>C00260000</v>
      </c>
      <c r="E1349" s="72">
        <v>46269.661805555559</v>
      </c>
      <c r="F1349" s="11">
        <v>260</v>
      </c>
      <c r="G1349" s="27">
        <v>0.01</v>
      </c>
      <c r="H1349" s="27">
        <v>0</v>
      </c>
      <c r="I1349" s="27">
        <v>0.01</v>
      </c>
      <c r="J1349" s="29">
        <v>-0.01</v>
      </c>
      <c r="K1349" s="30">
        <v>-0.5</v>
      </c>
      <c r="L1349" s="27">
        <v>935</v>
      </c>
      <c r="M1349" s="27">
        <v>113</v>
      </c>
      <c r="N1349" s="28">
        <v>0.70309999999999995</v>
      </c>
      <c r="O1349" t="s">
        <v>62</v>
      </c>
      <c r="P1349" s="9">
        <v>46121</v>
      </c>
      <c r="Q1349">
        <v>233.65</v>
      </c>
    </row>
    <row r="1350" spans="1:17" x14ac:dyDescent="0.25">
      <c r="A1350" s="10" t="s">
        <v>1089</v>
      </c>
      <c r="B1350" s="3" t="str">
        <f t="shared" si="67"/>
        <v>AMZN</v>
      </c>
      <c r="C1350" s="3" t="str">
        <f t="shared" si="65"/>
        <v>260410</v>
      </c>
      <c r="D1350" s="3" t="str">
        <f t="shared" si="66"/>
        <v>C00265000</v>
      </c>
      <c r="E1350" s="72">
        <v>46269.561805555553</v>
      </c>
      <c r="F1350" s="11">
        <v>265</v>
      </c>
      <c r="G1350" s="27">
        <v>0.01</v>
      </c>
      <c r="H1350" s="27">
        <v>0</v>
      </c>
      <c r="I1350" s="27">
        <v>0.01</v>
      </c>
      <c r="J1350" s="29">
        <v>-0.01</v>
      </c>
      <c r="K1350" s="30">
        <v>-0.5</v>
      </c>
      <c r="L1350" s="27">
        <v>22</v>
      </c>
      <c r="M1350" s="27">
        <v>42</v>
      </c>
      <c r="N1350" s="28">
        <v>0.8125</v>
      </c>
      <c r="O1350" t="s">
        <v>62</v>
      </c>
      <c r="P1350" s="9">
        <v>46121</v>
      </c>
      <c r="Q1350">
        <v>233.65</v>
      </c>
    </row>
    <row r="1351" spans="1:17" x14ac:dyDescent="0.25">
      <c r="A1351" s="10" t="s">
        <v>1090</v>
      </c>
      <c r="B1351" s="3" t="str">
        <f t="shared" si="67"/>
        <v>AMZN</v>
      </c>
      <c r="C1351" s="3" t="str">
        <f t="shared" si="65"/>
        <v>260410</v>
      </c>
      <c r="D1351" s="3" t="str">
        <f t="shared" si="66"/>
        <v>C00270000</v>
      </c>
      <c r="E1351" s="72">
        <v>46269.493750000001</v>
      </c>
      <c r="F1351" s="11">
        <v>270</v>
      </c>
      <c r="G1351" s="27">
        <v>0.01</v>
      </c>
      <c r="H1351" s="27">
        <v>0</v>
      </c>
      <c r="I1351" s="27">
        <v>0.01</v>
      </c>
      <c r="J1351" s="29">
        <v>-0.1</v>
      </c>
      <c r="K1351" s="30">
        <v>-0.90910000000000002</v>
      </c>
      <c r="L1351" s="27">
        <v>12</v>
      </c>
      <c r="M1351" s="27">
        <v>0</v>
      </c>
      <c r="N1351" s="28">
        <v>0.9375</v>
      </c>
      <c r="O1351" t="s">
        <v>62</v>
      </c>
      <c r="P1351" s="9">
        <v>46121</v>
      </c>
      <c r="Q1351">
        <v>233.65</v>
      </c>
    </row>
    <row r="1352" spans="1:17" x14ac:dyDescent="0.25">
      <c r="A1352" s="10" t="s">
        <v>1091</v>
      </c>
      <c r="B1352" s="3" t="str">
        <f t="shared" si="67"/>
        <v>AMZN</v>
      </c>
      <c r="C1352" s="3" t="str">
        <f t="shared" si="65"/>
        <v>260410</v>
      </c>
      <c r="D1352" s="3" t="str">
        <f t="shared" si="66"/>
        <v>C00275000</v>
      </c>
      <c r="E1352" s="72">
        <v>46238.506249999999</v>
      </c>
      <c r="F1352" s="11">
        <v>275</v>
      </c>
      <c r="G1352" s="27">
        <v>0.01</v>
      </c>
      <c r="H1352" s="27">
        <v>0</v>
      </c>
      <c r="I1352" s="27">
        <v>0.21</v>
      </c>
      <c r="J1352" s="27">
        <v>0</v>
      </c>
      <c r="K1352" s="28">
        <v>0</v>
      </c>
      <c r="L1352" s="27">
        <v>1</v>
      </c>
      <c r="M1352" s="27">
        <v>5</v>
      </c>
      <c r="N1352" s="28">
        <v>1.4414</v>
      </c>
      <c r="O1352" t="s">
        <v>62</v>
      </c>
      <c r="P1352" s="9">
        <v>46121</v>
      </c>
      <c r="Q1352">
        <v>233.65</v>
      </c>
    </row>
    <row r="1353" spans="1:17" x14ac:dyDescent="0.25">
      <c r="A1353" s="10" t="s">
        <v>1092</v>
      </c>
      <c r="B1353" s="3" t="str">
        <f t="shared" si="67"/>
        <v>AMZN</v>
      </c>
      <c r="C1353" s="3" t="str">
        <f t="shared" si="65"/>
        <v>260410</v>
      </c>
      <c r="D1353" s="3" t="str">
        <f t="shared" si="66"/>
        <v>C00280000</v>
      </c>
      <c r="E1353" s="72">
        <v>46238.552777777775</v>
      </c>
      <c r="F1353" s="11">
        <v>280</v>
      </c>
      <c r="G1353" s="27">
        <v>0.02</v>
      </c>
      <c r="H1353" s="27">
        <v>0</v>
      </c>
      <c r="I1353" s="27">
        <v>0.23</v>
      </c>
      <c r="J1353" s="27">
        <v>0</v>
      </c>
      <c r="K1353" s="28">
        <v>0</v>
      </c>
      <c r="L1353" s="27">
        <v>58</v>
      </c>
      <c r="M1353" s="27">
        <v>4</v>
      </c>
      <c r="N1353" s="28">
        <v>1.5976999999999999</v>
      </c>
      <c r="O1353" t="s">
        <v>62</v>
      </c>
      <c r="P1353" s="9">
        <v>46121</v>
      </c>
      <c r="Q1353">
        <v>233.65</v>
      </c>
    </row>
    <row r="1354" spans="1:17" x14ac:dyDescent="0.25">
      <c r="A1354" s="10" t="s">
        <v>1093</v>
      </c>
      <c r="B1354" s="3" t="str">
        <f t="shared" si="67"/>
        <v>AMZN</v>
      </c>
      <c r="C1354" s="3" t="str">
        <f t="shared" si="65"/>
        <v>260410</v>
      </c>
      <c r="D1354" s="3" t="str">
        <f t="shared" si="66"/>
        <v>C00285000</v>
      </c>
      <c r="E1354" s="72">
        <v>46238.54583333333</v>
      </c>
      <c r="F1354" s="11">
        <v>285</v>
      </c>
      <c r="G1354" s="27">
        <v>0.02</v>
      </c>
      <c r="H1354" s="27">
        <v>0</v>
      </c>
      <c r="I1354" s="27">
        <v>0.1</v>
      </c>
      <c r="J1354" s="27">
        <v>0</v>
      </c>
      <c r="K1354" s="28">
        <v>0</v>
      </c>
      <c r="L1354" s="27">
        <v>72</v>
      </c>
      <c r="M1354" s="27">
        <v>15</v>
      </c>
      <c r="N1354" s="28">
        <v>1.5547</v>
      </c>
      <c r="O1354" t="s">
        <v>62</v>
      </c>
      <c r="P1354" s="9">
        <v>46121</v>
      </c>
      <c r="Q1354">
        <v>233.65</v>
      </c>
    </row>
    <row r="1355" spans="1:17" x14ac:dyDescent="0.25">
      <c r="A1355" s="10" t="s">
        <v>1094</v>
      </c>
      <c r="B1355" s="3" t="str">
        <f t="shared" si="67"/>
        <v>AMZN</v>
      </c>
      <c r="C1355" s="3" t="str">
        <f t="shared" si="65"/>
        <v>260410</v>
      </c>
      <c r="D1355" s="3" t="str">
        <f t="shared" si="66"/>
        <v>C00290000</v>
      </c>
      <c r="E1355" s="72">
        <v>46269.472916666666</v>
      </c>
      <c r="F1355" s="11">
        <v>290</v>
      </c>
      <c r="G1355" s="27">
        <v>0.15</v>
      </c>
      <c r="H1355" s="27">
        <v>0</v>
      </c>
      <c r="I1355" s="27">
        <v>0.23</v>
      </c>
      <c r="J1355" s="25">
        <v>0.13</v>
      </c>
      <c r="K1355" s="26">
        <v>6.5</v>
      </c>
      <c r="L1355" s="27">
        <v>1</v>
      </c>
      <c r="M1355" s="27">
        <v>10</v>
      </c>
      <c r="N1355" s="28">
        <v>1.8554999999999999</v>
      </c>
      <c r="O1355" t="s">
        <v>62</v>
      </c>
      <c r="P1355" s="9">
        <v>46121</v>
      </c>
      <c r="Q1355">
        <v>233.65</v>
      </c>
    </row>
    <row r="1356" spans="1:17" x14ac:dyDescent="0.25">
      <c r="A1356" s="10" t="s">
        <v>1095</v>
      </c>
      <c r="B1356" s="3" t="str">
        <f t="shared" si="67"/>
        <v>AMZN</v>
      </c>
      <c r="C1356" s="3" t="str">
        <f t="shared" si="65"/>
        <v>260410</v>
      </c>
      <c r="D1356" s="3" t="str">
        <f t="shared" si="66"/>
        <v>C00295000</v>
      </c>
      <c r="E1356" s="72">
        <v>46238.616666666669</v>
      </c>
      <c r="F1356" s="11">
        <v>295</v>
      </c>
      <c r="G1356" s="27">
        <v>7.0000000000000007E-2</v>
      </c>
      <c r="H1356" s="27">
        <v>0</v>
      </c>
      <c r="I1356" s="27">
        <v>0.05</v>
      </c>
      <c r="J1356" s="27">
        <v>0</v>
      </c>
      <c r="K1356" s="28">
        <v>0</v>
      </c>
      <c r="L1356" s="27">
        <v>1</v>
      </c>
      <c r="M1356" s="27">
        <v>1</v>
      </c>
      <c r="N1356" s="28">
        <v>1.6563000000000001</v>
      </c>
      <c r="O1356" t="s">
        <v>62</v>
      </c>
      <c r="P1356" s="9">
        <v>46121</v>
      </c>
      <c r="Q1356">
        <v>233.65</v>
      </c>
    </row>
    <row r="1357" spans="1:17" x14ac:dyDescent="0.25">
      <c r="A1357" s="10" t="s">
        <v>1096</v>
      </c>
      <c r="B1357" s="3" t="str">
        <f t="shared" si="67"/>
        <v>AMZN</v>
      </c>
      <c r="C1357" s="3" t="str">
        <f t="shared" si="65"/>
        <v>260410</v>
      </c>
      <c r="D1357" s="3" t="str">
        <f t="shared" si="66"/>
        <v>C00300000</v>
      </c>
      <c r="E1357" s="72">
        <v>46207.465277777781</v>
      </c>
      <c r="F1357" s="11">
        <v>300</v>
      </c>
      <c r="G1357" s="27">
        <v>0.02</v>
      </c>
      <c r="H1357" s="27">
        <v>0</v>
      </c>
      <c r="I1357" s="27">
        <v>0.01</v>
      </c>
      <c r="J1357" s="27">
        <v>0</v>
      </c>
      <c r="K1357" s="28">
        <v>0</v>
      </c>
      <c r="L1357" s="27">
        <v>54</v>
      </c>
      <c r="M1357" s="27">
        <v>0</v>
      </c>
      <c r="N1357" s="28">
        <v>1.5</v>
      </c>
      <c r="O1357" t="s">
        <v>62</v>
      </c>
      <c r="P1357" s="9">
        <v>46121</v>
      </c>
      <c r="Q1357">
        <v>233.65</v>
      </c>
    </row>
    <row r="1358" spans="1:17" x14ac:dyDescent="0.25">
      <c r="A1358" s="10" t="s">
        <v>1097</v>
      </c>
      <c r="B1358" s="3" t="str">
        <f t="shared" si="67"/>
        <v>AMZN</v>
      </c>
      <c r="C1358" s="3" t="str">
        <f t="shared" si="65"/>
        <v>260410</v>
      </c>
      <c r="D1358" s="3" t="str">
        <f t="shared" si="66"/>
        <v>C00305000</v>
      </c>
      <c r="E1358" s="72">
        <v>46269.507638888892</v>
      </c>
      <c r="F1358" s="11">
        <v>305</v>
      </c>
      <c r="G1358" s="27">
        <v>0.01</v>
      </c>
      <c r="H1358" s="27">
        <v>0</v>
      </c>
      <c r="I1358" s="27">
        <v>0.01</v>
      </c>
      <c r="J1358" s="29">
        <v>-0.02</v>
      </c>
      <c r="K1358" s="30">
        <v>-0.66669999999999996</v>
      </c>
      <c r="L1358" s="27">
        <v>2</v>
      </c>
      <c r="M1358" s="27">
        <v>1</v>
      </c>
      <c r="N1358" s="28">
        <v>1.625</v>
      </c>
      <c r="O1358" t="s">
        <v>62</v>
      </c>
      <c r="P1358" s="9">
        <v>46121</v>
      </c>
      <c r="Q1358">
        <v>233.65</v>
      </c>
    </row>
    <row r="1359" spans="1:17" x14ac:dyDescent="0.25">
      <c r="A1359" s="10" t="s">
        <v>1098</v>
      </c>
      <c r="B1359" s="3" t="str">
        <f t="shared" si="67"/>
        <v>AMZN</v>
      </c>
      <c r="C1359" s="3" t="str">
        <f t="shared" ref="C1359:C1400" si="68">+MID(A1359,5,6)</f>
        <v>260410</v>
      </c>
      <c r="D1359" s="3" t="str">
        <f t="shared" ref="D1359:D1400" si="69">+MID(A1359,11,10)</f>
        <v>P00120000</v>
      </c>
      <c r="E1359" s="72">
        <v>46026.426388888889</v>
      </c>
      <c r="F1359" s="11">
        <v>120</v>
      </c>
      <c r="G1359" s="27">
        <v>0.01</v>
      </c>
      <c r="H1359" s="27">
        <v>0</v>
      </c>
      <c r="I1359" s="27">
        <v>0.01</v>
      </c>
      <c r="J1359" s="27">
        <v>0</v>
      </c>
      <c r="K1359" s="28">
        <v>0</v>
      </c>
      <c r="L1359" s="27">
        <v>2</v>
      </c>
      <c r="M1359" s="27">
        <v>147</v>
      </c>
      <c r="N1359" s="28">
        <v>3.875</v>
      </c>
      <c r="O1359" t="s">
        <v>65</v>
      </c>
      <c r="P1359" s="9">
        <v>46121</v>
      </c>
      <c r="Q1359">
        <v>233.65</v>
      </c>
    </row>
    <row r="1360" spans="1:17" x14ac:dyDescent="0.25">
      <c r="A1360" s="10" t="s">
        <v>1099</v>
      </c>
      <c r="B1360" s="3" t="str">
        <f t="shared" si="67"/>
        <v>AMZN</v>
      </c>
      <c r="C1360" s="3" t="str">
        <f t="shared" si="68"/>
        <v>260410</v>
      </c>
      <c r="D1360" s="3" t="str">
        <f t="shared" si="69"/>
        <v>P00125000</v>
      </c>
      <c r="E1360" s="27" t="s">
        <v>1100</v>
      </c>
      <c r="F1360" s="11">
        <v>125</v>
      </c>
      <c r="G1360" s="27">
        <v>0.05</v>
      </c>
      <c r="H1360" s="27">
        <v>0</v>
      </c>
      <c r="I1360" s="27">
        <v>0.01</v>
      </c>
      <c r="J1360" s="27">
        <v>0</v>
      </c>
      <c r="K1360" s="28">
        <v>0</v>
      </c>
      <c r="L1360" s="27">
        <v>2</v>
      </c>
      <c r="M1360" s="27">
        <v>2</v>
      </c>
      <c r="N1360" s="28">
        <v>3.625</v>
      </c>
      <c r="O1360" t="s">
        <v>65</v>
      </c>
      <c r="P1360" s="9">
        <v>46121</v>
      </c>
      <c r="Q1360">
        <v>233.65</v>
      </c>
    </row>
    <row r="1361" spans="1:17" x14ac:dyDescent="0.25">
      <c r="A1361" s="10" t="s">
        <v>1101</v>
      </c>
      <c r="B1361" s="3" t="str">
        <f t="shared" si="67"/>
        <v>AMZN</v>
      </c>
      <c r="C1361" s="3" t="str">
        <f t="shared" si="68"/>
        <v>260410</v>
      </c>
      <c r="D1361" s="3" t="str">
        <f t="shared" si="69"/>
        <v>P00130000</v>
      </c>
      <c r="E1361" s="72">
        <v>46026.40625</v>
      </c>
      <c r="F1361" s="11">
        <v>130</v>
      </c>
      <c r="G1361" s="27">
        <v>0.01</v>
      </c>
      <c r="H1361" s="27">
        <v>0</v>
      </c>
      <c r="I1361" s="27">
        <v>0.01</v>
      </c>
      <c r="J1361" s="27">
        <v>0</v>
      </c>
      <c r="K1361" s="28">
        <v>0</v>
      </c>
      <c r="L1361" s="27">
        <v>164</v>
      </c>
      <c r="M1361" s="27">
        <v>171</v>
      </c>
      <c r="N1361" s="28">
        <v>3.5</v>
      </c>
      <c r="O1361" t="s">
        <v>65</v>
      </c>
      <c r="P1361" s="9">
        <v>46121</v>
      </c>
      <c r="Q1361">
        <v>233.65</v>
      </c>
    </row>
    <row r="1362" spans="1:17" x14ac:dyDescent="0.25">
      <c r="A1362" s="10" t="s">
        <v>1102</v>
      </c>
      <c r="B1362" s="3" t="str">
        <f t="shared" si="67"/>
        <v>AMZN</v>
      </c>
      <c r="C1362" s="3" t="str">
        <f t="shared" si="68"/>
        <v>260410</v>
      </c>
      <c r="D1362" s="3" t="str">
        <f t="shared" si="69"/>
        <v>P00135000</v>
      </c>
      <c r="E1362" s="27" t="s">
        <v>1103</v>
      </c>
      <c r="F1362" s="11">
        <v>135</v>
      </c>
      <c r="G1362" s="27">
        <v>0.01</v>
      </c>
      <c r="H1362" s="27">
        <v>0</v>
      </c>
      <c r="I1362" s="27">
        <v>0.23</v>
      </c>
      <c r="J1362" s="27">
        <v>0</v>
      </c>
      <c r="K1362" s="28">
        <v>0</v>
      </c>
      <c r="L1362" s="27">
        <v>9</v>
      </c>
      <c r="M1362" s="27">
        <v>24</v>
      </c>
      <c r="N1362" s="28">
        <v>4.3906000000000001</v>
      </c>
      <c r="O1362" t="s">
        <v>65</v>
      </c>
      <c r="P1362" s="9">
        <v>46121</v>
      </c>
      <c r="Q1362">
        <v>233.65</v>
      </c>
    </row>
    <row r="1363" spans="1:17" x14ac:dyDescent="0.25">
      <c r="A1363" s="10" t="s">
        <v>1104</v>
      </c>
      <c r="B1363" s="3" t="str">
        <f t="shared" si="67"/>
        <v>AMZN</v>
      </c>
      <c r="C1363" s="3" t="str">
        <f t="shared" si="68"/>
        <v>260410</v>
      </c>
      <c r="D1363" s="3" t="str">
        <f t="shared" si="69"/>
        <v>P00140000</v>
      </c>
      <c r="E1363" s="72">
        <v>46238.584722222222</v>
      </c>
      <c r="F1363" s="11">
        <v>140</v>
      </c>
      <c r="G1363" s="27">
        <v>0.01</v>
      </c>
      <c r="H1363" s="27">
        <v>0</v>
      </c>
      <c r="I1363" s="27">
        <v>0.23</v>
      </c>
      <c r="J1363" s="27">
        <v>0</v>
      </c>
      <c r="K1363" s="28">
        <v>0</v>
      </c>
      <c r="L1363" s="27">
        <v>5</v>
      </c>
      <c r="M1363" s="27">
        <v>26</v>
      </c>
      <c r="N1363" s="28">
        <v>4.125</v>
      </c>
      <c r="O1363" t="s">
        <v>65</v>
      </c>
      <c r="P1363" s="9">
        <v>46121</v>
      </c>
      <c r="Q1363">
        <v>233.65</v>
      </c>
    </row>
    <row r="1364" spans="1:17" x14ac:dyDescent="0.25">
      <c r="A1364" s="10" t="s">
        <v>1105</v>
      </c>
      <c r="B1364" s="3" t="str">
        <f t="shared" si="67"/>
        <v>AMZN</v>
      </c>
      <c r="C1364" s="3" t="str">
        <f t="shared" si="68"/>
        <v>260410</v>
      </c>
      <c r="D1364" s="3" t="str">
        <f t="shared" si="69"/>
        <v>P00145000</v>
      </c>
      <c r="E1364" s="72">
        <v>46177.628472222219</v>
      </c>
      <c r="F1364" s="11">
        <v>145</v>
      </c>
      <c r="G1364" s="27">
        <v>0.01</v>
      </c>
      <c r="H1364" s="27">
        <v>0</v>
      </c>
      <c r="I1364" s="27">
        <v>0.02</v>
      </c>
      <c r="J1364" s="27">
        <v>0</v>
      </c>
      <c r="K1364" s="28">
        <v>0</v>
      </c>
      <c r="L1364" s="27">
        <v>3</v>
      </c>
      <c r="M1364" s="27">
        <v>194</v>
      </c>
      <c r="N1364" s="28">
        <v>3</v>
      </c>
      <c r="O1364" t="s">
        <v>65</v>
      </c>
      <c r="P1364" s="9">
        <v>46121</v>
      </c>
      <c r="Q1364">
        <v>233.65</v>
      </c>
    </row>
    <row r="1365" spans="1:17" x14ac:dyDescent="0.25">
      <c r="A1365" s="10" t="s">
        <v>1106</v>
      </c>
      <c r="B1365" s="3" t="str">
        <f t="shared" si="67"/>
        <v>AMZN</v>
      </c>
      <c r="C1365" s="3" t="str">
        <f t="shared" si="68"/>
        <v>260410</v>
      </c>
      <c r="D1365" s="3" t="str">
        <f t="shared" si="69"/>
        <v>P00150000</v>
      </c>
      <c r="E1365" s="72">
        <v>46269.415277777778</v>
      </c>
      <c r="F1365" s="11">
        <v>150</v>
      </c>
      <c r="G1365" s="27">
        <v>0.01</v>
      </c>
      <c r="H1365" s="27">
        <v>0</v>
      </c>
      <c r="I1365" s="27">
        <v>0.01</v>
      </c>
      <c r="J1365" s="29">
        <v>-0.01</v>
      </c>
      <c r="K1365" s="30">
        <v>-0.5</v>
      </c>
      <c r="L1365" s="27">
        <v>10</v>
      </c>
      <c r="M1365" s="27">
        <v>89</v>
      </c>
      <c r="N1365" s="28">
        <v>2.625</v>
      </c>
      <c r="O1365" t="s">
        <v>65</v>
      </c>
      <c r="P1365" s="9">
        <v>46121</v>
      </c>
      <c r="Q1365">
        <v>233.65</v>
      </c>
    </row>
    <row r="1366" spans="1:17" x14ac:dyDescent="0.25">
      <c r="A1366" s="10" t="s">
        <v>1107</v>
      </c>
      <c r="B1366" s="3" t="str">
        <f t="shared" si="67"/>
        <v>AMZN</v>
      </c>
      <c r="C1366" s="3" t="str">
        <f t="shared" si="68"/>
        <v>260410</v>
      </c>
      <c r="D1366" s="3" t="str">
        <f t="shared" si="69"/>
        <v>P00155000</v>
      </c>
      <c r="E1366" s="72">
        <v>46269.62777777778</v>
      </c>
      <c r="F1366" s="11">
        <v>155</v>
      </c>
      <c r="G1366" s="27">
        <v>0.01</v>
      </c>
      <c r="H1366" s="27">
        <v>0</v>
      </c>
      <c r="I1366" s="27">
        <v>0.04</v>
      </c>
      <c r="J1366" s="27">
        <v>0</v>
      </c>
      <c r="K1366" s="28">
        <v>0</v>
      </c>
      <c r="L1366" s="27">
        <v>3</v>
      </c>
      <c r="M1366" s="73">
        <v>3754</v>
      </c>
      <c r="N1366" s="28">
        <v>2.7812999999999999</v>
      </c>
      <c r="O1366" t="s">
        <v>65</v>
      </c>
      <c r="P1366" s="9">
        <v>46121</v>
      </c>
      <c r="Q1366">
        <v>233.65</v>
      </c>
    </row>
    <row r="1367" spans="1:17" x14ac:dyDescent="0.25">
      <c r="A1367" s="10" t="s">
        <v>1108</v>
      </c>
      <c r="B1367" s="3" t="str">
        <f t="shared" si="67"/>
        <v>AMZN</v>
      </c>
      <c r="C1367" s="3" t="str">
        <f t="shared" si="68"/>
        <v>260410</v>
      </c>
      <c r="D1367" s="3" t="str">
        <f t="shared" si="69"/>
        <v>P00160000</v>
      </c>
      <c r="E1367" s="72">
        <v>46269.589583333334</v>
      </c>
      <c r="F1367" s="11">
        <v>160</v>
      </c>
      <c r="G1367" s="27">
        <v>0.01</v>
      </c>
      <c r="H1367" s="27">
        <v>0</v>
      </c>
      <c r="I1367" s="27">
        <v>0.01</v>
      </c>
      <c r="J1367" s="27">
        <v>0</v>
      </c>
      <c r="K1367" s="28">
        <v>0</v>
      </c>
      <c r="L1367" s="27">
        <v>10</v>
      </c>
      <c r="M1367" s="73">
        <v>2683</v>
      </c>
      <c r="N1367" s="28">
        <v>2.3125</v>
      </c>
      <c r="O1367" t="s">
        <v>65</v>
      </c>
      <c r="P1367" s="9">
        <v>46121</v>
      </c>
      <c r="Q1367">
        <v>233.65</v>
      </c>
    </row>
    <row r="1368" spans="1:17" x14ac:dyDescent="0.25">
      <c r="A1368" s="10" t="s">
        <v>1109</v>
      </c>
      <c r="B1368" s="3" t="str">
        <f t="shared" si="67"/>
        <v>AMZN</v>
      </c>
      <c r="C1368" s="3" t="str">
        <f t="shared" si="68"/>
        <v>260410</v>
      </c>
      <c r="D1368" s="3" t="str">
        <f t="shared" si="69"/>
        <v>P00165000</v>
      </c>
      <c r="E1368" s="72">
        <v>46238.520138888889</v>
      </c>
      <c r="F1368" s="11">
        <v>165</v>
      </c>
      <c r="G1368" s="27">
        <v>0.01</v>
      </c>
      <c r="H1368" s="27">
        <v>0</v>
      </c>
      <c r="I1368" s="27">
        <v>0.01</v>
      </c>
      <c r="J1368" s="27">
        <v>0</v>
      </c>
      <c r="K1368" s="28">
        <v>0</v>
      </c>
      <c r="L1368" s="27">
        <v>51</v>
      </c>
      <c r="M1368" s="73">
        <v>2976</v>
      </c>
      <c r="N1368" s="28">
        <v>2.125</v>
      </c>
      <c r="O1368" t="s">
        <v>65</v>
      </c>
      <c r="P1368" s="9">
        <v>46121</v>
      </c>
      <c r="Q1368">
        <v>233.65</v>
      </c>
    </row>
    <row r="1369" spans="1:17" x14ac:dyDescent="0.25">
      <c r="A1369" s="10" t="s">
        <v>1110</v>
      </c>
      <c r="B1369" s="3" t="str">
        <f t="shared" si="67"/>
        <v>AMZN</v>
      </c>
      <c r="C1369" s="3" t="str">
        <f t="shared" si="68"/>
        <v>260410</v>
      </c>
      <c r="D1369" s="3" t="str">
        <f t="shared" si="69"/>
        <v>P00170000</v>
      </c>
      <c r="E1369" s="72">
        <v>46269.417361111111</v>
      </c>
      <c r="F1369" s="11">
        <v>170</v>
      </c>
      <c r="G1369" s="27">
        <v>0.01</v>
      </c>
      <c r="H1369" s="27">
        <v>0</v>
      </c>
      <c r="I1369" s="27">
        <v>0.02</v>
      </c>
      <c r="J1369" s="27">
        <v>0</v>
      </c>
      <c r="K1369" s="28">
        <v>0</v>
      </c>
      <c r="L1369" s="27">
        <v>12</v>
      </c>
      <c r="M1369" s="73">
        <v>4476</v>
      </c>
      <c r="N1369" s="28">
        <v>2.0625</v>
      </c>
      <c r="O1369" t="s">
        <v>65</v>
      </c>
      <c r="P1369" s="9">
        <v>46121</v>
      </c>
      <c r="Q1369">
        <v>233.65</v>
      </c>
    </row>
    <row r="1370" spans="1:17" x14ac:dyDescent="0.25">
      <c r="A1370" s="10" t="s">
        <v>1111</v>
      </c>
      <c r="B1370" s="3" t="str">
        <f t="shared" si="67"/>
        <v>AMZN</v>
      </c>
      <c r="C1370" s="3" t="str">
        <f t="shared" si="68"/>
        <v>260410</v>
      </c>
      <c r="D1370" s="3" t="str">
        <f t="shared" si="69"/>
        <v>P00172500</v>
      </c>
      <c r="E1370" s="72">
        <v>46269.497916666667</v>
      </c>
      <c r="F1370" s="11">
        <v>172.5</v>
      </c>
      <c r="G1370" s="27">
        <v>0.01</v>
      </c>
      <c r="H1370" s="27">
        <v>0</v>
      </c>
      <c r="I1370" s="27">
        <v>0.01</v>
      </c>
      <c r="J1370" s="27">
        <v>0</v>
      </c>
      <c r="K1370" s="28">
        <v>0</v>
      </c>
      <c r="L1370" s="27">
        <v>13</v>
      </c>
      <c r="M1370" s="27">
        <v>339</v>
      </c>
      <c r="N1370" s="28">
        <v>1.875</v>
      </c>
      <c r="O1370" t="s">
        <v>65</v>
      </c>
      <c r="P1370" s="9">
        <v>46121</v>
      </c>
      <c r="Q1370">
        <v>233.65</v>
      </c>
    </row>
    <row r="1371" spans="1:17" x14ac:dyDescent="0.25">
      <c r="A1371" s="10" t="s">
        <v>1112</v>
      </c>
      <c r="B1371" s="3" t="str">
        <f t="shared" si="67"/>
        <v>AMZN</v>
      </c>
      <c r="C1371" s="3" t="str">
        <f t="shared" si="68"/>
        <v>260410</v>
      </c>
      <c r="D1371" s="3" t="str">
        <f t="shared" si="69"/>
        <v>P00175000</v>
      </c>
      <c r="E1371" s="72">
        <v>46269.55</v>
      </c>
      <c r="F1371" s="11">
        <v>175</v>
      </c>
      <c r="G1371" s="27">
        <v>0.01</v>
      </c>
      <c r="H1371" s="27">
        <v>0</v>
      </c>
      <c r="I1371" s="27">
        <v>0.01</v>
      </c>
      <c r="J1371" s="27">
        <v>0</v>
      </c>
      <c r="K1371" s="28">
        <v>0</v>
      </c>
      <c r="L1371" s="27">
        <v>4</v>
      </c>
      <c r="M1371" s="73">
        <v>2791</v>
      </c>
      <c r="N1371" s="28">
        <v>1.75</v>
      </c>
      <c r="O1371" t="s">
        <v>65</v>
      </c>
      <c r="P1371" s="9">
        <v>46121</v>
      </c>
      <c r="Q1371">
        <v>233.65</v>
      </c>
    </row>
    <row r="1372" spans="1:17" x14ac:dyDescent="0.25">
      <c r="A1372" s="10" t="s">
        <v>1113</v>
      </c>
      <c r="B1372" s="3" t="str">
        <f t="shared" si="67"/>
        <v>AMZN</v>
      </c>
      <c r="C1372" s="3" t="str">
        <f t="shared" si="68"/>
        <v>260410</v>
      </c>
      <c r="D1372" s="3" t="str">
        <f t="shared" si="69"/>
        <v>P00177500</v>
      </c>
      <c r="E1372" s="72">
        <v>46238.662499999999</v>
      </c>
      <c r="F1372" s="11">
        <v>177.5</v>
      </c>
      <c r="G1372" s="27">
        <v>0.01</v>
      </c>
      <c r="H1372" s="27">
        <v>0</v>
      </c>
      <c r="I1372" s="27">
        <v>0.01</v>
      </c>
      <c r="J1372" s="27">
        <v>0</v>
      </c>
      <c r="K1372" s="28">
        <v>0</v>
      </c>
      <c r="L1372" s="27">
        <v>307</v>
      </c>
      <c r="M1372" s="27">
        <v>536</v>
      </c>
      <c r="N1372" s="28">
        <v>1.6875</v>
      </c>
      <c r="O1372" t="s">
        <v>65</v>
      </c>
      <c r="P1372" s="9">
        <v>46121</v>
      </c>
      <c r="Q1372">
        <v>233.65</v>
      </c>
    </row>
    <row r="1373" spans="1:17" x14ac:dyDescent="0.25">
      <c r="A1373" s="10" t="s">
        <v>1114</v>
      </c>
      <c r="B1373" s="3" t="str">
        <f t="shared" si="67"/>
        <v>AMZN</v>
      </c>
      <c r="C1373" s="3" t="str">
        <f t="shared" si="68"/>
        <v>260410</v>
      </c>
      <c r="D1373" s="3" t="str">
        <f t="shared" si="69"/>
        <v>P00180000</v>
      </c>
      <c r="E1373" s="72">
        <v>46269.661111111112</v>
      </c>
      <c r="F1373" s="11">
        <v>180</v>
      </c>
      <c r="G1373" s="27">
        <v>0.01</v>
      </c>
      <c r="H1373" s="27">
        <v>0</v>
      </c>
      <c r="I1373" s="27">
        <v>0.01</v>
      </c>
      <c r="J1373" s="27">
        <v>0</v>
      </c>
      <c r="K1373" s="28">
        <v>0</v>
      </c>
      <c r="L1373" s="27">
        <v>35</v>
      </c>
      <c r="M1373" s="73">
        <v>5886</v>
      </c>
      <c r="N1373" s="28">
        <v>1.625</v>
      </c>
      <c r="O1373" t="s">
        <v>65</v>
      </c>
      <c r="P1373" s="9">
        <v>46121</v>
      </c>
      <c r="Q1373">
        <v>233.65</v>
      </c>
    </row>
    <row r="1374" spans="1:17" x14ac:dyDescent="0.25">
      <c r="A1374" s="10" t="s">
        <v>1115</v>
      </c>
      <c r="B1374" s="3" t="str">
        <f t="shared" si="67"/>
        <v>AMZN</v>
      </c>
      <c r="C1374" s="3" t="str">
        <f t="shared" si="68"/>
        <v>260410</v>
      </c>
      <c r="D1374" s="3" t="str">
        <f t="shared" si="69"/>
        <v>P00182500</v>
      </c>
      <c r="E1374" s="72">
        <v>46269.415277777778</v>
      </c>
      <c r="F1374" s="11">
        <v>182.5</v>
      </c>
      <c r="G1374" s="27">
        <v>0.01</v>
      </c>
      <c r="H1374" s="27">
        <v>0</v>
      </c>
      <c r="I1374" s="27">
        <v>0.01</v>
      </c>
      <c r="J1374" s="27">
        <v>0</v>
      </c>
      <c r="K1374" s="28">
        <v>0</v>
      </c>
      <c r="L1374" s="27">
        <v>30</v>
      </c>
      <c r="M1374" s="27">
        <v>422</v>
      </c>
      <c r="N1374" s="28">
        <v>1.5625</v>
      </c>
      <c r="O1374" t="s">
        <v>65</v>
      </c>
      <c r="P1374" s="9">
        <v>46121</v>
      </c>
      <c r="Q1374">
        <v>233.65</v>
      </c>
    </row>
    <row r="1375" spans="1:17" x14ac:dyDescent="0.25">
      <c r="A1375" s="10" t="s">
        <v>1116</v>
      </c>
      <c r="B1375" s="3" t="str">
        <f t="shared" si="67"/>
        <v>AMZN</v>
      </c>
      <c r="C1375" s="3" t="str">
        <f t="shared" si="68"/>
        <v>260410</v>
      </c>
      <c r="D1375" s="3" t="str">
        <f t="shared" si="69"/>
        <v>P00185000</v>
      </c>
      <c r="E1375" s="72">
        <v>46269.651388888888</v>
      </c>
      <c r="F1375" s="11">
        <v>185</v>
      </c>
      <c r="G1375" s="27">
        <v>0.01</v>
      </c>
      <c r="H1375" s="27">
        <v>0</v>
      </c>
      <c r="I1375" s="27">
        <v>0.01</v>
      </c>
      <c r="J1375" s="27">
        <v>0</v>
      </c>
      <c r="K1375" s="28">
        <v>0</v>
      </c>
      <c r="L1375" s="27">
        <v>42</v>
      </c>
      <c r="M1375" s="73">
        <v>7502</v>
      </c>
      <c r="N1375" s="28">
        <v>1.4375</v>
      </c>
      <c r="O1375" t="s">
        <v>65</v>
      </c>
      <c r="P1375" s="9">
        <v>46121</v>
      </c>
      <c r="Q1375">
        <v>233.65</v>
      </c>
    </row>
    <row r="1376" spans="1:17" x14ac:dyDescent="0.25">
      <c r="A1376" s="10" t="s">
        <v>1117</v>
      </c>
      <c r="B1376" s="3" t="str">
        <f t="shared" si="67"/>
        <v>AMZN</v>
      </c>
      <c r="C1376" s="3" t="str">
        <f t="shared" si="68"/>
        <v>260410</v>
      </c>
      <c r="D1376" s="3" t="str">
        <f t="shared" si="69"/>
        <v>P00187500</v>
      </c>
      <c r="E1376" s="72">
        <v>46269.65902777778</v>
      </c>
      <c r="F1376" s="11">
        <v>187.5</v>
      </c>
      <c r="G1376" s="27">
        <v>0.1</v>
      </c>
      <c r="H1376" s="27">
        <v>0</v>
      </c>
      <c r="I1376" s="27">
        <v>0.23</v>
      </c>
      <c r="J1376" s="25">
        <v>0.09</v>
      </c>
      <c r="K1376" s="26">
        <v>9</v>
      </c>
      <c r="L1376" s="27">
        <v>33</v>
      </c>
      <c r="M1376" s="73">
        <v>1340</v>
      </c>
      <c r="N1376" s="28">
        <v>1.9414</v>
      </c>
      <c r="O1376" t="s">
        <v>65</v>
      </c>
      <c r="P1376" s="9">
        <v>46121</v>
      </c>
      <c r="Q1376">
        <v>233.65</v>
      </c>
    </row>
    <row r="1377" spans="1:17" x14ac:dyDescent="0.25">
      <c r="A1377" s="10" t="s">
        <v>1118</v>
      </c>
      <c r="B1377" s="3" t="str">
        <f t="shared" si="67"/>
        <v>AMZN</v>
      </c>
      <c r="C1377" s="3" t="str">
        <f t="shared" si="68"/>
        <v>260410</v>
      </c>
      <c r="D1377" s="3" t="str">
        <f t="shared" si="69"/>
        <v>P00190000</v>
      </c>
      <c r="E1377" s="72">
        <v>46269.65902777778</v>
      </c>
      <c r="F1377" s="11">
        <v>190</v>
      </c>
      <c r="G1377" s="27">
        <v>0.04</v>
      </c>
      <c r="H1377" s="27">
        <v>0</v>
      </c>
      <c r="I1377" s="27">
        <v>0.01</v>
      </c>
      <c r="J1377" s="25">
        <v>0.03</v>
      </c>
      <c r="K1377" s="26">
        <v>3</v>
      </c>
      <c r="L1377" s="73">
        <v>1792</v>
      </c>
      <c r="M1377" s="73">
        <v>8295</v>
      </c>
      <c r="N1377" s="28">
        <v>1.3125</v>
      </c>
      <c r="O1377" t="s">
        <v>65</v>
      </c>
      <c r="P1377" s="9">
        <v>46121</v>
      </c>
      <c r="Q1377">
        <v>233.65</v>
      </c>
    </row>
    <row r="1378" spans="1:17" x14ac:dyDescent="0.25">
      <c r="A1378" s="10" t="s">
        <v>1119</v>
      </c>
      <c r="B1378" s="3" t="str">
        <f t="shared" si="67"/>
        <v>AMZN</v>
      </c>
      <c r="C1378" s="3" t="str">
        <f t="shared" si="68"/>
        <v>260410</v>
      </c>
      <c r="D1378" s="3" t="str">
        <f t="shared" si="69"/>
        <v>P00192500</v>
      </c>
      <c r="E1378" s="72">
        <v>46269.523611111108</v>
      </c>
      <c r="F1378" s="11">
        <v>192.5</v>
      </c>
      <c r="G1378" s="27">
        <v>0.01</v>
      </c>
      <c r="H1378" s="27">
        <v>0</v>
      </c>
      <c r="I1378" s="27">
        <v>0.01</v>
      </c>
      <c r="J1378" s="27">
        <v>0</v>
      </c>
      <c r="K1378" s="28">
        <v>0</v>
      </c>
      <c r="L1378" s="27">
        <v>58</v>
      </c>
      <c r="M1378" s="73">
        <v>3016</v>
      </c>
      <c r="N1378" s="28">
        <v>1.2188000000000001</v>
      </c>
      <c r="O1378" t="s">
        <v>65</v>
      </c>
      <c r="P1378" s="9">
        <v>46121</v>
      </c>
      <c r="Q1378">
        <v>233.65</v>
      </c>
    </row>
    <row r="1379" spans="1:17" x14ac:dyDescent="0.25">
      <c r="A1379" s="10" t="s">
        <v>1120</v>
      </c>
      <c r="B1379" s="3" t="str">
        <f t="shared" si="67"/>
        <v>AMZN</v>
      </c>
      <c r="C1379" s="3" t="str">
        <f t="shared" si="68"/>
        <v>260410</v>
      </c>
      <c r="D1379" s="3" t="str">
        <f t="shared" si="69"/>
        <v>P00195000</v>
      </c>
      <c r="E1379" s="72">
        <v>46269.643750000003</v>
      </c>
      <c r="F1379" s="11">
        <v>195</v>
      </c>
      <c r="G1379" s="27">
        <v>0.01</v>
      </c>
      <c r="H1379" s="27">
        <v>0</v>
      </c>
      <c r="I1379" s="27">
        <v>0.04</v>
      </c>
      <c r="J1379" s="29">
        <v>-0.01</v>
      </c>
      <c r="K1379" s="30">
        <v>-0.5</v>
      </c>
      <c r="L1379" s="27">
        <v>170</v>
      </c>
      <c r="M1379" s="73">
        <v>5420</v>
      </c>
      <c r="N1379" s="28">
        <v>1.3125</v>
      </c>
      <c r="O1379" t="s">
        <v>65</v>
      </c>
      <c r="P1379" s="9">
        <v>46121</v>
      </c>
      <c r="Q1379">
        <v>233.65</v>
      </c>
    </row>
    <row r="1380" spans="1:17" x14ac:dyDescent="0.25">
      <c r="A1380" s="10" t="s">
        <v>1121</v>
      </c>
      <c r="B1380" s="3" t="str">
        <f t="shared" si="67"/>
        <v>AMZN</v>
      </c>
      <c r="C1380" s="3" t="str">
        <f t="shared" si="68"/>
        <v>260410</v>
      </c>
      <c r="D1380" s="3" t="str">
        <f t="shared" si="69"/>
        <v>P00197500</v>
      </c>
      <c r="E1380" s="72">
        <v>46269.660416666666</v>
      </c>
      <c r="F1380" s="11">
        <v>197.5</v>
      </c>
      <c r="G1380" s="27">
        <v>0.01</v>
      </c>
      <c r="H1380" s="27">
        <v>0</v>
      </c>
      <c r="I1380" s="27">
        <v>0.01</v>
      </c>
      <c r="J1380" s="29">
        <v>-0.03</v>
      </c>
      <c r="K1380" s="30">
        <v>-0.75</v>
      </c>
      <c r="L1380" s="27">
        <v>500</v>
      </c>
      <c r="M1380" s="73">
        <v>3013</v>
      </c>
      <c r="N1380" s="28">
        <v>1.0625</v>
      </c>
      <c r="O1380" t="s">
        <v>65</v>
      </c>
      <c r="P1380" s="9">
        <v>46121</v>
      </c>
      <c r="Q1380">
        <v>233.65</v>
      </c>
    </row>
    <row r="1381" spans="1:17" x14ac:dyDescent="0.25">
      <c r="A1381" s="10" t="s">
        <v>1122</v>
      </c>
      <c r="B1381" s="3" t="str">
        <f t="shared" si="67"/>
        <v>AMZN</v>
      </c>
      <c r="C1381" s="3" t="str">
        <f t="shared" si="68"/>
        <v>260410</v>
      </c>
      <c r="D1381" s="3" t="str">
        <f t="shared" si="69"/>
        <v>P00200000</v>
      </c>
      <c r="E1381" s="72">
        <v>46269.663888888892</v>
      </c>
      <c r="F1381" s="11">
        <v>200</v>
      </c>
      <c r="G1381" s="27">
        <v>0.01</v>
      </c>
      <c r="H1381" s="27">
        <v>0</v>
      </c>
      <c r="I1381" s="27">
        <v>0.01</v>
      </c>
      <c r="J1381" s="29">
        <v>-0.03</v>
      </c>
      <c r="K1381" s="30">
        <v>-0.75</v>
      </c>
      <c r="L1381" s="27">
        <v>997</v>
      </c>
      <c r="M1381" s="73">
        <v>5836</v>
      </c>
      <c r="N1381" s="28">
        <v>1</v>
      </c>
      <c r="O1381" t="s">
        <v>65</v>
      </c>
      <c r="P1381" s="9">
        <v>46121</v>
      </c>
      <c r="Q1381">
        <v>233.65</v>
      </c>
    </row>
    <row r="1382" spans="1:17" x14ac:dyDescent="0.25">
      <c r="A1382" s="10" t="s">
        <v>1123</v>
      </c>
      <c r="B1382" s="3" t="str">
        <f t="shared" si="67"/>
        <v>AMZN</v>
      </c>
      <c r="C1382" s="3" t="str">
        <f t="shared" si="68"/>
        <v>260410</v>
      </c>
      <c r="D1382" s="3" t="str">
        <f t="shared" si="69"/>
        <v>P00202500</v>
      </c>
      <c r="E1382" s="72">
        <v>46269.664583333331</v>
      </c>
      <c r="F1382" s="11">
        <v>202.5</v>
      </c>
      <c r="G1382" s="27">
        <v>0.01</v>
      </c>
      <c r="H1382" s="27">
        <v>0</v>
      </c>
      <c r="I1382" s="27">
        <v>0.01</v>
      </c>
      <c r="J1382" s="29">
        <v>-0.05</v>
      </c>
      <c r="K1382" s="30">
        <v>-0.83330000000000004</v>
      </c>
      <c r="L1382" s="27">
        <v>507</v>
      </c>
      <c r="M1382" s="73">
        <v>7529</v>
      </c>
      <c r="N1382" s="28">
        <v>0.9375</v>
      </c>
      <c r="O1382" t="s">
        <v>65</v>
      </c>
      <c r="P1382" s="9">
        <v>46121</v>
      </c>
      <c r="Q1382">
        <v>233.65</v>
      </c>
    </row>
    <row r="1383" spans="1:17" x14ac:dyDescent="0.25">
      <c r="A1383" s="10" t="s">
        <v>1124</v>
      </c>
      <c r="B1383" s="3" t="str">
        <f t="shared" si="67"/>
        <v>AMZN</v>
      </c>
      <c r="C1383" s="3" t="str">
        <f t="shared" si="68"/>
        <v>260410</v>
      </c>
      <c r="D1383" s="3" t="str">
        <f t="shared" si="69"/>
        <v>P00205000</v>
      </c>
      <c r="E1383" s="72">
        <v>46269.665277777778</v>
      </c>
      <c r="F1383" s="11">
        <v>205</v>
      </c>
      <c r="G1383" s="27">
        <v>0.02</v>
      </c>
      <c r="H1383" s="27">
        <v>0</v>
      </c>
      <c r="I1383" s="27">
        <v>0.03</v>
      </c>
      <c r="J1383" s="29">
        <v>-0.05</v>
      </c>
      <c r="K1383" s="30">
        <v>-0.71430000000000005</v>
      </c>
      <c r="L1383" s="27">
        <v>317</v>
      </c>
      <c r="M1383" s="73">
        <v>4908</v>
      </c>
      <c r="N1383" s="28">
        <v>0.95309999999999995</v>
      </c>
      <c r="O1383" t="s">
        <v>65</v>
      </c>
      <c r="P1383" s="9">
        <v>46121</v>
      </c>
      <c r="Q1383">
        <v>233.65</v>
      </c>
    </row>
    <row r="1384" spans="1:17" x14ac:dyDescent="0.25">
      <c r="A1384" s="10" t="s">
        <v>1125</v>
      </c>
      <c r="B1384" s="3" t="str">
        <f t="shared" si="67"/>
        <v>AMZN</v>
      </c>
      <c r="C1384" s="3" t="str">
        <f t="shared" si="68"/>
        <v>260410</v>
      </c>
      <c r="D1384" s="3" t="str">
        <f t="shared" si="69"/>
        <v>P00207500</v>
      </c>
      <c r="E1384" s="72">
        <v>46269.664583333331</v>
      </c>
      <c r="F1384" s="11">
        <v>207.5</v>
      </c>
      <c r="G1384" s="27">
        <v>0.01</v>
      </c>
      <c r="H1384" s="27">
        <v>0</v>
      </c>
      <c r="I1384" s="27">
        <v>0.02</v>
      </c>
      <c r="J1384" s="29">
        <v>-0.11</v>
      </c>
      <c r="K1384" s="30">
        <v>-0.91669999999999996</v>
      </c>
      <c r="L1384" s="73">
        <v>1072</v>
      </c>
      <c r="M1384" s="73">
        <v>5366</v>
      </c>
      <c r="N1384" s="28">
        <v>0.84379999999999999</v>
      </c>
      <c r="O1384" t="s">
        <v>65</v>
      </c>
      <c r="P1384" s="9">
        <v>46121</v>
      </c>
      <c r="Q1384">
        <v>233.65</v>
      </c>
    </row>
    <row r="1385" spans="1:17" x14ac:dyDescent="0.25">
      <c r="A1385" s="10" t="s">
        <v>1126</v>
      </c>
      <c r="B1385" s="3" t="str">
        <f t="shared" si="67"/>
        <v>AMZN</v>
      </c>
      <c r="C1385" s="3" t="str">
        <f t="shared" si="68"/>
        <v>260410</v>
      </c>
      <c r="D1385" s="3" t="str">
        <f t="shared" si="69"/>
        <v>P00210000</v>
      </c>
      <c r="E1385" s="72">
        <v>46269.663194444445</v>
      </c>
      <c r="F1385" s="11">
        <v>210</v>
      </c>
      <c r="G1385" s="27">
        <v>0.01</v>
      </c>
      <c r="H1385" s="27">
        <v>0.01</v>
      </c>
      <c r="I1385" s="27">
        <v>0.02</v>
      </c>
      <c r="J1385" s="29">
        <v>-0.17</v>
      </c>
      <c r="K1385" s="30">
        <v>-0.94440000000000002</v>
      </c>
      <c r="L1385" s="73">
        <v>2055</v>
      </c>
      <c r="M1385" s="73">
        <v>6424</v>
      </c>
      <c r="N1385" s="28">
        <v>0.79690000000000005</v>
      </c>
      <c r="O1385" t="s">
        <v>65</v>
      </c>
      <c r="P1385" s="9">
        <v>46121</v>
      </c>
      <c r="Q1385">
        <v>233.65</v>
      </c>
    </row>
    <row r="1386" spans="1:17" x14ac:dyDescent="0.25">
      <c r="A1386" s="10" t="s">
        <v>1127</v>
      </c>
      <c r="B1386" s="3" t="str">
        <f t="shared" si="67"/>
        <v>AMZN</v>
      </c>
      <c r="C1386" s="3" t="str">
        <f t="shared" si="68"/>
        <v>260410</v>
      </c>
      <c r="D1386" s="3" t="str">
        <f t="shared" si="69"/>
        <v>P00212500</v>
      </c>
      <c r="E1386" s="72">
        <v>46269.665972222225</v>
      </c>
      <c r="F1386" s="11">
        <v>212.5</v>
      </c>
      <c r="G1386" s="27">
        <v>0.02</v>
      </c>
      <c r="H1386" s="27">
        <v>0.01</v>
      </c>
      <c r="I1386" s="27">
        <v>0.02</v>
      </c>
      <c r="J1386" s="29">
        <v>-0.27</v>
      </c>
      <c r="K1386" s="30">
        <v>-0.93100000000000005</v>
      </c>
      <c r="L1386" s="73">
        <v>2746</v>
      </c>
      <c r="M1386" s="73">
        <v>3528</v>
      </c>
      <c r="N1386" s="28">
        <v>0.71879999999999999</v>
      </c>
      <c r="O1386" t="s">
        <v>65</v>
      </c>
      <c r="P1386" s="9">
        <v>46121</v>
      </c>
      <c r="Q1386">
        <v>233.65</v>
      </c>
    </row>
    <row r="1387" spans="1:17" x14ac:dyDescent="0.25">
      <c r="A1387" s="10" t="s">
        <v>1128</v>
      </c>
      <c r="B1387" s="3" t="str">
        <f t="shared" si="67"/>
        <v>AMZN</v>
      </c>
      <c r="C1387" s="3" t="str">
        <f t="shared" si="68"/>
        <v>260410</v>
      </c>
      <c r="D1387" s="3" t="str">
        <f t="shared" si="69"/>
        <v>P00215000</v>
      </c>
      <c r="E1387" s="72">
        <v>46269.664583333331</v>
      </c>
      <c r="F1387" s="11">
        <v>215</v>
      </c>
      <c r="G1387" s="27">
        <v>0.02</v>
      </c>
      <c r="H1387" s="27">
        <v>0.02</v>
      </c>
      <c r="I1387" s="27">
        <v>0.03</v>
      </c>
      <c r="J1387" s="29">
        <v>-0.49</v>
      </c>
      <c r="K1387" s="30">
        <v>-0.96079999999999999</v>
      </c>
      <c r="L1387" s="73">
        <v>4531</v>
      </c>
      <c r="M1387" s="73">
        <v>8967</v>
      </c>
      <c r="N1387" s="28">
        <v>0.67579999999999996</v>
      </c>
      <c r="O1387" t="s">
        <v>65</v>
      </c>
      <c r="P1387" s="9">
        <v>46121</v>
      </c>
      <c r="Q1387">
        <v>233.65</v>
      </c>
    </row>
    <row r="1388" spans="1:17" x14ac:dyDescent="0.25">
      <c r="A1388" s="10" t="s">
        <v>1129</v>
      </c>
      <c r="B1388" s="3" t="str">
        <f t="shared" si="67"/>
        <v>AMZN</v>
      </c>
      <c r="C1388" s="3" t="str">
        <f t="shared" si="68"/>
        <v>260410</v>
      </c>
      <c r="D1388" s="3" t="str">
        <f t="shared" si="69"/>
        <v>P00217500</v>
      </c>
      <c r="E1388" s="72">
        <v>46269.663194444445</v>
      </c>
      <c r="F1388" s="11">
        <v>217.5</v>
      </c>
      <c r="G1388" s="27">
        <v>0.03</v>
      </c>
      <c r="H1388" s="27">
        <v>0.03</v>
      </c>
      <c r="I1388" s="27">
        <v>0.04</v>
      </c>
      <c r="J1388" s="29">
        <v>-0.85</v>
      </c>
      <c r="K1388" s="30">
        <v>-0.96589999999999998</v>
      </c>
      <c r="L1388" s="73">
        <v>5815</v>
      </c>
      <c r="M1388" s="73">
        <v>2400</v>
      </c>
      <c r="N1388" s="28">
        <v>0.62109999999999999</v>
      </c>
      <c r="O1388" t="s">
        <v>65</v>
      </c>
      <c r="P1388" s="9">
        <v>46121</v>
      </c>
      <c r="Q1388">
        <v>233.65</v>
      </c>
    </row>
    <row r="1389" spans="1:17" x14ac:dyDescent="0.25">
      <c r="A1389" s="10" t="s">
        <v>1130</v>
      </c>
      <c r="B1389" s="3" t="str">
        <f t="shared" si="67"/>
        <v>AMZN</v>
      </c>
      <c r="C1389" s="3" t="str">
        <f t="shared" si="68"/>
        <v>260410</v>
      </c>
      <c r="D1389" s="3" t="str">
        <f t="shared" si="69"/>
        <v>P00220000</v>
      </c>
      <c r="E1389" s="72">
        <v>46269.665972222225</v>
      </c>
      <c r="F1389" s="11">
        <v>220</v>
      </c>
      <c r="G1389" s="27">
        <v>0.05</v>
      </c>
      <c r="H1389" s="27">
        <v>0.05</v>
      </c>
      <c r="I1389" s="27">
        <v>0.06</v>
      </c>
      <c r="J1389" s="29">
        <v>-1.52</v>
      </c>
      <c r="K1389" s="30">
        <v>-0.96819999999999995</v>
      </c>
      <c r="L1389" s="73">
        <v>21079</v>
      </c>
      <c r="M1389" s="73">
        <v>4554</v>
      </c>
      <c r="N1389" s="28">
        <v>0.57030000000000003</v>
      </c>
      <c r="O1389" t="s">
        <v>65</v>
      </c>
      <c r="P1389" s="9">
        <v>46121</v>
      </c>
      <c r="Q1389">
        <v>233.65</v>
      </c>
    </row>
    <row r="1390" spans="1:17" x14ac:dyDescent="0.25">
      <c r="A1390" s="10" t="s">
        <v>1131</v>
      </c>
      <c r="B1390" s="3" t="str">
        <f t="shared" si="67"/>
        <v>AMZN</v>
      </c>
      <c r="C1390" s="3" t="str">
        <f t="shared" si="68"/>
        <v>260410</v>
      </c>
      <c r="D1390" s="3" t="str">
        <f t="shared" si="69"/>
        <v>P00222500</v>
      </c>
      <c r="E1390" s="72">
        <v>46269.665972222225</v>
      </c>
      <c r="F1390" s="11">
        <v>222.5</v>
      </c>
      <c r="G1390" s="27">
        <v>0.08</v>
      </c>
      <c r="H1390" s="27">
        <v>7.0000000000000007E-2</v>
      </c>
      <c r="I1390" s="27">
        <v>0.1</v>
      </c>
      <c r="J1390" s="29">
        <v>-2.63</v>
      </c>
      <c r="K1390" s="30">
        <v>-0.97050000000000003</v>
      </c>
      <c r="L1390" s="73">
        <v>26573</v>
      </c>
      <c r="M1390" s="27">
        <v>987</v>
      </c>
      <c r="N1390" s="28">
        <v>0.51559999999999995</v>
      </c>
      <c r="O1390" t="s">
        <v>65</v>
      </c>
      <c r="P1390" s="9">
        <v>46121</v>
      </c>
      <c r="Q1390">
        <v>233.65</v>
      </c>
    </row>
    <row r="1391" spans="1:17" x14ac:dyDescent="0.25">
      <c r="A1391" s="10" t="s">
        <v>1132</v>
      </c>
      <c r="B1391" s="3" t="str">
        <f t="shared" si="67"/>
        <v>AMZN</v>
      </c>
      <c r="C1391" s="3" t="str">
        <f t="shared" si="68"/>
        <v>260410</v>
      </c>
      <c r="D1391" s="3" t="str">
        <f t="shared" si="69"/>
        <v>P00225000</v>
      </c>
      <c r="E1391" s="72">
        <v>46269.665972222225</v>
      </c>
      <c r="F1391" s="11">
        <v>225</v>
      </c>
      <c r="G1391" s="27">
        <v>0.15</v>
      </c>
      <c r="H1391" s="27">
        <v>0.14000000000000001</v>
      </c>
      <c r="I1391" s="27">
        <v>0.15</v>
      </c>
      <c r="J1391" s="29">
        <v>-4.17</v>
      </c>
      <c r="K1391" s="30">
        <v>-0.96530000000000005</v>
      </c>
      <c r="L1391" s="73">
        <v>42250</v>
      </c>
      <c r="M1391" s="73">
        <v>3772</v>
      </c>
      <c r="N1391" s="28">
        <v>0.46779999999999999</v>
      </c>
      <c r="O1391" t="s">
        <v>65</v>
      </c>
      <c r="P1391" s="9">
        <v>46121</v>
      </c>
      <c r="Q1391">
        <v>233.65</v>
      </c>
    </row>
    <row r="1392" spans="1:17" x14ac:dyDescent="0.25">
      <c r="A1392" s="10" t="s">
        <v>1133</v>
      </c>
      <c r="B1392" s="3" t="str">
        <f t="shared" si="67"/>
        <v>AMZN</v>
      </c>
      <c r="C1392" s="3" t="str">
        <f t="shared" si="68"/>
        <v>260410</v>
      </c>
      <c r="D1392" s="3" t="str">
        <f t="shared" si="69"/>
        <v>P00227500</v>
      </c>
      <c r="E1392" s="72">
        <v>46269.665972222225</v>
      </c>
      <c r="F1392" s="11">
        <v>227.5</v>
      </c>
      <c r="G1392" s="27">
        <v>0.3</v>
      </c>
      <c r="H1392" s="27">
        <v>0.28000000000000003</v>
      </c>
      <c r="I1392" s="27">
        <v>0.3</v>
      </c>
      <c r="J1392" s="29">
        <v>-6.55</v>
      </c>
      <c r="K1392" s="30">
        <v>-0.95620000000000005</v>
      </c>
      <c r="L1392" s="73">
        <v>24797</v>
      </c>
      <c r="M1392" s="27">
        <v>49</v>
      </c>
      <c r="N1392" s="28">
        <v>0.42970000000000003</v>
      </c>
      <c r="O1392" t="s">
        <v>65</v>
      </c>
      <c r="P1392" s="9">
        <v>46121</v>
      </c>
      <c r="Q1392">
        <v>233.65</v>
      </c>
    </row>
    <row r="1393" spans="1:17" x14ac:dyDescent="0.25">
      <c r="A1393" s="10" t="s">
        <v>1134</v>
      </c>
      <c r="B1393" s="3" t="str">
        <f t="shared" si="67"/>
        <v>AMZN</v>
      </c>
      <c r="C1393" s="3" t="str">
        <f t="shared" si="68"/>
        <v>260410</v>
      </c>
      <c r="D1393" s="3" t="str">
        <f t="shared" si="69"/>
        <v>P00230000</v>
      </c>
      <c r="E1393" s="72">
        <v>46269.665972222225</v>
      </c>
      <c r="F1393" s="11">
        <v>230</v>
      </c>
      <c r="G1393" s="27">
        <v>0.67</v>
      </c>
      <c r="H1393" s="27">
        <v>0.6</v>
      </c>
      <c r="I1393" s="27">
        <v>0.65</v>
      </c>
      <c r="J1393" s="29">
        <v>-8.58</v>
      </c>
      <c r="K1393" s="30">
        <v>-0.92759999999999998</v>
      </c>
      <c r="L1393" s="73">
        <v>31257</v>
      </c>
      <c r="M1393" s="27">
        <v>109</v>
      </c>
      <c r="N1393" s="28">
        <v>0.40429999999999999</v>
      </c>
      <c r="O1393" t="s">
        <v>65</v>
      </c>
      <c r="P1393" s="9">
        <v>46121</v>
      </c>
      <c r="Q1393">
        <v>233.65</v>
      </c>
    </row>
    <row r="1394" spans="1:17" x14ac:dyDescent="0.25">
      <c r="A1394" s="10" t="s">
        <v>1135</v>
      </c>
      <c r="B1394" s="3" t="str">
        <f t="shared" si="67"/>
        <v>AMZN</v>
      </c>
      <c r="C1394" s="3" t="str">
        <f t="shared" si="68"/>
        <v>260410</v>
      </c>
      <c r="D1394" s="3" t="str">
        <f t="shared" si="69"/>
        <v>P00232500</v>
      </c>
      <c r="E1394" s="72">
        <v>46269.665972222225</v>
      </c>
      <c r="F1394" s="11">
        <v>232.5</v>
      </c>
      <c r="G1394" s="27">
        <v>1.37</v>
      </c>
      <c r="H1394" s="27">
        <v>1.3</v>
      </c>
      <c r="I1394" s="27">
        <v>1.41</v>
      </c>
      <c r="J1394" s="29">
        <v>-22.18</v>
      </c>
      <c r="K1394" s="30">
        <v>-0.94179999999999997</v>
      </c>
      <c r="L1394" s="73">
        <v>13422</v>
      </c>
      <c r="M1394" s="27">
        <v>0</v>
      </c>
      <c r="N1394" s="28">
        <v>0.3967</v>
      </c>
      <c r="O1394" t="s">
        <v>65</v>
      </c>
      <c r="P1394" s="9">
        <v>46121</v>
      </c>
      <c r="Q1394">
        <v>233.65</v>
      </c>
    </row>
    <row r="1395" spans="1:17" x14ac:dyDescent="0.25">
      <c r="A1395" s="10" t="s">
        <v>1136</v>
      </c>
      <c r="B1395" s="3" t="str">
        <f t="shared" si="67"/>
        <v>AMZN</v>
      </c>
      <c r="C1395" s="3" t="str">
        <f t="shared" si="68"/>
        <v>260410</v>
      </c>
      <c r="D1395" s="3" t="str">
        <f t="shared" si="69"/>
        <v>P00235000</v>
      </c>
      <c r="E1395" s="72">
        <v>46269.665972222225</v>
      </c>
      <c r="F1395" s="11">
        <v>235</v>
      </c>
      <c r="G1395" s="27">
        <v>2.85</v>
      </c>
      <c r="H1395" s="27">
        <v>2.5099999999999998</v>
      </c>
      <c r="I1395" s="27">
        <v>2.81</v>
      </c>
      <c r="J1395" s="29">
        <v>-11.46</v>
      </c>
      <c r="K1395" s="30">
        <v>-0.80079999999999996</v>
      </c>
      <c r="L1395" s="73">
        <v>3931</v>
      </c>
      <c r="M1395" s="27">
        <v>0</v>
      </c>
      <c r="N1395" s="28">
        <v>0.4219</v>
      </c>
      <c r="O1395" t="s">
        <v>65</v>
      </c>
      <c r="P1395" s="9">
        <v>46121</v>
      </c>
      <c r="Q1395">
        <v>233.65</v>
      </c>
    </row>
    <row r="1396" spans="1:17" x14ac:dyDescent="0.25">
      <c r="A1396" s="10" t="s">
        <v>1137</v>
      </c>
      <c r="B1396" s="3" t="str">
        <f t="shared" si="67"/>
        <v>AMZN</v>
      </c>
      <c r="C1396" s="3" t="str">
        <f t="shared" si="68"/>
        <v>260410</v>
      </c>
      <c r="D1396" s="3" t="str">
        <f t="shared" si="69"/>
        <v>P00240000</v>
      </c>
      <c r="E1396" s="72">
        <v>46269.665972222225</v>
      </c>
      <c r="F1396" s="11">
        <v>240</v>
      </c>
      <c r="G1396" s="27">
        <v>6.75</v>
      </c>
      <c r="H1396" s="27">
        <v>5.7</v>
      </c>
      <c r="I1396" s="27">
        <v>7.05</v>
      </c>
      <c r="J1396" s="29">
        <v>-21.68</v>
      </c>
      <c r="K1396" s="30">
        <v>-0.76259999999999994</v>
      </c>
      <c r="L1396" s="27">
        <v>217</v>
      </c>
      <c r="M1396" s="27">
        <v>0</v>
      </c>
      <c r="N1396" s="28">
        <v>0.56640000000000001</v>
      </c>
      <c r="O1396" t="s">
        <v>65</v>
      </c>
      <c r="P1396" s="9">
        <v>46121</v>
      </c>
      <c r="Q1396">
        <v>233.65</v>
      </c>
    </row>
    <row r="1397" spans="1:17" x14ac:dyDescent="0.25">
      <c r="A1397" s="10" t="s">
        <v>1138</v>
      </c>
      <c r="B1397" s="3" t="str">
        <f t="shared" si="67"/>
        <v>AMZN</v>
      </c>
      <c r="C1397" s="3" t="str">
        <f t="shared" si="68"/>
        <v>260410</v>
      </c>
      <c r="D1397" s="3" t="str">
        <f t="shared" si="69"/>
        <v>P00245000</v>
      </c>
      <c r="E1397" s="72">
        <v>46269.630555555559</v>
      </c>
      <c r="F1397" s="11">
        <v>245</v>
      </c>
      <c r="G1397" s="27">
        <v>13.57</v>
      </c>
      <c r="H1397" s="27">
        <v>10.85</v>
      </c>
      <c r="I1397" s="27">
        <v>13.15</v>
      </c>
      <c r="J1397" s="29">
        <v>-19.36</v>
      </c>
      <c r="K1397" s="30">
        <v>-0.58789999999999998</v>
      </c>
      <c r="L1397" s="27">
        <v>14</v>
      </c>
      <c r="M1397" s="27">
        <v>0</v>
      </c>
      <c r="N1397" s="28">
        <v>0.80220000000000002</v>
      </c>
      <c r="O1397" t="s">
        <v>65</v>
      </c>
      <c r="P1397" s="9">
        <v>46121</v>
      </c>
      <c r="Q1397">
        <v>233.65</v>
      </c>
    </row>
    <row r="1398" spans="1:17" x14ac:dyDescent="0.25">
      <c r="A1398" s="10" t="s">
        <v>1139</v>
      </c>
      <c r="B1398" s="3" t="str">
        <f t="shared" si="67"/>
        <v>AMZN</v>
      </c>
      <c r="C1398" s="3" t="str">
        <f t="shared" si="68"/>
        <v>260410</v>
      </c>
      <c r="D1398" s="3" t="str">
        <f t="shared" si="69"/>
        <v>P00250000</v>
      </c>
      <c r="E1398" s="72">
        <v>46269.655555555553</v>
      </c>
      <c r="F1398" s="11">
        <v>250</v>
      </c>
      <c r="G1398" s="27">
        <v>17</v>
      </c>
      <c r="H1398" s="27">
        <v>16</v>
      </c>
      <c r="I1398" s="27">
        <v>17.899999999999999</v>
      </c>
      <c r="J1398" s="29">
        <v>-27.25</v>
      </c>
      <c r="K1398" s="30">
        <v>-0.61580000000000001</v>
      </c>
      <c r="L1398" s="27">
        <v>101</v>
      </c>
      <c r="M1398" s="27">
        <v>0</v>
      </c>
      <c r="N1398" s="28">
        <v>1.0067999999999999</v>
      </c>
      <c r="O1398" t="s">
        <v>65</v>
      </c>
      <c r="P1398" s="9">
        <v>46121</v>
      </c>
      <c r="Q1398">
        <v>233.65</v>
      </c>
    </row>
    <row r="1399" spans="1:17" x14ac:dyDescent="0.25">
      <c r="A1399" s="10" t="s">
        <v>1140</v>
      </c>
      <c r="B1399" s="3" t="str">
        <f t="shared" si="67"/>
        <v>AMZN</v>
      </c>
      <c r="C1399" s="3" t="str">
        <f t="shared" si="68"/>
        <v>260410</v>
      </c>
      <c r="D1399" s="3" t="str">
        <f t="shared" si="69"/>
        <v>P00275000</v>
      </c>
      <c r="E1399" s="72">
        <v>46238.416666666664</v>
      </c>
      <c r="F1399" s="11">
        <v>275</v>
      </c>
      <c r="G1399" s="27">
        <v>54.99</v>
      </c>
      <c r="H1399" s="27">
        <v>40.299999999999997</v>
      </c>
      <c r="I1399" s="27">
        <v>43.5</v>
      </c>
      <c r="J1399" s="27">
        <v>0</v>
      </c>
      <c r="K1399" s="28">
        <v>0</v>
      </c>
      <c r="L1399" s="27">
        <v>4</v>
      </c>
      <c r="M1399" s="27">
        <v>0</v>
      </c>
      <c r="N1399" s="28">
        <v>1.9111</v>
      </c>
      <c r="O1399" t="s">
        <v>65</v>
      </c>
      <c r="P1399" s="9">
        <v>46121</v>
      </c>
      <c r="Q1399">
        <v>233.65</v>
      </c>
    </row>
    <row r="1400" spans="1:17" x14ac:dyDescent="0.25">
      <c r="A1400" s="10" t="s">
        <v>1141</v>
      </c>
      <c r="B1400" s="3" t="str">
        <f t="shared" si="67"/>
        <v>AMZN</v>
      </c>
      <c r="C1400" s="3" t="str">
        <f t="shared" si="68"/>
        <v>260410</v>
      </c>
      <c r="D1400" s="3" t="str">
        <f t="shared" si="69"/>
        <v>P00280000</v>
      </c>
      <c r="E1400" s="72">
        <v>46238.449305555558</v>
      </c>
      <c r="F1400" s="11">
        <v>280</v>
      </c>
      <c r="G1400" s="27">
        <v>58.4</v>
      </c>
      <c r="H1400" s="27">
        <v>45.8</v>
      </c>
      <c r="I1400" s="27">
        <v>48.5</v>
      </c>
      <c r="J1400" s="27">
        <v>0</v>
      </c>
      <c r="K1400" s="28">
        <v>0</v>
      </c>
      <c r="L1400" s="27">
        <v>3</v>
      </c>
      <c r="M1400" s="27">
        <v>0</v>
      </c>
      <c r="N1400" s="28">
        <v>2.2431999999999999</v>
      </c>
      <c r="O1400" t="s">
        <v>65</v>
      </c>
      <c r="P1400" s="9">
        <v>46121</v>
      </c>
      <c r="Q1400">
        <v>233.65</v>
      </c>
    </row>
  </sheetData>
  <autoFilter ref="A1:Q1400" xr:uid="{8854716B-2DB4-4BB2-8EA7-449F9F85C623}"/>
  <hyperlinks>
    <hyperlink ref="A2" r:id="rId1" display="https://finance.yahoo.com/quote/AMZN260123C00125000/" xr:uid="{0A2DDA1F-5085-47AB-B487-943A06B738F7}"/>
    <hyperlink ref="F2" r:id="rId2" display="https://finance.yahoo.com/quote/AMZN/options/?straddle=false&amp;strike=125&amp;type=all" xr:uid="{8706ED5A-C564-4B13-9FE5-926076C3735F}"/>
    <hyperlink ref="A3" r:id="rId3" display="https://finance.yahoo.com/quote/AMZN260123C00130000/" xr:uid="{A7D7323E-EE93-4EEF-97A1-B80CDFFC690C}"/>
    <hyperlink ref="F3" r:id="rId4" display="https://finance.yahoo.com/quote/AMZN/options/?straddle=false&amp;strike=130&amp;type=all" xr:uid="{D9A97319-66D3-4B2E-8061-C80312D75537}"/>
    <hyperlink ref="A4" r:id="rId5" display="https://finance.yahoo.com/quote/AMZN260123C00135000/" xr:uid="{13FF465A-8ECE-470A-B0C7-3F6B4BE40828}"/>
    <hyperlink ref="F4" r:id="rId6" display="https://finance.yahoo.com/quote/AMZN/options/?straddle=false&amp;strike=135&amp;type=all" xr:uid="{67D42418-DD8E-4A58-ADD5-34D6CAC43745}"/>
    <hyperlink ref="A5" r:id="rId7" display="https://finance.yahoo.com/quote/AMZN260123C00140000/" xr:uid="{EF0D17C6-797F-4DB9-890A-53E16873BCF4}"/>
    <hyperlink ref="F5" r:id="rId8" display="https://finance.yahoo.com/quote/AMZN/options/?straddle=false&amp;strike=140&amp;type=all" xr:uid="{6DCBA4F7-323D-4B24-87C2-8D913CB3E75A}"/>
    <hyperlink ref="A6" r:id="rId9" display="https://finance.yahoo.com/quote/AMZN260123C00145000/" xr:uid="{F836F474-3277-48EA-B742-2799CAE8FE10}"/>
    <hyperlink ref="F6" r:id="rId10" display="https://finance.yahoo.com/quote/AMZN/options/?straddle=false&amp;strike=145&amp;type=all" xr:uid="{1FAB6961-B774-4D9E-8732-CE6031F99502}"/>
    <hyperlink ref="A7" r:id="rId11" display="https://finance.yahoo.com/quote/AMZN260123C00150000/" xr:uid="{C5F06B82-285D-452A-BEC1-CE87296F02E6}"/>
    <hyperlink ref="F7" r:id="rId12" display="https://finance.yahoo.com/quote/AMZN/options/?straddle=false&amp;strike=150&amp;type=all" xr:uid="{E3276A0E-D7D4-485A-BF25-0A7D33B20CDF}"/>
    <hyperlink ref="A8" r:id="rId13" display="https://finance.yahoo.com/quote/AMZN260123C00155000/" xr:uid="{869AF0FB-F06F-4C14-BE48-BB87A731B665}"/>
    <hyperlink ref="F8" r:id="rId14" display="https://finance.yahoo.com/quote/AMZN/options/?straddle=false&amp;strike=155&amp;type=all" xr:uid="{9B5D71B2-3C87-48DF-ABBD-559863034297}"/>
    <hyperlink ref="A9" r:id="rId15" display="https://finance.yahoo.com/quote/AMZN260123C00160000/" xr:uid="{1F080242-E9E5-4AD0-8FDD-8A381FA50E2D}"/>
    <hyperlink ref="F9" r:id="rId16" display="https://finance.yahoo.com/quote/AMZN/options/?straddle=false&amp;strike=160&amp;type=all" xr:uid="{F305D8ED-4C49-4766-9B0D-00206C2E7356}"/>
    <hyperlink ref="A10" r:id="rId17" display="https://finance.yahoo.com/quote/AMZN260123C00165000/" xr:uid="{C9C48591-6621-4727-8166-9FB948140105}"/>
    <hyperlink ref="F10" r:id="rId18" display="https://finance.yahoo.com/quote/AMZN/options/?straddle=false&amp;strike=165&amp;type=all" xr:uid="{00A47C21-F6EA-43D4-9AAF-EDED72BC9803}"/>
    <hyperlink ref="A11" r:id="rId19" display="https://finance.yahoo.com/quote/AMZN260123C00170000/" xr:uid="{9878534B-007D-472F-B4D5-5C0722891CEB}"/>
    <hyperlink ref="F11" r:id="rId20" display="https://finance.yahoo.com/quote/AMZN/options/?straddle=false&amp;strike=170&amp;type=all" xr:uid="{7859FD7F-636C-4812-8516-6D83F93D9169}"/>
    <hyperlink ref="A12" r:id="rId21" display="https://finance.yahoo.com/quote/AMZN260123C00175000/" xr:uid="{F8279190-3690-437D-8301-6853937D18D4}"/>
    <hyperlink ref="F12" r:id="rId22" display="https://finance.yahoo.com/quote/AMZN/options/?straddle=false&amp;strike=175&amp;type=all" xr:uid="{15ED1789-A620-4826-95BA-6EBC9A1886DE}"/>
    <hyperlink ref="A13" r:id="rId23" display="https://finance.yahoo.com/quote/AMZN260123C00180000/" xr:uid="{1FB7A355-CC0F-44A8-9075-259E507D93E8}"/>
    <hyperlink ref="F13" r:id="rId24" display="https://finance.yahoo.com/quote/AMZN/options/?straddle=false&amp;strike=180&amp;type=all" xr:uid="{DCB3C951-C3C0-475A-B6A7-877686F34A3F}"/>
    <hyperlink ref="A14" r:id="rId25" display="https://finance.yahoo.com/quote/AMZN260123C00185000/" xr:uid="{0E067227-CE19-410B-9745-AC7A0A951761}"/>
    <hyperlink ref="F14" r:id="rId26" display="https://finance.yahoo.com/quote/AMZN/options/?straddle=false&amp;strike=185&amp;type=all" xr:uid="{A60C55A4-AF93-4D49-A84E-0E6417177A72}"/>
    <hyperlink ref="A15" r:id="rId27" display="https://finance.yahoo.com/quote/AMZN260123C00190000/" xr:uid="{DF466CE2-BBCC-45D7-9FB7-104492EF21FA}"/>
    <hyperlink ref="F15" r:id="rId28" display="https://finance.yahoo.com/quote/AMZN/options/?straddle=false&amp;strike=190&amp;type=all" xr:uid="{D61749D5-E2A9-4B4E-B220-C88C00239B08}"/>
    <hyperlink ref="A16" r:id="rId29" display="https://finance.yahoo.com/quote/AMZN260123C00195000/" xr:uid="{4F1E2909-422E-46C9-B11C-95D5F3BB8593}"/>
    <hyperlink ref="F16" r:id="rId30" display="https://finance.yahoo.com/quote/AMZN/options/?straddle=false&amp;strike=195&amp;type=all" xr:uid="{21E0EC68-7AC2-4350-A04E-86525871E68C}"/>
    <hyperlink ref="A17" r:id="rId31" display="https://finance.yahoo.com/quote/AMZN260123C00200000/" xr:uid="{1EE38590-3338-4DFD-9D08-74B9E2AF1827}"/>
    <hyperlink ref="F17" r:id="rId32" display="https://finance.yahoo.com/quote/AMZN/options/?straddle=false&amp;strike=200&amp;type=all" xr:uid="{180DF9DF-11F8-40B4-A743-17DDC22E8E1F}"/>
    <hyperlink ref="A18" r:id="rId33" display="https://finance.yahoo.com/quote/AMZN260123C00205000/" xr:uid="{F23A21BB-6083-4D58-897C-D45668829CFA}"/>
    <hyperlink ref="F18" r:id="rId34" display="https://finance.yahoo.com/quote/AMZN/options/?straddle=false&amp;strike=205&amp;type=all" xr:uid="{6E3A79E3-C1C3-4F6B-A1F7-368F5440A0BF}"/>
    <hyperlink ref="A19" r:id="rId35" display="https://finance.yahoo.com/quote/AMZN260123C00207500/" xr:uid="{5416C096-1CA8-4615-B07E-CF26339D39A9}"/>
    <hyperlink ref="F19" r:id="rId36" display="https://finance.yahoo.com/quote/AMZN/options/?straddle=false&amp;strike=207.5&amp;type=all" xr:uid="{C93D8227-1FAA-4E5A-B632-12D09A26250E}"/>
    <hyperlink ref="A20" r:id="rId37" display="https://finance.yahoo.com/quote/AMZN260123C00210000/" xr:uid="{E6A07DAE-E6C1-404C-9741-40404AFB3DDD}"/>
    <hyperlink ref="F20" r:id="rId38" display="https://finance.yahoo.com/quote/AMZN/options/?straddle=false&amp;strike=210&amp;type=all" xr:uid="{B9400D52-EA11-48A9-A4CD-540EE52F1DA8}"/>
    <hyperlink ref="A21" r:id="rId39" display="https://finance.yahoo.com/quote/AMZN260123C00212500/" xr:uid="{5B2358B5-2F4B-4012-9BAC-249BEAF37333}"/>
    <hyperlink ref="F21" r:id="rId40" display="https://finance.yahoo.com/quote/AMZN/options/?straddle=false&amp;strike=212.5&amp;type=all" xr:uid="{17668ADD-0AD7-47C8-BA38-A2BAF86BD613}"/>
    <hyperlink ref="A22" r:id="rId41" display="https://finance.yahoo.com/quote/AMZN260123C00215000/" xr:uid="{18B61475-ED11-4C21-A5A5-A61E0BBC532D}"/>
    <hyperlink ref="F22" r:id="rId42" display="https://finance.yahoo.com/quote/AMZN/options/?straddle=false&amp;strike=215&amp;type=all" xr:uid="{4A8CCC83-8230-40FA-8A37-EC50AA3C6445}"/>
    <hyperlink ref="A23" r:id="rId43" display="https://finance.yahoo.com/quote/AMZN260123C00217500/" xr:uid="{C98E62EC-9F04-492D-A2F6-DBCE0886DDC5}"/>
    <hyperlink ref="F23" r:id="rId44" display="https://finance.yahoo.com/quote/AMZN/options/?straddle=false&amp;strike=217.5&amp;type=all" xr:uid="{C929B067-FE37-4CA8-9C81-D8D9706D026C}"/>
    <hyperlink ref="A24" r:id="rId45" display="https://finance.yahoo.com/quote/AMZN260123C00220000/" xr:uid="{693E4145-BF6A-46B1-8737-1DFB8B375571}"/>
    <hyperlink ref="F24" r:id="rId46" display="https://finance.yahoo.com/quote/AMZN/options/?straddle=false&amp;strike=220&amp;type=all" xr:uid="{B660CEEE-BD0D-49AE-B3EE-1695F619047D}"/>
    <hyperlink ref="A25" r:id="rId47" display="https://finance.yahoo.com/quote/AMZN260123C00222500/" xr:uid="{C85F8B5A-25C6-4059-8AD9-6EA1B68D5187}"/>
    <hyperlink ref="F25" r:id="rId48" display="https://finance.yahoo.com/quote/AMZN/options/?straddle=false&amp;strike=222.5&amp;type=all" xr:uid="{8298DA78-A39C-4A2C-8A19-1C5C41226081}"/>
    <hyperlink ref="A26" r:id="rId49" display="https://finance.yahoo.com/quote/AMZN260123C00225000/" xr:uid="{A595FA25-FEDE-4F41-8782-01C14D9B095F}"/>
    <hyperlink ref="F26" r:id="rId50" display="https://finance.yahoo.com/quote/AMZN/options/?straddle=false&amp;strike=225&amp;type=all" xr:uid="{AF991594-7C88-4781-87D0-7E015D4619E6}"/>
    <hyperlink ref="A27" r:id="rId51" display="https://finance.yahoo.com/quote/AMZN260123C00227500/" xr:uid="{D4E88011-A6C5-4C8B-A33D-1C979B761071}"/>
    <hyperlink ref="F27" r:id="rId52" display="https://finance.yahoo.com/quote/AMZN/options/?straddle=false&amp;strike=227.5&amp;type=all" xr:uid="{AA4085AB-DDB9-42EF-83C8-6BCE24BE7E71}"/>
    <hyperlink ref="A28" r:id="rId53" display="https://finance.yahoo.com/quote/AMZN260123C00230000/" xr:uid="{CF74BC1F-599E-44A3-9968-5ACC682E3BB2}"/>
    <hyperlink ref="F28" r:id="rId54" display="https://finance.yahoo.com/quote/AMZN/options/?straddle=false&amp;strike=230&amp;type=all" xr:uid="{976D0ABC-0A21-41B5-A1D8-9684DD99D649}"/>
    <hyperlink ref="A29" r:id="rId55" display="https://finance.yahoo.com/quote/AMZN260123C00232500/" xr:uid="{7D6A7BE9-A91E-4C0E-8B43-234D81EDDCD4}"/>
    <hyperlink ref="F29" r:id="rId56" display="https://finance.yahoo.com/quote/AMZN/options/?straddle=false&amp;strike=232.5&amp;type=all" xr:uid="{ED71E7E9-F14B-44A5-B679-12AD8940843F}"/>
    <hyperlink ref="A30" r:id="rId57" display="https://finance.yahoo.com/quote/AMZN260123C00235000/" xr:uid="{BA3E2F1D-55C2-4F1D-A3C8-48AD0296A3E3}"/>
    <hyperlink ref="F30" r:id="rId58" display="https://finance.yahoo.com/quote/AMZN/options/?straddle=false&amp;strike=235&amp;type=all" xr:uid="{7D932050-9EC6-42E2-9800-9B5C104BCB50}"/>
    <hyperlink ref="A31" r:id="rId59" display="https://finance.yahoo.com/quote/AMZN260123C00237500/" xr:uid="{8261D7F6-AB9C-4CDE-B787-B13BF9B25CEA}"/>
    <hyperlink ref="F31" r:id="rId60" display="https://finance.yahoo.com/quote/AMZN/options/?straddle=false&amp;strike=237.5&amp;type=all" xr:uid="{49E239B7-BAE5-4300-BE8C-6854F49EDF38}"/>
    <hyperlink ref="A32" r:id="rId61" display="https://finance.yahoo.com/quote/AMZN260123C00240000/" xr:uid="{A0C8096C-8FDD-456C-868C-133A4CC5995C}"/>
    <hyperlink ref="F32" r:id="rId62" display="https://finance.yahoo.com/quote/AMZN/options/?straddle=false&amp;strike=240&amp;type=all" xr:uid="{45E2F444-3A8D-41D6-AC46-76DE2767F874}"/>
    <hyperlink ref="A33" r:id="rId63" display="https://finance.yahoo.com/quote/AMZN260123C00242500/" xr:uid="{FCC2EC84-1E61-43AA-B1A3-2208E6A06F3C}"/>
    <hyperlink ref="F33" r:id="rId64" display="https://finance.yahoo.com/quote/AMZN/options/?straddle=false&amp;strike=242.5&amp;type=all" xr:uid="{B74A72FA-DF35-47D0-A2BC-0090016E6C8B}"/>
    <hyperlink ref="A34" r:id="rId65" display="https://finance.yahoo.com/quote/AMZN260123C00245000/" xr:uid="{315A5C80-5C18-40A7-92FB-BFBDB0F835B0}"/>
    <hyperlink ref="F34" r:id="rId66" display="https://finance.yahoo.com/quote/AMZN/options/?straddle=false&amp;strike=245&amp;type=all" xr:uid="{AF7D7891-3D21-4361-AB9A-36F31902D0BF}"/>
    <hyperlink ref="A35" r:id="rId67" display="https://finance.yahoo.com/quote/AMZN260123C00247500/" xr:uid="{FC5CEF56-C41C-4405-8A55-BF75B70BD33D}"/>
    <hyperlink ref="F35" r:id="rId68" display="https://finance.yahoo.com/quote/AMZN/options/?straddle=false&amp;strike=247.5&amp;type=all" xr:uid="{E020C6D4-6EFA-4414-804A-9DF961F7BAB8}"/>
    <hyperlink ref="A36" r:id="rId69" display="https://finance.yahoo.com/quote/AMZN260123C00250000/" xr:uid="{836BEBE9-6A5F-473F-A783-23F8A5448144}"/>
    <hyperlink ref="F36" r:id="rId70" display="https://finance.yahoo.com/quote/AMZN/options/?straddle=false&amp;strike=250&amp;type=all" xr:uid="{70C67193-B320-40AE-BD4D-B1631AD79D3D}"/>
    <hyperlink ref="A37" r:id="rId71" display="https://finance.yahoo.com/quote/AMZN260123C00252500/" xr:uid="{422A8BD8-71B5-4F3D-B66D-7098739AA451}"/>
    <hyperlink ref="F37" r:id="rId72" display="https://finance.yahoo.com/quote/AMZN/options/?straddle=false&amp;strike=252.5&amp;type=all" xr:uid="{37EC2204-FA3B-42C0-A35C-39A15373BF0F}"/>
    <hyperlink ref="A38" r:id="rId73" display="https://finance.yahoo.com/quote/AMZN260123C00255000/" xr:uid="{7A881AC9-44CA-4757-B392-CB1FABF17F32}"/>
    <hyperlink ref="F38" r:id="rId74" display="https://finance.yahoo.com/quote/AMZN/options/?straddle=false&amp;strike=255&amp;type=all" xr:uid="{6CC4F86C-A8E6-4252-A22E-8FA6BBA8E956}"/>
    <hyperlink ref="A39" r:id="rId75" display="https://finance.yahoo.com/quote/AMZN260123C00257500/" xr:uid="{B4552C38-0E52-443A-AF24-7D484B7D9F7C}"/>
    <hyperlink ref="F39" r:id="rId76" display="https://finance.yahoo.com/quote/AMZN/options/?straddle=false&amp;strike=257.5&amp;type=all" xr:uid="{5D5EB25D-B126-4ECF-8B85-6DCB1A7E52ED}"/>
    <hyperlink ref="A40" r:id="rId77" display="https://finance.yahoo.com/quote/AMZN260123C00260000/" xr:uid="{10328F87-CFC0-406E-BA7E-77FBCE855536}"/>
    <hyperlink ref="F40" r:id="rId78" display="https://finance.yahoo.com/quote/AMZN/options/?straddle=false&amp;strike=260&amp;type=all" xr:uid="{7A307298-1857-4C9B-A0BA-9CE6107A76B5}"/>
    <hyperlink ref="A41" r:id="rId79" display="https://finance.yahoo.com/quote/AMZN260123C00262500/" xr:uid="{82EAD095-D4D0-4C42-AFDE-05D8B3D40F75}"/>
    <hyperlink ref="F41" r:id="rId80" display="https://finance.yahoo.com/quote/AMZN/options/?straddle=false&amp;strike=262.5&amp;type=all" xr:uid="{06D42090-8DBE-4A27-9EDC-C7DA9D52C1FF}"/>
    <hyperlink ref="A42" r:id="rId81" display="https://finance.yahoo.com/quote/AMZN260123C00265000/" xr:uid="{E41829B1-25B5-4274-84BA-585F7CA7FFBA}"/>
    <hyperlink ref="F42" r:id="rId82" display="https://finance.yahoo.com/quote/AMZN/options/?straddle=false&amp;strike=265&amp;type=all" xr:uid="{C5E3E114-912E-4F29-A551-32AE44421EDE}"/>
    <hyperlink ref="A43" r:id="rId83" display="https://finance.yahoo.com/quote/AMZN260123C00267500/" xr:uid="{B0C43AC0-B6A9-4EA2-B23C-F2BB7E39CD2C}"/>
    <hyperlink ref="F43" r:id="rId84" display="https://finance.yahoo.com/quote/AMZN/options/?straddle=false&amp;strike=267.5&amp;type=all" xr:uid="{665A60D8-9251-4F66-8286-53A66E3EBA56}"/>
    <hyperlink ref="A44" r:id="rId85" display="https://finance.yahoo.com/quote/AMZN260123C00270000/" xr:uid="{9FA03ABF-BF14-4667-A5E0-974DCF6560D5}"/>
    <hyperlink ref="F44" r:id="rId86" display="https://finance.yahoo.com/quote/AMZN/options/?straddle=false&amp;strike=270&amp;type=all" xr:uid="{37EB7144-12EB-4C94-A98E-2DEFB046021D}"/>
    <hyperlink ref="A45" r:id="rId87" display="https://finance.yahoo.com/quote/AMZN260123C00275000/" xr:uid="{B43C691B-7689-4E36-A1A2-01E6DF7EC415}"/>
    <hyperlink ref="F45" r:id="rId88" display="https://finance.yahoo.com/quote/AMZN/options/?straddle=false&amp;strike=275&amp;type=all" xr:uid="{8BF07092-8266-4FAA-A831-1B124A90B004}"/>
    <hyperlink ref="A46" r:id="rId89" display="https://finance.yahoo.com/quote/AMZN260123C00280000/" xr:uid="{6FD767BF-30C4-4CE1-A20F-3CD7FA6C19A0}"/>
    <hyperlink ref="F46" r:id="rId90" display="https://finance.yahoo.com/quote/AMZN/options/?straddle=false&amp;strike=280&amp;type=all" xr:uid="{6B00A517-DF40-4649-ACBA-4D62B210645C}"/>
    <hyperlink ref="A47" r:id="rId91" display="https://finance.yahoo.com/quote/AMZN260123C00285000/" xr:uid="{F1D070E3-3CF2-4D59-8379-0A1FA55D00C3}"/>
    <hyperlink ref="F47" r:id="rId92" display="https://finance.yahoo.com/quote/AMZN/options/?straddle=false&amp;strike=285&amp;type=all" xr:uid="{31015A84-FA50-4FAC-93B5-C71DB1425F16}"/>
    <hyperlink ref="A48" r:id="rId93" display="https://finance.yahoo.com/quote/AMZN260123C00290000/" xr:uid="{681A6CCD-800E-4777-B1CF-2D7DCA11D183}"/>
    <hyperlink ref="F48" r:id="rId94" display="https://finance.yahoo.com/quote/AMZN/options/?straddle=false&amp;strike=290&amp;type=all" xr:uid="{96CC26F7-508A-4EB2-B227-6499EA3B8A04}"/>
    <hyperlink ref="A49" r:id="rId95" display="https://finance.yahoo.com/quote/AMZN260123C00295000/" xr:uid="{627C2361-E359-4F0E-A35A-268C3BF3F621}"/>
    <hyperlink ref="F49" r:id="rId96" display="https://finance.yahoo.com/quote/AMZN/options/?straddle=false&amp;strike=295&amp;type=all" xr:uid="{27E2C320-7B9F-4EF6-AECE-C8A464F2BA16}"/>
    <hyperlink ref="A50" r:id="rId97" display="https://finance.yahoo.com/quote/AMZN260123C00300000/" xr:uid="{041BCE72-9089-4022-9037-C3C9F44518D2}"/>
    <hyperlink ref="F50" r:id="rId98" display="https://finance.yahoo.com/quote/AMZN/options/?straddle=false&amp;strike=300&amp;type=all" xr:uid="{F4710700-161B-4F31-8DEC-CD111B8DBB54}"/>
    <hyperlink ref="A51" r:id="rId99" display="https://finance.yahoo.com/quote/AMZN260123C00305000/" xr:uid="{69EE386B-57F0-4FDA-ACD5-5EA950CA00CF}"/>
    <hyperlink ref="F51" r:id="rId100" display="https://finance.yahoo.com/quote/AMZN/options/?straddle=false&amp;strike=305&amp;type=all" xr:uid="{34DD5093-A172-47E9-BB3B-093C997CECA1}"/>
    <hyperlink ref="A52" r:id="rId101" display="https://finance.yahoo.com/quote/AMZN260123P00125000/" xr:uid="{11D2BE5C-8ED6-4456-AD33-DD7F9A946D51}"/>
    <hyperlink ref="F52" r:id="rId102" display="https://finance.yahoo.com/quote/AMZN/options/?straddle=false&amp;strike=125&amp;type=all" xr:uid="{DE7AB8E9-40F9-49D8-9FB1-AF242197029B}"/>
    <hyperlink ref="A53" r:id="rId103" display="https://finance.yahoo.com/quote/AMZN260123P00130000/" xr:uid="{C45E1757-5C02-4029-9B96-A45029D6FEFB}"/>
    <hyperlink ref="F53" r:id="rId104" display="https://finance.yahoo.com/quote/AMZN/options/?straddle=false&amp;strike=130&amp;type=all" xr:uid="{3B957E36-1ACA-4D8D-B688-AE5BBAEB3B07}"/>
    <hyperlink ref="A54" r:id="rId105" display="https://finance.yahoo.com/quote/AMZN260123P00135000/" xr:uid="{A66B2FF7-4387-4542-8FEA-11C2542CE13D}"/>
    <hyperlink ref="F54" r:id="rId106" display="https://finance.yahoo.com/quote/AMZN/options/?straddle=false&amp;strike=135&amp;type=all" xr:uid="{B0D0E02E-B813-481C-8968-9948D9590C05}"/>
    <hyperlink ref="A55" r:id="rId107" display="https://finance.yahoo.com/quote/AMZN260123P00140000/" xr:uid="{EF44F6DD-93E5-477C-9238-0FA300BC46C1}"/>
    <hyperlink ref="F55" r:id="rId108" display="https://finance.yahoo.com/quote/AMZN/options/?straddle=false&amp;strike=140&amp;type=all" xr:uid="{D60510B5-4C4C-45DD-8FEE-91E545DB3E3D}"/>
    <hyperlink ref="A56" r:id="rId109" display="https://finance.yahoo.com/quote/AMZN260123P00145000/" xr:uid="{0D6D7281-0FDB-4A18-A35B-D33A2E88C07F}"/>
    <hyperlink ref="F56" r:id="rId110" display="https://finance.yahoo.com/quote/AMZN/options/?straddle=false&amp;strike=145&amp;type=all" xr:uid="{830C6782-9E74-483B-8433-38B6F215D0AF}"/>
    <hyperlink ref="A57" r:id="rId111" display="https://finance.yahoo.com/quote/AMZN260123P00150000/" xr:uid="{750D4B41-B74C-47B1-9003-A3858A3F3381}"/>
    <hyperlink ref="F57" r:id="rId112" display="https://finance.yahoo.com/quote/AMZN/options/?straddle=false&amp;strike=150&amp;type=all" xr:uid="{7B84F069-D8D5-4DB2-ABF2-A3EEADE68220}"/>
    <hyperlink ref="A58" r:id="rId113" display="https://finance.yahoo.com/quote/AMZN260123P00155000/" xr:uid="{B8041317-576D-4F1E-82B8-7903216B7B4A}"/>
    <hyperlink ref="F58" r:id="rId114" display="https://finance.yahoo.com/quote/AMZN/options/?straddle=false&amp;strike=155&amp;type=all" xr:uid="{45E55007-ADD8-445B-9D1A-D566EFB77C22}"/>
    <hyperlink ref="A59" r:id="rId115" display="https://finance.yahoo.com/quote/AMZN260123P00160000/" xr:uid="{1331D70D-47F0-4A7D-951A-6E0D8F109138}"/>
    <hyperlink ref="F59" r:id="rId116" display="https://finance.yahoo.com/quote/AMZN/options/?straddle=false&amp;strike=160&amp;type=all" xr:uid="{C5F66CCA-560B-46CC-A04F-0B8A2073B420}"/>
    <hyperlink ref="A60" r:id="rId117" display="https://finance.yahoo.com/quote/AMZN260123P00165000/" xr:uid="{55B23FF5-D45C-4339-AC28-13FCB31BBB63}"/>
    <hyperlink ref="F60" r:id="rId118" display="https://finance.yahoo.com/quote/AMZN/options/?straddle=false&amp;strike=165&amp;type=all" xr:uid="{4697DB53-DF4E-418B-8CD1-2F7271B8765A}"/>
    <hyperlink ref="A61" r:id="rId119" display="https://finance.yahoo.com/quote/AMZN260123P00170000/" xr:uid="{F998EA8E-7073-405E-A2F4-2F9FDEDE13C5}"/>
    <hyperlink ref="F61" r:id="rId120" display="https://finance.yahoo.com/quote/AMZN/options/?straddle=false&amp;strike=170&amp;type=all" xr:uid="{82DAA9A8-FA7B-4C88-9599-76EF3F652CDD}"/>
    <hyperlink ref="A62" r:id="rId121" display="https://finance.yahoo.com/quote/AMZN260123P00175000/" xr:uid="{A476E446-5CE2-432B-9EEC-09420E9B2FDE}"/>
    <hyperlink ref="F62" r:id="rId122" display="https://finance.yahoo.com/quote/AMZN/options/?straddle=false&amp;strike=175&amp;type=all" xr:uid="{CB254F79-1108-45F2-8EC8-324336EB4388}"/>
    <hyperlink ref="A63" r:id="rId123" display="https://finance.yahoo.com/quote/AMZN260123P00180000/" xr:uid="{29C308D4-80CC-4A56-B277-542B53859BC5}"/>
    <hyperlink ref="F63" r:id="rId124" display="https://finance.yahoo.com/quote/AMZN/options/?straddle=false&amp;strike=180&amp;type=all" xr:uid="{B7B85415-891D-460A-89F8-3B44F9D90D5B}"/>
    <hyperlink ref="A64" r:id="rId125" display="https://finance.yahoo.com/quote/AMZN260123P00185000/" xr:uid="{8FE09597-B56C-4A56-87D8-0F062838595C}"/>
    <hyperlink ref="F64" r:id="rId126" display="https://finance.yahoo.com/quote/AMZN/options/?straddle=false&amp;strike=185&amp;type=all" xr:uid="{819A1606-52CA-4570-BA5B-05175FFEB9C4}"/>
    <hyperlink ref="A65" r:id="rId127" display="https://finance.yahoo.com/quote/AMZN260123P00190000/" xr:uid="{0CE6A81E-5EB0-41F1-94F7-BB9562F65618}"/>
    <hyperlink ref="F65" r:id="rId128" display="https://finance.yahoo.com/quote/AMZN/options/?straddle=false&amp;strike=190&amp;type=all" xr:uid="{3371C478-FA51-4458-B652-C19551DD033C}"/>
    <hyperlink ref="A66" r:id="rId129" display="https://finance.yahoo.com/quote/AMZN260123P00195000/" xr:uid="{072371E1-19DA-4163-ACDA-F17907D6EEFA}"/>
    <hyperlink ref="F66" r:id="rId130" display="https://finance.yahoo.com/quote/AMZN/options/?straddle=false&amp;strike=195&amp;type=all" xr:uid="{F879EDB4-94B0-43F9-A63A-141708CB2BF7}"/>
    <hyperlink ref="A67" r:id="rId131" display="https://finance.yahoo.com/quote/AMZN260123P00200000/" xr:uid="{532B0780-945D-43D8-9FE2-2AC6A3CB9BED}"/>
    <hyperlink ref="F67" r:id="rId132" display="https://finance.yahoo.com/quote/AMZN/options/?straddle=false&amp;strike=200&amp;type=all" xr:uid="{62BC0246-E827-4045-A42B-095839E05825}"/>
    <hyperlink ref="A68" r:id="rId133" display="https://finance.yahoo.com/quote/AMZN260123P00205000/" xr:uid="{522914FB-615B-484A-92B9-EC708CD978F5}"/>
    <hyperlink ref="F68" r:id="rId134" display="https://finance.yahoo.com/quote/AMZN/options/?straddle=false&amp;strike=205&amp;type=all" xr:uid="{FB774F0C-59E7-46CD-837C-014185C18C97}"/>
    <hyperlink ref="A69" r:id="rId135" display="https://finance.yahoo.com/quote/AMZN260123P00207500/" xr:uid="{F7BD7DD3-C17A-4122-9A99-3F8C7479EBED}"/>
    <hyperlink ref="F69" r:id="rId136" display="https://finance.yahoo.com/quote/AMZN/options/?straddle=false&amp;strike=207.5&amp;type=all" xr:uid="{07B9D059-179D-48CC-A647-C179F34B8262}"/>
    <hyperlink ref="A70" r:id="rId137" display="https://finance.yahoo.com/quote/AMZN260123P00210000/" xr:uid="{81B452D8-AD64-46EA-92EF-737B5555D4AC}"/>
    <hyperlink ref="F70" r:id="rId138" display="https://finance.yahoo.com/quote/AMZN/options/?straddle=false&amp;strike=210&amp;type=all" xr:uid="{421EBB98-6915-4310-A2F0-091F3AACCC0B}"/>
    <hyperlink ref="A71" r:id="rId139" display="https://finance.yahoo.com/quote/AMZN260123P00212500/" xr:uid="{583FB9D0-5BC8-4CEE-92AF-F1D39C319CBF}"/>
    <hyperlink ref="F71" r:id="rId140" display="https://finance.yahoo.com/quote/AMZN/options/?straddle=false&amp;strike=212.5&amp;type=all" xr:uid="{445884EF-6C83-4928-855A-039B5C912041}"/>
    <hyperlink ref="A72" r:id="rId141" display="https://finance.yahoo.com/quote/AMZN260123P00215000/" xr:uid="{33E6D425-CACE-4F98-9F9B-B6C372793305}"/>
    <hyperlink ref="F72" r:id="rId142" display="https://finance.yahoo.com/quote/AMZN/options/?straddle=false&amp;strike=215&amp;type=all" xr:uid="{ED62420A-08FD-40D5-AAC4-6EF70FFB28EE}"/>
    <hyperlink ref="A73" r:id="rId143" display="https://finance.yahoo.com/quote/AMZN260123P00217500/" xr:uid="{D5F59FF4-44D2-4A9A-A081-2CEF1D283528}"/>
    <hyperlink ref="F73" r:id="rId144" display="https://finance.yahoo.com/quote/AMZN/options/?straddle=false&amp;strike=217.5&amp;type=all" xr:uid="{440EC4E9-A9DA-44CA-8C97-D0C085CF6F9C}"/>
    <hyperlink ref="A74" r:id="rId145" display="https://finance.yahoo.com/quote/AMZN260123P00220000/" xr:uid="{C4BF93D7-0F48-4F55-A237-E7D7E573C948}"/>
    <hyperlink ref="F74" r:id="rId146" display="https://finance.yahoo.com/quote/AMZN/options/?straddle=false&amp;strike=220&amp;type=all" xr:uid="{F1B6C95B-288B-4E22-91FA-F8EE4F273E9D}"/>
    <hyperlink ref="A75" r:id="rId147" display="https://finance.yahoo.com/quote/AMZN260123P00222500/" xr:uid="{559EF5E1-DB9A-44CC-A2A2-5AADB05EB6C7}"/>
    <hyperlink ref="F75" r:id="rId148" display="https://finance.yahoo.com/quote/AMZN/options/?straddle=false&amp;strike=222.5&amp;type=all" xr:uid="{15C0EF1B-EB96-42C6-BC6A-EB4344099B38}"/>
    <hyperlink ref="A76" r:id="rId149" display="https://finance.yahoo.com/quote/AMZN260123P00225000/" xr:uid="{9C291086-1CAF-4C4F-8A6E-84A4E60A4A2C}"/>
    <hyperlink ref="F76" r:id="rId150" display="https://finance.yahoo.com/quote/AMZN/options/?straddle=false&amp;strike=225&amp;type=all" xr:uid="{1ADA844C-A206-4798-978B-388C494A27D9}"/>
    <hyperlink ref="A77" r:id="rId151" display="https://finance.yahoo.com/quote/AMZN260123P00227500/" xr:uid="{56BC15E1-AC59-420A-832C-3E1D01B3E1AB}"/>
    <hyperlink ref="F77" r:id="rId152" display="https://finance.yahoo.com/quote/AMZN/options/?straddle=false&amp;strike=227.5&amp;type=all" xr:uid="{593467A3-919E-42D7-B83F-183347DBA076}"/>
    <hyperlink ref="A78" r:id="rId153" display="https://finance.yahoo.com/quote/AMZN260123P00230000/" xr:uid="{FEEDBE3F-BE56-4F2F-A128-AAA25A13F4AF}"/>
    <hyperlink ref="F78" r:id="rId154" display="https://finance.yahoo.com/quote/AMZN/options/?straddle=false&amp;strike=230&amp;type=all" xr:uid="{A8294F98-A09B-460E-BBA7-5CFF88E2CBB7}"/>
    <hyperlink ref="A79" r:id="rId155" display="https://finance.yahoo.com/quote/AMZN260123P00232500/" xr:uid="{B07F042D-AB7F-4E5A-BE56-7B56F8A6F2A7}"/>
    <hyperlink ref="F79" r:id="rId156" display="https://finance.yahoo.com/quote/AMZN/options/?straddle=false&amp;strike=232.5&amp;type=all" xr:uid="{5E6DA347-0169-4119-91EE-F23F0D41D160}"/>
    <hyperlink ref="A80" r:id="rId157" display="https://finance.yahoo.com/quote/AMZN260123P00235000/" xr:uid="{81DBC265-147E-446A-819E-CED132592F7F}"/>
    <hyperlink ref="F80" r:id="rId158" display="https://finance.yahoo.com/quote/AMZN/options/?straddle=false&amp;strike=235&amp;type=all" xr:uid="{F93AF79F-3EDC-48C1-B461-E62E0E461AFA}"/>
    <hyperlink ref="A81" r:id="rId159" display="https://finance.yahoo.com/quote/AMZN260123P00237500/" xr:uid="{A66F108A-0D2A-46D1-A23C-0BDA0755B593}"/>
    <hyperlink ref="F81" r:id="rId160" display="https://finance.yahoo.com/quote/AMZN/options/?straddle=false&amp;strike=237.5&amp;type=all" xr:uid="{22D9D5D5-7A7C-4940-B25F-38655FB07530}"/>
    <hyperlink ref="A82" r:id="rId161" display="https://finance.yahoo.com/quote/AMZN260123P00240000/" xr:uid="{4BB2C6C5-8878-45BB-B2E7-A51D44263767}"/>
    <hyperlink ref="F82" r:id="rId162" display="https://finance.yahoo.com/quote/AMZN/options/?straddle=false&amp;strike=240&amp;type=all" xr:uid="{FAF1F280-E6AC-4848-9337-85B554A00B54}"/>
    <hyperlink ref="A83" r:id="rId163" display="https://finance.yahoo.com/quote/AMZN260123P00242500/" xr:uid="{CC728931-6C2E-4105-B431-6BD49508A888}"/>
    <hyperlink ref="F83" r:id="rId164" display="https://finance.yahoo.com/quote/AMZN/options/?straddle=false&amp;strike=242.5&amp;type=all" xr:uid="{8459647C-90FF-40A7-8982-5F235444474F}"/>
    <hyperlink ref="A84" r:id="rId165" display="https://finance.yahoo.com/quote/AMZN260123P00245000/" xr:uid="{23DCAE65-82BB-4FCB-B454-72A22E27C260}"/>
    <hyperlink ref="F84" r:id="rId166" display="https://finance.yahoo.com/quote/AMZN/options/?straddle=false&amp;strike=245&amp;type=all" xr:uid="{B21B2036-5247-4407-8135-A7B02A7823CB}"/>
    <hyperlink ref="A85" r:id="rId167" display="https://finance.yahoo.com/quote/AMZN260123P00247500/" xr:uid="{21036A6F-4990-48D4-9A94-6FDA8CB99F9B}"/>
    <hyperlink ref="F85" r:id="rId168" display="https://finance.yahoo.com/quote/AMZN/options/?straddle=false&amp;strike=247.5&amp;type=all" xr:uid="{8C6BE639-5207-4EC4-AD74-7C220F39626E}"/>
    <hyperlink ref="A86" r:id="rId169" display="https://finance.yahoo.com/quote/AMZN260123P00250000/" xr:uid="{9F79BBE9-48F3-4082-A5A3-47842B2141A5}"/>
    <hyperlink ref="F86" r:id="rId170" display="https://finance.yahoo.com/quote/AMZN/options/?straddle=false&amp;strike=250&amp;type=all" xr:uid="{7E5F040E-DD61-4F02-8ACA-70E7C27350E2}"/>
    <hyperlink ref="A87" r:id="rId171" display="https://finance.yahoo.com/quote/AMZN260123P00252500/" xr:uid="{077ECB8A-819F-49C1-8396-8B4B292E7A9C}"/>
    <hyperlink ref="F87" r:id="rId172" display="https://finance.yahoo.com/quote/AMZN/options/?straddle=false&amp;strike=252.5&amp;type=all" xr:uid="{94E1C3A4-18CE-452E-A44D-01D1C063F1D6}"/>
    <hyperlink ref="A88" r:id="rId173" display="https://finance.yahoo.com/quote/AMZN260123P00255000/" xr:uid="{C273A7C5-FFD5-4AA9-8707-3D291D9795C8}"/>
    <hyperlink ref="F88" r:id="rId174" display="https://finance.yahoo.com/quote/AMZN/options/?straddle=false&amp;strike=255&amp;type=all" xr:uid="{79811513-3B0B-4799-8B04-90B25686E109}"/>
    <hyperlink ref="A89" r:id="rId175" display="https://finance.yahoo.com/quote/AMZN260123P00257500/" xr:uid="{6FCCCF8E-F57E-4BFE-983B-78EA04F9F945}"/>
    <hyperlink ref="F89" r:id="rId176" display="https://finance.yahoo.com/quote/AMZN/options/?straddle=false&amp;strike=257.5&amp;type=all" xr:uid="{6DA42AD4-7FB1-4E04-AEBA-26BD975C462C}"/>
    <hyperlink ref="A90" r:id="rId177" display="https://finance.yahoo.com/quote/AMZN260123P00260000/" xr:uid="{AB6647E5-515E-4D71-8AA9-51C15A254F82}"/>
    <hyperlink ref="F90" r:id="rId178" display="https://finance.yahoo.com/quote/AMZN/options/?straddle=false&amp;strike=260&amp;type=all" xr:uid="{31467D5D-D014-4CF2-96A0-11847E60F2EC}"/>
    <hyperlink ref="A91" r:id="rId179" display="https://finance.yahoo.com/quote/AMZN260123P00262500/" xr:uid="{A326FC8F-CEC8-4ECE-ACCF-0C7E82FBDFD2}"/>
    <hyperlink ref="F91" r:id="rId180" display="https://finance.yahoo.com/quote/AMZN/options/?straddle=false&amp;strike=262.5&amp;type=all" xr:uid="{7DE2BC76-077F-4402-839A-188D5471137D}"/>
    <hyperlink ref="A92" r:id="rId181" display="https://finance.yahoo.com/quote/AMZN260123P00265000/" xr:uid="{F265D278-EB1D-423B-BD07-D316756F865B}"/>
    <hyperlink ref="F92" r:id="rId182" display="https://finance.yahoo.com/quote/AMZN/options/?straddle=false&amp;strike=265&amp;type=all" xr:uid="{AAC32DF4-F300-455C-92DB-808AB1F3D7CB}"/>
    <hyperlink ref="A93" r:id="rId183" display="https://finance.yahoo.com/quote/AMZN260123P00267500/" xr:uid="{FFC93B8A-A686-4EBB-845C-260DDAEB7A3F}"/>
    <hyperlink ref="F93" r:id="rId184" display="https://finance.yahoo.com/quote/AMZN/options/?straddle=false&amp;strike=267.5&amp;type=all" xr:uid="{AFDF52F5-C68E-4334-AED1-CDB6EC6DAE50}"/>
    <hyperlink ref="A94" r:id="rId185" display="https://finance.yahoo.com/quote/AMZN260123P00270000/" xr:uid="{9A46460E-972B-458E-A2CF-1F8D3FE2D3A7}"/>
    <hyperlink ref="F94" r:id="rId186" display="https://finance.yahoo.com/quote/AMZN/options/?straddle=false&amp;strike=270&amp;type=all" xr:uid="{3CA4F499-D8EA-46E0-BCAA-4C68D79D132D}"/>
    <hyperlink ref="A95" r:id="rId187" display="https://finance.yahoo.com/quote/AMZN260123P00290000/" xr:uid="{CDBFB92D-873D-4AF0-BBB9-65C0AC4236B7}"/>
    <hyperlink ref="F95" r:id="rId188" display="https://finance.yahoo.com/quote/AMZN/options/?straddle=false&amp;strike=290&amp;type=all" xr:uid="{A2E50C1C-9D4E-46AE-BA51-5A6F2AA97850}"/>
    <hyperlink ref="A96" r:id="rId189" display="https://finance.yahoo.com/quote/AMZN260123P00340000/" xr:uid="{B03B88A1-2ACD-4A9A-B34A-134D0E7CC9A5}"/>
    <hyperlink ref="F96" r:id="rId190" display="https://finance.yahoo.com/quote/AMZN/options/?straddle=false&amp;strike=340&amp;type=all" xr:uid="{D5923900-51B7-41A2-9278-8EA3348DB294}"/>
    <hyperlink ref="A97" r:id="rId191" display="https://finance.yahoo.com/quote/AMZN260123P00345000/" xr:uid="{525C50C6-03A3-4A47-A0EB-9E3526A8FE37}"/>
    <hyperlink ref="F97" r:id="rId192" display="https://finance.yahoo.com/quote/AMZN/options/?straddle=false&amp;strike=345&amp;type=all" xr:uid="{2B5496F0-1EB6-4848-8816-BF95A94B3A3D}"/>
    <hyperlink ref="A98" r:id="rId193" display="https://finance.yahoo.com/quote/AMZN260515P00340000/" xr:uid="{29466908-350F-4441-9521-AACB003D6CA5}"/>
    <hyperlink ref="F98" r:id="rId194" display="https://finance.yahoo.com/quote/AMZN/options/?straddle=false&amp;strike=340&amp;type=all" xr:uid="{A68CBB31-FC40-4BB1-B059-C823047E0E3B}"/>
    <hyperlink ref="A99" r:id="rId195" display="https://finance.yahoo.com/quote/AMZN260515P00350000/" xr:uid="{9666E910-0D3B-4E86-A7E7-99638378EF48}"/>
    <hyperlink ref="F99" r:id="rId196" display="https://finance.yahoo.com/quote/AMZN/options/?straddle=false&amp;strike=350&amp;type=all" xr:uid="{FF7CDE77-A423-4931-9466-B6D18D104FC3}"/>
    <hyperlink ref="A100" r:id="rId197" display="https://finance.yahoo.com/quote/AMZN260515P00360000/" xr:uid="{3BAF8871-7488-4833-9CC1-50CD4923A3F4}"/>
    <hyperlink ref="F100" r:id="rId198" display="https://finance.yahoo.com/quote/AMZN/options/?straddle=false&amp;strike=360&amp;type=all" xr:uid="{E62AC891-F74A-4ED2-87B5-D578C9003A48}"/>
    <hyperlink ref="A101" r:id="rId199" display="https://finance.yahoo.com/quote/AMZN260515P00370000/" xr:uid="{F95B6E2E-E036-4AAD-9682-D60AA40A41D2}"/>
    <hyperlink ref="F101" r:id="rId200" display="https://finance.yahoo.com/quote/AMZN/options/?straddle=false&amp;strike=370&amp;type=all" xr:uid="{CB6A3472-FF14-4617-AE30-B85A1BF8470A}"/>
    <hyperlink ref="A103" r:id="rId201" display="https://finance.yahoo.com/quote/AMZN260515C00105000/" xr:uid="{E138883B-1E0A-424B-A0DB-6AA51ED6755C}"/>
    <hyperlink ref="F103" r:id="rId202" display="https://finance.yahoo.com/quote/AMZN/options/?straddle=false&amp;strike=105&amp;type=all" xr:uid="{AAC27AE1-616B-4DC1-A8CC-92F4034532D6}"/>
    <hyperlink ref="A104" r:id="rId203" display="https://finance.yahoo.com/quote/AMZN260515C00110000/" xr:uid="{A4CD8D44-C37F-442D-9C17-9017F51435DF}"/>
    <hyperlink ref="F104" r:id="rId204" display="https://finance.yahoo.com/quote/AMZN/options/?straddle=false&amp;strike=110&amp;type=all" xr:uid="{F9545D8A-6C78-48FC-BDE3-71D9D553090B}"/>
    <hyperlink ref="A105" r:id="rId205" display="https://finance.yahoo.com/quote/AMZN260515C00115000/" xr:uid="{68379B45-2FD9-419C-957C-7ABDE8970448}"/>
    <hyperlink ref="F105" r:id="rId206" display="https://finance.yahoo.com/quote/AMZN/options/?straddle=false&amp;strike=115&amp;type=all" xr:uid="{CA35F937-FE2C-40F3-B9B0-844A78157326}"/>
    <hyperlink ref="A106" r:id="rId207" display="https://finance.yahoo.com/quote/AMZN260515C00120000/" xr:uid="{4954476E-6929-41A0-B538-B9E58278F876}"/>
    <hyperlink ref="F106" r:id="rId208" display="https://finance.yahoo.com/quote/AMZN/options/?straddle=false&amp;strike=120&amp;type=all" xr:uid="{A1783F45-C131-446B-A515-48AA486485A6}"/>
    <hyperlink ref="A107" r:id="rId209" display="https://finance.yahoo.com/quote/AMZN260515C00125000/" xr:uid="{7F862AF8-078A-4E22-9376-4D17E6B4F3E8}"/>
    <hyperlink ref="F107" r:id="rId210" display="https://finance.yahoo.com/quote/AMZN/options/?straddle=false&amp;strike=125&amp;type=all" xr:uid="{1E655C65-B80D-47BA-8B8D-F0D4EDD0A58F}"/>
    <hyperlink ref="A108" r:id="rId211" display="https://finance.yahoo.com/quote/AMZN260515C00130000/" xr:uid="{42BA5784-6551-4F48-A80D-1C74DB8C0D55}"/>
    <hyperlink ref="F108" r:id="rId212" display="https://finance.yahoo.com/quote/AMZN/options/?straddle=false&amp;strike=130&amp;type=all" xr:uid="{C05CD97E-C14E-4358-9FDA-40962ADB8EB0}"/>
    <hyperlink ref="A109" r:id="rId213" display="https://finance.yahoo.com/quote/AMZN260515C00135000/" xr:uid="{3F429AD0-2D0F-41D2-98B2-08E9946DCFA5}"/>
    <hyperlink ref="F109" r:id="rId214" display="https://finance.yahoo.com/quote/AMZN/options/?straddle=false&amp;strike=135&amp;type=all" xr:uid="{AD7D23E2-8B97-4A61-8BF4-AB0458EC9E48}"/>
    <hyperlink ref="A110" r:id="rId215" display="https://finance.yahoo.com/quote/AMZN260515C00140000/" xr:uid="{E48E83F1-EFC9-4B0B-B6DD-6FBB4F496BC9}"/>
    <hyperlink ref="F110" r:id="rId216" display="https://finance.yahoo.com/quote/AMZN/options/?straddle=false&amp;strike=140&amp;type=all" xr:uid="{9996D75D-B8D1-45B6-88B8-AF9AC7090F0B}"/>
    <hyperlink ref="A111" r:id="rId217" display="https://finance.yahoo.com/quote/AMZN260515C00145000/" xr:uid="{138348CE-607D-4A9A-BDED-C2DCCC8C623C}"/>
    <hyperlink ref="F111" r:id="rId218" display="https://finance.yahoo.com/quote/AMZN/options/?straddle=false&amp;strike=145&amp;type=all" xr:uid="{2D7B7F73-78B2-4F42-8251-FB022A51012B}"/>
    <hyperlink ref="A112" r:id="rId219" display="https://finance.yahoo.com/quote/AMZN260515C00150000/" xr:uid="{85D68510-13D2-430E-9B55-10C133FD4A11}"/>
    <hyperlink ref="F112" r:id="rId220" display="https://finance.yahoo.com/quote/AMZN/options/?straddle=false&amp;strike=150&amp;type=all" xr:uid="{2C475394-CE48-4E86-9D39-347E9BFBF913}"/>
    <hyperlink ref="A113" r:id="rId221" display="https://finance.yahoo.com/quote/AMZN260515C00155000/" xr:uid="{2753FAC9-34B8-44F9-93A8-EDF2E909DDF9}"/>
    <hyperlink ref="F113" r:id="rId222" display="https://finance.yahoo.com/quote/AMZN/options/?straddle=false&amp;strike=155&amp;type=all" xr:uid="{AC74D55C-9308-4ED0-A330-629AC8313C4A}"/>
    <hyperlink ref="A114" r:id="rId223" display="https://finance.yahoo.com/quote/AMZN260515C00160000/" xr:uid="{E7A21D56-F625-4320-AC29-9C121D27F53E}"/>
    <hyperlink ref="F114" r:id="rId224" display="https://finance.yahoo.com/quote/AMZN/options/?straddle=false&amp;strike=160&amp;type=all" xr:uid="{949DDD67-68C7-4A4D-9E71-713BD26A006C}"/>
    <hyperlink ref="A115" r:id="rId225" display="https://finance.yahoo.com/quote/AMZN260515C00165000/" xr:uid="{C11B8874-0F07-4344-830E-D2278A5F5279}"/>
    <hyperlink ref="F115" r:id="rId226" display="https://finance.yahoo.com/quote/AMZN/options/?straddle=false&amp;strike=165&amp;type=all" xr:uid="{C2BE684C-56FB-4AA6-833A-665F23EF0347}"/>
    <hyperlink ref="A116" r:id="rId227" display="https://finance.yahoo.com/quote/AMZN260515C00170000/" xr:uid="{A23E3DEC-0966-4397-9CA1-BD439F7A30A9}"/>
    <hyperlink ref="F116" r:id="rId228" display="https://finance.yahoo.com/quote/AMZN/options/?straddle=false&amp;strike=170&amp;type=all" xr:uid="{13B5AF1B-1331-4235-A7D2-4335867CB7C5}"/>
    <hyperlink ref="A117" r:id="rId229" display="https://finance.yahoo.com/quote/AMZN260515C00175000/" xr:uid="{8E8310FB-2DD6-43FE-AE9B-77E26CBAB6EE}"/>
    <hyperlink ref="F117" r:id="rId230" display="https://finance.yahoo.com/quote/AMZN/options/?straddle=false&amp;strike=175&amp;type=all" xr:uid="{B7145543-495E-4419-950E-EE9634792C01}"/>
    <hyperlink ref="A118" r:id="rId231" display="https://finance.yahoo.com/quote/AMZN260515C00180000/" xr:uid="{B47F8D1A-E1C5-47CA-B480-D51C4E89BEEF}"/>
    <hyperlink ref="F118" r:id="rId232" display="https://finance.yahoo.com/quote/AMZN/options/?straddle=false&amp;strike=180&amp;type=all" xr:uid="{FEDB1540-86A9-4C20-9842-820E4911E44A}"/>
    <hyperlink ref="A119" r:id="rId233" display="https://finance.yahoo.com/quote/AMZN260515C00185000/" xr:uid="{7690BD9E-4D2B-45E2-91A7-6F72CE45EA71}"/>
    <hyperlink ref="F119" r:id="rId234" display="https://finance.yahoo.com/quote/AMZN/options/?straddle=false&amp;strike=185&amp;type=all" xr:uid="{038F4467-108E-4C1E-A1B4-6F20AD2323CD}"/>
    <hyperlink ref="A120" r:id="rId235" display="https://finance.yahoo.com/quote/AMZN260515C00190000/" xr:uid="{E32DC96B-5B08-42E2-B47C-C9DAA2234BAE}"/>
    <hyperlink ref="F120" r:id="rId236" display="https://finance.yahoo.com/quote/AMZN/options/?straddle=false&amp;strike=190&amp;type=all" xr:uid="{CE86616D-8757-4296-83C3-910ED3450F2A}"/>
    <hyperlink ref="A121" r:id="rId237" display="https://finance.yahoo.com/quote/AMZN260515C00195000/" xr:uid="{52979392-C3EC-4AFF-A626-513B38A579A7}"/>
    <hyperlink ref="F121" r:id="rId238" display="https://finance.yahoo.com/quote/AMZN/options/?straddle=false&amp;strike=195&amp;type=all" xr:uid="{C292A979-AB98-4D80-AD1D-DC0AC16735D8}"/>
    <hyperlink ref="A122" r:id="rId239" display="https://finance.yahoo.com/quote/AMZN260515C00200000/" xr:uid="{FBB72E5D-5270-4679-8A1A-09D039E4B648}"/>
    <hyperlink ref="F122" r:id="rId240" display="https://finance.yahoo.com/quote/AMZN/options/?straddle=false&amp;strike=200&amp;type=all" xr:uid="{BAD5E3BC-1FD4-4F28-BBDD-4BBF04D1AC47}"/>
    <hyperlink ref="A123" r:id="rId241" display="https://finance.yahoo.com/quote/AMZN260515C00205000/" xr:uid="{1370898A-5E24-4794-B371-AE3B1676955B}"/>
    <hyperlink ref="F123" r:id="rId242" display="https://finance.yahoo.com/quote/AMZN/options/?straddle=false&amp;strike=205&amp;type=all" xr:uid="{C524C6C6-929F-4312-B90F-ED02FAC588FB}"/>
    <hyperlink ref="A124" r:id="rId243" display="https://finance.yahoo.com/quote/AMZN260515C00210000/" xr:uid="{60431336-BA21-4AEA-8D2B-DEEE8B312F5D}"/>
    <hyperlink ref="F124" r:id="rId244" display="https://finance.yahoo.com/quote/AMZN/options/?straddle=false&amp;strike=210&amp;type=all" xr:uid="{DEFA1131-7E0A-4C46-9578-A458255B4983}"/>
    <hyperlink ref="A125" r:id="rId245" display="https://finance.yahoo.com/quote/AMZN260515C00215000/" xr:uid="{0CE2C94D-36F1-4FAF-8B07-6585F80DD435}"/>
    <hyperlink ref="F125" r:id="rId246" display="https://finance.yahoo.com/quote/AMZN/options/?straddle=false&amp;strike=215&amp;type=all" xr:uid="{74BBC6DF-88B9-4CD8-B89F-78E7BB31B50C}"/>
    <hyperlink ref="A126" r:id="rId247" display="https://finance.yahoo.com/quote/AMZN260515C00220000/" xr:uid="{242B5B9E-3A72-4B2C-AC87-00A6FB510518}"/>
    <hyperlink ref="F126" r:id="rId248" display="https://finance.yahoo.com/quote/AMZN/options/?straddle=false&amp;strike=220&amp;type=all" xr:uid="{D3CFB51E-BD0A-471F-BFA3-510F8646F3CB}"/>
    <hyperlink ref="A127" r:id="rId249" display="https://finance.yahoo.com/quote/AMZN260515C00225000/" xr:uid="{2B3B387A-ADFA-49D9-8846-95D028292E77}"/>
    <hyperlink ref="F127" r:id="rId250" display="https://finance.yahoo.com/quote/AMZN/options/?straddle=false&amp;strike=225&amp;type=all" xr:uid="{90C4F1E3-FB19-4047-9697-8421F1ED44EB}"/>
    <hyperlink ref="A128" r:id="rId251" display="https://finance.yahoo.com/quote/AMZN260515C00230000/" xr:uid="{8EFE55C2-9247-4E11-8CD2-B95D896F95E1}"/>
    <hyperlink ref="F128" r:id="rId252" display="https://finance.yahoo.com/quote/AMZN/options/?straddle=false&amp;strike=230&amp;type=all" xr:uid="{91C90D27-AFBD-4E93-ABC8-4BF78A169B79}"/>
    <hyperlink ref="A129" r:id="rId253" display="https://finance.yahoo.com/quote/AMZN260515C00235000/" xr:uid="{3F40700B-763B-4712-94D9-D01C52079389}"/>
    <hyperlink ref="F129" r:id="rId254" display="https://finance.yahoo.com/quote/AMZN/options/?straddle=false&amp;strike=235&amp;type=all" xr:uid="{2B1270E0-61C2-4D4D-AF31-C4DDA9883077}"/>
    <hyperlink ref="A130" r:id="rId255" display="https://finance.yahoo.com/quote/AMZN260515C00240000/" xr:uid="{ACAC38E2-B84C-4B3F-A563-C4C74ED2CCF7}"/>
    <hyperlink ref="F130" r:id="rId256" display="https://finance.yahoo.com/quote/AMZN/options/?straddle=false&amp;strike=240&amp;type=all" xr:uid="{76342FE7-BE9F-4648-886B-44482DF8B780}"/>
    <hyperlink ref="A131" r:id="rId257" display="https://finance.yahoo.com/quote/AMZN260515C00245000/" xr:uid="{FDF99E88-66A4-4DB2-9B1E-C99EA024FD6D}"/>
    <hyperlink ref="F131" r:id="rId258" display="https://finance.yahoo.com/quote/AMZN/options/?straddle=false&amp;strike=245&amp;type=all" xr:uid="{958FC5A8-B148-43EC-B0C3-152D0BD2142F}"/>
    <hyperlink ref="A132" r:id="rId259" display="https://finance.yahoo.com/quote/AMZN260515C00250000/" xr:uid="{CAFA9DEA-7265-493F-9031-C066EDC80F51}"/>
    <hyperlink ref="F132" r:id="rId260" display="https://finance.yahoo.com/quote/AMZN/options/?straddle=false&amp;strike=250&amp;type=all" xr:uid="{9209EFF8-766F-4D6E-9D52-2C34BAC53B1E}"/>
    <hyperlink ref="A133" r:id="rId261" display="https://finance.yahoo.com/quote/AMZN260515C00255000/" xr:uid="{87F29D43-941F-45B3-97F0-C388ACEA44F1}"/>
    <hyperlink ref="F133" r:id="rId262" display="https://finance.yahoo.com/quote/AMZN/options/?straddle=false&amp;strike=255&amp;type=all" xr:uid="{BC4875ED-8EFD-4C07-967C-7274F558CE69}"/>
    <hyperlink ref="A134" r:id="rId263" display="https://finance.yahoo.com/quote/AMZN260515C00260000/" xr:uid="{BB7B610E-C717-4BC3-B6EB-68251056A2D3}"/>
    <hyperlink ref="F134" r:id="rId264" display="https://finance.yahoo.com/quote/AMZN/options/?straddle=false&amp;strike=260&amp;type=all" xr:uid="{E0FA5CDA-946C-4284-80A0-D1BB04F7BC3A}"/>
    <hyperlink ref="A135" r:id="rId265" display="https://finance.yahoo.com/quote/AMZN260515C00265000/" xr:uid="{64EEC76E-7E66-4310-8F36-D0C0D5C4192B}"/>
    <hyperlink ref="F135" r:id="rId266" display="https://finance.yahoo.com/quote/AMZN/options/?straddle=false&amp;strike=265&amp;type=all" xr:uid="{10DA8FFA-86F4-417A-80D4-6B90B9F6A234}"/>
    <hyperlink ref="A136" r:id="rId267" display="https://finance.yahoo.com/quote/AMZN260515C00270000/" xr:uid="{8B72DC05-86FD-4425-8C91-B7F26A7B0F82}"/>
    <hyperlink ref="F136" r:id="rId268" display="https://finance.yahoo.com/quote/AMZN/options/?straddle=false&amp;strike=270&amp;type=all" xr:uid="{402745C6-F85D-49F4-A559-BFC91BB60758}"/>
    <hyperlink ref="A137" r:id="rId269" display="https://finance.yahoo.com/quote/AMZN260515C00275000/" xr:uid="{68BD9736-9CEC-4669-BCAE-AAB2361FB512}"/>
    <hyperlink ref="F137" r:id="rId270" display="https://finance.yahoo.com/quote/AMZN/options/?straddle=false&amp;strike=275&amp;type=all" xr:uid="{14C8FA62-4518-4809-87D1-79F725044B3D}"/>
    <hyperlink ref="A138" r:id="rId271" display="https://finance.yahoo.com/quote/AMZN260515C00280000/" xr:uid="{4B810588-AADF-4437-9C63-0C255E4EAA8F}"/>
    <hyperlink ref="F138" r:id="rId272" display="https://finance.yahoo.com/quote/AMZN/options/?straddle=false&amp;strike=280&amp;type=all" xr:uid="{46D26091-6410-44D1-AAF4-E62ECE4BE4E2}"/>
    <hyperlink ref="A139" r:id="rId273" display="https://finance.yahoo.com/quote/AMZN260515C00285000/" xr:uid="{78B40B7C-0E87-4D8D-98DD-DDB14A596F65}"/>
    <hyperlink ref="F139" r:id="rId274" display="https://finance.yahoo.com/quote/AMZN/options/?straddle=false&amp;strike=285&amp;type=all" xr:uid="{0B68CBD7-8850-4565-9C2A-3BB5633FE765}"/>
    <hyperlink ref="A140" r:id="rId275" display="https://finance.yahoo.com/quote/AMZN260515C00290000/" xr:uid="{1F4B73E5-0AA2-4285-8FCD-3A719DCF4B0C}"/>
    <hyperlink ref="F140" r:id="rId276" display="https://finance.yahoo.com/quote/AMZN/options/?straddle=false&amp;strike=290&amp;type=all" xr:uid="{AC3EED5E-9522-48A2-BBE7-9EAA12B493B0}"/>
    <hyperlink ref="A141" r:id="rId277" display="https://finance.yahoo.com/quote/AMZN260515C00295000/" xr:uid="{A53B735A-A8F9-46DC-A447-8D3A1933FC7E}"/>
    <hyperlink ref="F141" r:id="rId278" display="https://finance.yahoo.com/quote/AMZN/options/?straddle=false&amp;strike=295&amp;type=all" xr:uid="{5E1DA06B-882A-46CA-82E0-B342FC758F66}"/>
    <hyperlink ref="A142" r:id="rId279" display="https://finance.yahoo.com/quote/AMZN260515C00300000/" xr:uid="{A402BE87-DC18-428C-B0AD-97B794CA8F8F}"/>
    <hyperlink ref="F142" r:id="rId280" display="https://finance.yahoo.com/quote/AMZN/options/?straddle=false&amp;strike=300&amp;type=all" xr:uid="{225DE688-DF00-49B0-A436-CEFDC511836A}"/>
    <hyperlink ref="A143" r:id="rId281" display="https://finance.yahoo.com/quote/AMZN260515C00305000/" xr:uid="{2C0D087D-314A-4230-AB40-4AFA3FDD462B}"/>
    <hyperlink ref="F143" r:id="rId282" display="https://finance.yahoo.com/quote/AMZN/options/?straddle=false&amp;strike=305&amp;type=all" xr:uid="{14C7CDF6-4350-4ACC-8BDE-9829599541D5}"/>
    <hyperlink ref="A144" r:id="rId283" display="https://finance.yahoo.com/quote/AMZN260515C00310000/" xr:uid="{67B330DA-399B-455E-830A-4068D46B7B3D}"/>
    <hyperlink ref="F144" r:id="rId284" display="https://finance.yahoo.com/quote/AMZN/options/?straddle=false&amp;strike=310&amp;type=all" xr:uid="{9B309BC4-7993-473E-BC6F-4FEA4DF74F19}"/>
    <hyperlink ref="A145" r:id="rId285" display="https://finance.yahoo.com/quote/AMZN260515C00315000/" xr:uid="{1D6C5B25-A244-4FE4-A5B7-E5F7B34D8E56}"/>
    <hyperlink ref="F145" r:id="rId286" display="https://finance.yahoo.com/quote/AMZN/options/?straddle=false&amp;strike=315&amp;type=all" xr:uid="{ED153B40-E8C2-4A4D-A154-7C383A62BE93}"/>
    <hyperlink ref="A146" r:id="rId287" display="https://finance.yahoo.com/quote/AMZN260515C00320000/" xr:uid="{90214D19-48BB-4F03-927A-5BCF9228E556}"/>
    <hyperlink ref="F146" r:id="rId288" display="https://finance.yahoo.com/quote/AMZN/options/?straddle=false&amp;strike=320&amp;type=all" xr:uid="{BF86F488-5526-4BDB-A323-099C2C2E3B55}"/>
    <hyperlink ref="A147" r:id="rId289" display="https://finance.yahoo.com/quote/AMZN260515C00325000/" xr:uid="{8736BE7D-203A-4FDD-927C-E063DBF6F690}"/>
    <hyperlink ref="F147" r:id="rId290" display="https://finance.yahoo.com/quote/AMZN/options/?straddle=false&amp;strike=325&amp;type=all" xr:uid="{E754C4A8-8DDE-4ACC-BE52-5BD22C40A4CA}"/>
    <hyperlink ref="A148" r:id="rId291" display="https://finance.yahoo.com/quote/AMZN260515C00330000/" xr:uid="{893A7F98-7532-40B9-984A-59A96E34174C}"/>
    <hyperlink ref="F148" r:id="rId292" display="https://finance.yahoo.com/quote/AMZN/options/?straddle=false&amp;strike=330&amp;type=all" xr:uid="{4DF2D59D-E8E4-473E-B571-9465644AF410}"/>
    <hyperlink ref="A149" r:id="rId293" display="https://finance.yahoo.com/quote/AMZN260515C00340000/" xr:uid="{3DA9B41A-5C49-4995-8E87-75465CA6A51D}"/>
    <hyperlink ref="F149" r:id="rId294" display="https://finance.yahoo.com/quote/AMZN/options/?straddle=false&amp;strike=340&amp;type=all" xr:uid="{00D00B95-A768-4FA9-B82B-8E16BEB16DED}"/>
    <hyperlink ref="A150" r:id="rId295" display="https://finance.yahoo.com/quote/AMZN260515C00350000/" xr:uid="{DB45D8DA-BCBF-4B88-84C2-AF7589F751D8}"/>
    <hyperlink ref="F150" r:id="rId296" display="https://finance.yahoo.com/quote/AMZN/options/?straddle=false&amp;strike=350&amp;type=all" xr:uid="{99DD0E9B-636F-46CD-840E-17E66D43AB7C}"/>
    <hyperlink ref="A151" r:id="rId297" display="https://finance.yahoo.com/quote/AMZN260515C00360000/" xr:uid="{18328F80-F03E-4A56-ACF8-B1687357D60C}"/>
    <hyperlink ref="F151" r:id="rId298" display="https://finance.yahoo.com/quote/AMZN/options/?straddle=false&amp;strike=360&amp;type=all" xr:uid="{D09E1B63-0405-4F64-8749-DDEF9C88E181}"/>
    <hyperlink ref="A152" r:id="rId299" display="https://finance.yahoo.com/quote/AMZN260515C00370000/" xr:uid="{90A45A55-ACC1-4296-85C3-F9795627D0EA}"/>
    <hyperlink ref="F152" r:id="rId300" display="https://finance.yahoo.com/quote/AMZN/options/?straddle=false&amp;strike=370&amp;type=all" xr:uid="{42B8C83D-3A9C-41BD-8E7B-FBF6249932A8}"/>
    <hyperlink ref="A154" r:id="rId301" display="https://finance.yahoo.com/quote/AMZN260515P00105000/" xr:uid="{02B7F683-D7B2-4952-9D2C-6758AD04F293}"/>
    <hyperlink ref="F154" r:id="rId302" display="https://finance.yahoo.com/quote/AMZN/options/?straddle=false&amp;strike=105&amp;type=all" xr:uid="{3D0D357A-0E51-4447-86D0-22D15BF33ED7}"/>
    <hyperlink ref="A155" r:id="rId303" display="https://finance.yahoo.com/quote/AMZN260515P00110000/" xr:uid="{253B3A7F-0D46-4DD8-AE1D-3DB0045DBB04}"/>
    <hyperlink ref="F155" r:id="rId304" display="https://finance.yahoo.com/quote/AMZN/options/?straddle=false&amp;strike=110&amp;type=all" xr:uid="{4FD86291-16F2-436A-9EF0-9E1AF9129D89}"/>
    <hyperlink ref="A156" r:id="rId305" display="https://finance.yahoo.com/quote/AMZN260515P00115000/" xr:uid="{E49F23E6-6BD9-4F00-813A-BBC5089C4883}"/>
    <hyperlink ref="F156" r:id="rId306" display="https://finance.yahoo.com/quote/AMZN/options/?straddle=false&amp;strike=115&amp;type=all" xr:uid="{FB226126-8226-4554-AC9D-712B3F131EE9}"/>
    <hyperlink ref="A157" r:id="rId307" display="https://finance.yahoo.com/quote/AMZN260515P00120000/" xr:uid="{0942290D-77F0-4D81-88D5-A6A5DFB7B033}"/>
    <hyperlink ref="F157" r:id="rId308" display="https://finance.yahoo.com/quote/AMZN/options/?straddle=false&amp;strike=120&amp;type=all" xr:uid="{634B865E-745D-46BD-A767-B269708EABDC}"/>
    <hyperlink ref="A158" r:id="rId309" display="https://finance.yahoo.com/quote/AMZN260515P00125000/" xr:uid="{5F8604A0-B4DA-4681-9FF4-9591D806E16C}"/>
    <hyperlink ref="F158" r:id="rId310" display="https://finance.yahoo.com/quote/AMZN/options/?straddle=false&amp;strike=125&amp;type=all" xr:uid="{43420B16-7D86-4C97-8B34-799BF285BD45}"/>
    <hyperlink ref="A159" r:id="rId311" display="https://finance.yahoo.com/quote/AMZN260515P00130000/" xr:uid="{4EC47A08-1646-4315-B1CF-37339C3B28F8}"/>
    <hyperlink ref="F159" r:id="rId312" display="https://finance.yahoo.com/quote/AMZN/options/?straddle=false&amp;strike=130&amp;type=all" xr:uid="{46A95BEB-5F81-411E-BEEE-9F24386F25F0}"/>
    <hyperlink ref="A160" r:id="rId313" display="https://finance.yahoo.com/quote/AMZN260515P00135000/" xr:uid="{4DC54101-3747-4BF4-AE86-105A2D776090}"/>
    <hyperlink ref="F160" r:id="rId314" display="https://finance.yahoo.com/quote/AMZN/options/?straddle=false&amp;strike=135&amp;type=all" xr:uid="{AA4028A1-64FA-4873-985D-A76AA66F7AA9}"/>
    <hyperlink ref="A161" r:id="rId315" display="https://finance.yahoo.com/quote/AMZN260515P00140000/" xr:uid="{BAFE70A4-D378-4027-8BAC-D255B56FEB95}"/>
    <hyperlink ref="F161" r:id="rId316" display="https://finance.yahoo.com/quote/AMZN/options/?straddle=false&amp;strike=140&amp;type=all" xr:uid="{5D82AD98-734D-48FE-98B7-0C63E5F67FF3}"/>
    <hyperlink ref="A162" r:id="rId317" display="https://finance.yahoo.com/quote/AMZN260515P00145000/" xr:uid="{F65A9F0C-45B1-461C-A9BE-A8616B5DA25C}"/>
    <hyperlink ref="F162" r:id="rId318" display="https://finance.yahoo.com/quote/AMZN/options/?straddle=false&amp;strike=145&amp;type=all" xr:uid="{40FC4E32-8B40-4E69-84D7-E735C7F1CB6A}"/>
    <hyperlink ref="A163" r:id="rId319" display="https://finance.yahoo.com/quote/AMZN260515P00150000/" xr:uid="{74B21C91-6EDD-4E96-8A40-BC3D23FE5740}"/>
    <hyperlink ref="F163" r:id="rId320" display="https://finance.yahoo.com/quote/AMZN/options/?straddle=false&amp;strike=150&amp;type=all" xr:uid="{E0BE7E19-BCDE-4EE8-8D61-B2DB02B41A50}"/>
    <hyperlink ref="A164" r:id="rId321" display="https://finance.yahoo.com/quote/AMZN260515P00155000/" xr:uid="{AA956348-6EF9-4AD0-BFF0-D1E2A82EFE07}"/>
    <hyperlink ref="F164" r:id="rId322" display="https://finance.yahoo.com/quote/AMZN/options/?straddle=false&amp;strike=155&amp;type=all" xr:uid="{5D9125D3-A843-4453-A49C-B5FDB925E8EB}"/>
    <hyperlink ref="A165" r:id="rId323" display="https://finance.yahoo.com/quote/AMZN260515P00160000/" xr:uid="{23D59DB6-7351-47DF-8E3C-7C7CB5B1CDAF}"/>
    <hyperlink ref="F165" r:id="rId324" display="https://finance.yahoo.com/quote/AMZN/options/?straddle=false&amp;strike=160&amp;type=all" xr:uid="{3109E5A6-C428-4126-BA27-FC6C32DFFCE5}"/>
    <hyperlink ref="A166" r:id="rId325" display="https://finance.yahoo.com/quote/AMZN260515P00165000/" xr:uid="{95144337-445F-4D40-89B9-925B32E86081}"/>
    <hyperlink ref="F166" r:id="rId326" display="https://finance.yahoo.com/quote/AMZN/options/?straddle=false&amp;strike=165&amp;type=all" xr:uid="{6AAC114D-06C2-48AB-9DD6-800E70F358A4}"/>
    <hyperlink ref="A167" r:id="rId327" display="https://finance.yahoo.com/quote/AMZN260515P00170000/" xr:uid="{C78B6CEB-666F-4C70-A674-DCFE9E41C5EB}"/>
    <hyperlink ref="F167" r:id="rId328" display="https://finance.yahoo.com/quote/AMZN/options/?straddle=false&amp;strike=170&amp;type=all" xr:uid="{D13730A9-C0D6-4D53-BDC2-D0949C43C51D}"/>
    <hyperlink ref="A168" r:id="rId329" display="https://finance.yahoo.com/quote/AMZN260515P00175000/" xr:uid="{946DBFD4-6384-4806-A91C-F91BEC9EEC96}"/>
    <hyperlink ref="F168" r:id="rId330" display="https://finance.yahoo.com/quote/AMZN/options/?straddle=false&amp;strike=175&amp;type=all" xr:uid="{51E7702E-60C8-42B5-BA2A-A20FA2A8D2E7}"/>
    <hyperlink ref="A169" r:id="rId331" display="https://finance.yahoo.com/quote/AMZN260515P00180000/" xr:uid="{14560923-1FD0-4ECE-ABF3-EF00CCB7DFCC}"/>
    <hyperlink ref="F169" r:id="rId332" display="https://finance.yahoo.com/quote/AMZN/options/?straddle=false&amp;strike=180&amp;type=all" xr:uid="{53978F12-6902-440F-9E71-0625986AEECE}"/>
    <hyperlink ref="A170" r:id="rId333" display="https://finance.yahoo.com/quote/AMZN260515P00185000/" xr:uid="{41EB1C5D-BEAF-4B37-AB99-4AEDB5674DD8}"/>
    <hyperlink ref="F170" r:id="rId334" display="https://finance.yahoo.com/quote/AMZN/options/?straddle=false&amp;strike=185&amp;type=all" xr:uid="{AB13838E-A8F7-4C95-9C81-D36EA1FF3602}"/>
    <hyperlink ref="A171" r:id="rId335" display="https://finance.yahoo.com/quote/AMZN260515P00190000/" xr:uid="{37677E8E-6588-4756-90D4-790B7BC136AC}"/>
    <hyperlink ref="F171" r:id="rId336" display="https://finance.yahoo.com/quote/AMZN/options/?straddle=false&amp;strike=190&amp;type=all" xr:uid="{A5AD442E-A1AF-4B19-A250-29851BA7E603}"/>
    <hyperlink ref="A172" r:id="rId337" display="https://finance.yahoo.com/quote/AMZN260515P00195000/" xr:uid="{85B612F1-E30A-495D-98DB-82185B40EF0F}"/>
    <hyperlink ref="F172" r:id="rId338" display="https://finance.yahoo.com/quote/AMZN/options/?straddle=false&amp;strike=195&amp;type=all" xr:uid="{DA71525D-F561-4B25-B30E-978358B2E57D}"/>
    <hyperlink ref="A173" r:id="rId339" display="https://finance.yahoo.com/quote/AMZN260515P00200000/" xr:uid="{FC2CED0E-650E-489C-9801-C59B3B642402}"/>
    <hyperlink ref="F173" r:id="rId340" display="https://finance.yahoo.com/quote/AMZN/options/?straddle=false&amp;strike=200&amp;type=all" xr:uid="{26C35181-6BC7-47F5-82C6-3F1BC3AFEE5F}"/>
    <hyperlink ref="A174" r:id="rId341" display="https://finance.yahoo.com/quote/AMZN260515P00205000/" xr:uid="{DDA35DAB-2B54-4E9B-8C74-6CD58108D221}"/>
    <hyperlink ref="F174" r:id="rId342" display="https://finance.yahoo.com/quote/AMZN/options/?straddle=false&amp;strike=205&amp;type=all" xr:uid="{0F37417A-AC4D-4E1D-8BF8-A502ED5DBE87}"/>
    <hyperlink ref="A175" r:id="rId343" display="https://finance.yahoo.com/quote/AMZN260515P00210000/" xr:uid="{D27486A0-F7BF-4874-AF74-373EE08A6235}"/>
    <hyperlink ref="F175" r:id="rId344" display="https://finance.yahoo.com/quote/AMZN/options/?straddle=false&amp;strike=210&amp;type=all" xr:uid="{947EBB05-BBDB-42FF-9CB5-68AF4F977129}"/>
    <hyperlink ref="A176" r:id="rId345" display="https://finance.yahoo.com/quote/AMZN260515P00215000/" xr:uid="{F94FD995-A22F-45E1-A9AD-4010600E50CB}"/>
    <hyperlink ref="F176" r:id="rId346" display="https://finance.yahoo.com/quote/AMZN/options/?straddle=false&amp;strike=215&amp;type=all" xr:uid="{BA160AAA-BB21-478A-8376-9CDA3CD83FA5}"/>
    <hyperlink ref="A177" r:id="rId347" display="https://finance.yahoo.com/quote/AMZN260515P00220000/" xr:uid="{7A29A54A-BA11-4290-91A7-657DC13552A2}"/>
    <hyperlink ref="F177" r:id="rId348" display="https://finance.yahoo.com/quote/AMZN/options/?straddle=false&amp;strike=220&amp;type=all" xr:uid="{6A0476E8-3DFA-48B4-B82D-3EFBD186E290}"/>
    <hyperlink ref="A178" r:id="rId349" display="https://finance.yahoo.com/quote/AMZN260515P00225000/" xr:uid="{FE98F7E3-E89A-4CD2-8739-DBF64D78A747}"/>
    <hyperlink ref="F178" r:id="rId350" display="https://finance.yahoo.com/quote/AMZN/options/?straddle=false&amp;strike=225&amp;type=all" xr:uid="{64CB224D-B6B2-447B-A061-4188E86AB15A}"/>
    <hyperlink ref="A179" r:id="rId351" display="https://finance.yahoo.com/quote/AMZN260515P00230000/" xr:uid="{E9C6E3FC-213A-4952-B113-FD1A97E8277C}"/>
    <hyperlink ref="F179" r:id="rId352" display="https://finance.yahoo.com/quote/AMZN/options/?straddle=false&amp;strike=230&amp;type=all" xr:uid="{F7BC585D-9499-4A2B-B575-84808670072C}"/>
    <hyperlink ref="A180" r:id="rId353" display="https://finance.yahoo.com/quote/AMZN260515P00235000/" xr:uid="{AAED442D-07BC-48E4-81E5-D62087235FE0}"/>
    <hyperlink ref="F180" r:id="rId354" display="https://finance.yahoo.com/quote/AMZN/options/?straddle=false&amp;strike=235&amp;type=all" xr:uid="{0B13B84F-9FBD-40C4-B200-903020A699C3}"/>
    <hyperlink ref="A181" r:id="rId355" display="https://finance.yahoo.com/quote/AMZN260515P00240000/" xr:uid="{6FCAF33C-030E-4853-91D3-76830A6DC380}"/>
    <hyperlink ref="F181" r:id="rId356" display="https://finance.yahoo.com/quote/AMZN/options/?straddle=false&amp;strike=240&amp;type=all" xr:uid="{7D43349A-CD5B-4379-8823-66AF2B896692}"/>
    <hyperlink ref="A182" r:id="rId357" display="https://finance.yahoo.com/quote/AMZN260515P00245000/" xr:uid="{A6D16A27-71D6-4688-94E7-9795D5A352A0}"/>
    <hyperlink ref="F182" r:id="rId358" display="https://finance.yahoo.com/quote/AMZN/options/?straddle=false&amp;strike=245&amp;type=all" xr:uid="{FDCD4240-513C-4467-9631-26AD5DBF1E5B}"/>
    <hyperlink ref="A183" r:id="rId359" display="https://finance.yahoo.com/quote/AMZN260515P00250000/" xr:uid="{5273CA66-CBE6-4B28-83EF-A4E9A5E51A22}"/>
    <hyperlink ref="F183" r:id="rId360" display="https://finance.yahoo.com/quote/AMZN/options/?straddle=false&amp;strike=250&amp;type=all" xr:uid="{53D2D926-3DB0-433D-A61E-55CEA28F3C55}"/>
    <hyperlink ref="A184" r:id="rId361" display="https://finance.yahoo.com/quote/AMZN260515P00255000/" xr:uid="{A67B98E7-996D-4857-918C-3E139ACAFB53}"/>
    <hyperlink ref="F184" r:id="rId362" display="https://finance.yahoo.com/quote/AMZN/options/?straddle=false&amp;strike=255&amp;type=all" xr:uid="{0977DD24-229C-48CE-A091-BB51A47E63E2}"/>
    <hyperlink ref="A185" r:id="rId363" display="https://finance.yahoo.com/quote/AMZN260515P00260000/" xr:uid="{A88AD331-0DD8-4104-82CA-059556D3519D}"/>
    <hyperlink ref="F185" r:id="rId364" display="https://finance.yahoo.com/quote/AMZN/options/?straddle=false&amp;strike=260&amp;type=all" xr:uid="{7654E21F-C92D-4504-8B70-693F1B04AB91}"/>
    <hyperlink ref="A186" r:id="rId365" display="https://finance.yahoo.com/quote/AMZN260515P00265000/" xr:uid="{6E0234FF-F0FA-47EA-A816-E61354FBB1EB}"/>
    <hyperlink ref="F186" r:id="rId366" display="https://finance.yahoo.com/quote/AMZN/options/?straddle=false&amp;strike=265&amp;type=all" xr:uid="{3D0DAC6E-32DE-49E8-A3E4-2A0C56FF3D6B}"/>
    <hyperlink ref="A187" r:id="rId367" display="https://finance.yahoo.com/quote/AMZN260515P00270000/" xr:uid="{0236D4F4-E84B-491E-BF96-A17EF6C35A5C}"/>
    <hyperlink ref="F187" r:id="rId368" display="https://finance.yahoo.com/quote/AMZN/options/?straddle=false&amp;strike=270&amp;type=all" xr:uid="{4B242501-D3CA-4588-8377-CD5DB5AE855F}"/>
    <hyperlink ref="A188" r:id="rId369" display="https://finance.yahoo.com/quote/AMZN260515P00275000/" xr:uid="{E33134E5-C42B-4D64-AED3-A44B354FA55E}"/>
    <hyperlink ref="F188" r:id="rId370" display="https://finance.yahoo.com/quote/AMZN/options/?straddle=false&amp;strike=275&amp;type=all" xr:uid="{F42CD69C-CFC3-4F77-8CCC-10A68A4BE9B4}"/>
    <hyperlink ref="A189" r:id="rId371" display="https://finance.yahoo.com/quote/AMZN260515P00280000/" xr:uid="{7655D6F9-B4D4-4E81-96D5-86B892803CFF}"/>
    <hyperlink ref="F189" r:id="rId372" display="https://finance.yahoo.com/quote/AMZN/options/?straddle=false&amp;strike=280&amp;type=all" xr:uid="{0B0D52EA-FD59-4A72-9083-21DFCF9808BB}"/>
    <hyperlink ref="A190" r:id="rId373" display="https://finance.yahoo.com/quote/AMZN260515P00285000/" xr:uid="{59E48FC7-8209-46BC-A7B8-7EBDF5B62F36}"/>
    <hyperlink ref="F190" r:id="rId374" display="https://finance.yahoo.com/quote/AMZN/options/?straddle=false&amp;strike=285&amp;type=all" xr:uid="{9B99102E-DDD5-431C-92D7-7140C25A584B}"/>
    <hyperlink ref="A191" r:id="rId375" display="https://finance.yahoo.com/quote/AMZN260515P00290000/" xr:uid="{1CDE5E4A-CEBC-4B66-9D74-ECDF272956C0}"/>
    <hyperlink ref="F191" r:id="rId376" display="https://finance.yahoo.com/quote/AMZN/options/?straddle=false&amp;strike=290&amp;type=all" xr:uid="{4E9CC6D1-70D4-4AE0-834F-BF146ED25C5F}"/>
    <hyperlink ref="A192" r:id="rId377" display="https://finance.yahoo.com/quote/AMZN260515P00295000/" xr:uid="{B3DB8711-19A5-49D7-9924-652E3AA54319}"/>
    <hyperlink ref="F192" r:id="rId378" display="https://finance.yahoo.com/quote/AMZN/options/?straddle=false&amp;strike=295&amp;type=all" xr:uid="{AAF5DF65-F7AB-4C68-A434-667F18357011}"/>
    <hyperlink ref="A193" r:id="rId379" display="https://finance.yahoo.com/quote/AMZN260515P00300000/" xr:uid="{F04EE25A-E682-4DAF-9FDD-416AEE8A2131}"/>
    <hyperlink ref="F193" r:id="rId380" display="https://finance.yahoo.com/quote/AMZN/options/?straddle=false&amp;strike=300&amp;type=all" xr:uid="{D08702B1-FDBF-4E49-BB95-BD1FF7A59C9C}"/>
    <hyperlink ref="A194" r:id="rId381" display="https://finance.yahoo.com/quote/AMZN260515P00305000/" xr:uid="{69DFC271-C3AE-441F-B206-375EAE2C3941}"/>
    <hyperlink ref="F194" r:id="rId382" display="https://finance.yahoo.com/quote/AMZN/options/?straddle=false&amp;strike=305&amp;type=all" xr:uid="{C69E0D15-8F29-4E5C-8F93-74A83EF864C8}"/>
    <hyperlink ref="A195" r:id="rId383" display="https://finance.yahoo.com/quote/AMZN260515P00310000/" xr:uid="{EC5A629B-7D9C-4CD9-A857-EAAD883683AD}"/>
    <hyperlink ref="F195" r:id="rId384" display="https://finance.yahoo.com/quote/AMZN/options/?straddle=false&amp;strike=310&amp;type=all" xr:uid="{878DB0D8-3DDD-4EEA-92B2-1A650A6B822D}"/>
    <hyperlink ref="A196" r:id="rId385" display="https://finance.yahoo.com/quote/AMZN260515P00315000/" xr:uid="{024C81CE-C4B4-4DF3-A057-4FE593DB4DD8}"/>
    <hyperlink ref="F196" r:id="rId386" display="https://finance.yahoo.com/quote/AMZN/options/?straddle=false&amp;strike=315&amp;type=all" xr:uid="{A1C8B89A-B157-4915-8DB2-BDC37B7B3604}"/>
    <hyperlink ref="A197" r:id="rId387" display="https://finance.yahoo.com/quote/AMZN260515P00320000/" xr:uid="{AD54C060-3770-4773-AEE1-E916B95D3ADA}"/>
    <hyperlink ref="F197" r:id="rId388" display="https://finance.yahoo.com/quote/AMZN/options/?straddle=false&amp;strike=320&amp;type=all" xr:uid="{F1F99FF7-6C4A-4746-A1CD-96131B4ECC90}"/>
    <hyperlink ref="A198" r:id="rId389" display="https://finance.yahoo.com/quote/AMZN260515P00325000/" xr:uid="{55B37A07-46C7-4F0A-BB0A-8AAAE24E1CB9}"/>
    <hyperlink ref="F198" r:id="rId390" display="https://finance.yahoo.com/quote/AMZN/options/?straddle=false&amp;strike=325&amp;type=all" xr:uid="{F2CA8C10-2B6C-472F-9CAE-873791817D71}"/>
    <hyperlink ref="A199" r:id="rId391" display="https://finance.yahoo.com/quote/AMZN260515P00330000/" xr:uid="{26A0DBD8-03C2-469A-A258-07D934704073}"/>
    <hyperlink ref="F199" r:id="rId392" display="https://finance.yahoo.com/quote/AMZN/options/?straddle=false&amp;strike=330&amp;type=all" xr:uid="{960A73E0-49B5-4A35-8A27-DFAD8C39F16E}"/>
    <hyperlink ref="A200" r:id="rId393" display="https://finance.yahoo.com/quote/AMZN260515P00340000/" xr:uid="{37385CD2-E588-4A3A-A00C-42C8203B1B2E}"/>
    <hyperlink ref="F200" r:id="rId394" display="https://finance.yahoo.com/quote/AMZN/options/?straddle=false&amp;strike=340&amp;type=all" xr:uid="{003AD654-6031-403C-9362-CCEF05C81A81}"/>
    <hyperlink ref="A201" r:id="rId395" display="https://finance.yahoo.com/quote/AMZN260515P00350000/" xr:uid="{AF5457EE-73E9-4EC0-A23D-881E7316627C}"/>
    <hyperlink ref="F201" r:id="rId396" display="https://finance.yahoo.com/quote/AMZN/options/?straddle=false&amp;strike=350&amp;type=all" xr:uid="{ED729361-F7F9-4617-9286-5F80663D3752}"/>
    <hyperlink ref="A202" r:id="rId397" display="https://finance.yahoo.com/quote/AMZN260515P00360000/" xr:uid="{C108BE9C-5598-40E0-AED7-7F7A9AB0E184}"/>
    <hyperlink ref="F202" r:id="rId398" display="https://finance.yahoo.com/quote/AMZN/options/?straddle=false&amp;strike=360&amp;type=all" xr:uid="{5FC7CA42-DB4B-44A4-8E18-DFDA2EA15A42}"/>
    <hyperlink ref="A203" r:id="rId399" display="https://finance.yahoo.com/quote/AMZN260515P00370000/" xr:uid="{F1B7FD42-A866-40B1-8106-E4A72D689E91}"/>
    <hyperlink ref="F203" r:id="rId400" display="https://finance.yahoo.com/quote/AMZN/options/?straddle=false&amp;strike=370&amp;type=all" xr:uid="{0213E303-6D3A-42EA-9752-6935CE5CD7A8}"/>
    <hyperlink ref="A204" r:id="rId401" display="https://finance.yahoo.com/quote/AMZN260515C00105000/" xr:uid="{BD9F2A5F-C89B-BC4A-A201-D23EEB90F106}"/>
    <hyperlink ref="F204" r:id="rId402" display="https://finance.yahoo.com/quote/AMZN/options/?straddle=false&amp;strike=105&amp;type=all" xr:uid="{C71C1403-7602-A242-9DEF-33E9462F4F21}"/>
    <hyperlink ref="A205" r:id="rId403" display="https://finance.yahoo.com/quote/AMZN260515C00110000/" xr:uid="{CFED5E73-49EF-2A43-9D96-EC9AB8CDBF14}"/>
    <hyperlink ref="F205" r:id="rId404" display="https://finance.yahoo.com/quote/AMZN/options/?straddle=false&amp;strike=110&amp;type=all" xr:uid="{04956BB2-E2FD-134E-8574-ADF77C579565}"/>
    <hyperlink ref="A206" r:id="rId405" display="https://finance.yahoo.com/quote/AMZN260515C00115000/" xr:uid="{A595114A-10FB-3748-B7F7-ACC3C2F72C72}"/>
    <hyperlink ref="F206" r:id="rId406" display="https://finance.yahoo.com/quote/AMZN/options/?straddle=false&amp;strike=115&amp;type=all" xr:uid="{EF3B0F25-9CAB-F64A-8145-CBBDBC2F7FDD}"/>
    <hyperlink ref="A207" r:id="rId407" display="https://finance.yahoo.com/quote/AMZN260515C00120000/" xr:uid="{24D0B464-1F18-BB4D-8B63-D59C27C152C0}"/>
    <hyperlink ref="F207" r:id="rId408" display="https://finance.yahoo.com/quote/AMZN/options/?straddle=false&amp;strike=120&amp;type=all" xr:uid="{F241F1CD-AAAC-A642-8F4E-63F13A14BB83}"/>
    <hyperlink ref="A208" r:id="rId409" display="https://finance.yahoo.com/quote/AMZN260515C00125000/" xr:uid="{FE74DE0A-C3D6-9C42-9592-A429433E53E0}"/>
    <hyperlink ref="F208" r:id="rId410" display="https://finance.yahoo.com/quote/AMZN/options/?straddle=false&amp;strike=125&amp;type=all" xr:uid="{846591F2-D802-CD42-958F-40BEB48F70B2}"/>
    <hyperlink ref="A209" r:id="rId411" display="https://finance.yahoo.com/quote/AMZN260515C00130000/" xr:uid="{0E1C5926-F694-0841-8C1B-7C9DB8AD3F82}"/>
    <hyperlink ref="F209" r:id="rId412" display="https://finance.yahoo.com/quote/AMZN/options/?straddle=false&amp;strike=130&amp;type=all" xr:uid="{5921659E-914D-4545-A9D2-49B2D8E8CBB1}"/>
    <hyperlink ref="A210" r:id="rId413" display="https://finance.yahoo.com/quote/AMZN260515C00135000/" xr:uid="{59E591C6-6D16-C442-ADAF-98B9D353D97A}"/>
    <hyperlink ref="F210" r:id="rId414" display="https://finance.yahoo.com/quote/AMZN/options/?straddle=false&amp;strike=135&amp;type=all" xr:uid="{9212FC5E-E5FA-A342-A78E-11F6946A8F52}"/>
    <hyperlink ref="A211" r:id="rId415" display="https://finance.yahoo.com/quote/AMZN260515C00140000/" xr:uid="{FAC71A60-DEB4-B04A-B824-DBE991E6DB15}"/>
    <hyperlink ref="F211" r:id="rId416" display="https://finance.yahoo.com/quote/AMZN/options/?straddle=false&amp;strike=140&amp;type=all" xr:uid="{600C0744-A889-E14C-B877-C522115C8DDB}"/>
    <hyperlink ref="A212" r:id="rId417" display="https://finance.yahoo.com/quote/AMZN260515C00145000/" xr:uid="{72F3677F-CA3B-E440-B279-D15C230FEE86}"/>
    <hyperlink ref="F212" r:id="rId418" display="https://finance.yahoo.com/quote/AMZN/options/?straddle=false&amp;strike=145&amp;type=all" xr:uid="{722612B5-A1D1-7946-9862-D58B4C7917CB}"/>
    <hyperlink ref="A213" r:id="rId419" display="https://finance.yahoo.com/quote/AMZN260515C00150000/" xr:uid="{998A0D0B-466E-7D48-AC1D-CDA34B6D9EAB}"/>
    <hyperlink ref="F213" r:id="rId420" display="https://finance.yahoo.com/quote/AMZN/options/?straddle=false&amp;strike=150&amp;type=all" xr:uid="{9431BFEE-450F-C245-A560-8A0DBB19BEF2}"/>
    <hyperlink ref="A214" r:id="rId421" display="https://finance.yahoo.com/quote/AMZN260515C00155000/" xr:uid="{37EDD824-572A-3A47-9254-9E45BB2CF664}"/>
    <hyperlink ref="F214" r:id="rId422" display="https://finance.yahoo.com/quote/AMZN/options/?straddle=false&amp;strike=155&amp;type=all" xr:uid="{F9193638-5EA0-2244-B719-9ADB73CBB3EC}"/>
    <hyperlink ref="A215" r:id="rId423" display="https://finance.yahoo.com/quote/AMZN260515C00160000/" xr:uid="{764E31C8-E643-024A-95E2-7AA51C77DCAB}"/>
    <hyperlink ref="F215" r:id="rId424" display="https://finance.yahoo.com/quote/AMZN/options/?straddle=false&amp;strike=160&amp;type=all" xr:uid="{E8B8DCBE-0298-2141-BD22-71F6F2D49BE9}"/>
    <hyperlink ref="A216" r:id="rId425" display="https://finance.yahoo.com/quote/AMZN260515C00165000/" xr:uid="{C7E74CCA-4E14-B04F-AF06-DD8E8E0C8E2D}"/>
    <hyperlink ref="F216" r:id="rId426" display="https://finance.yahoo.com/quote/AMZN/options/?straddle=false&amp;strike=165&amp;type=all" xr:uid="{6F6B49E5-0575-404B-95B6-7C37E3D353D7}"/>
    <hyperlink ref="A217" r:id="rId427" display="https://finance.yahoo.com/quote/AMZN260515C00170000/" xr:uid="{8B42184F-9113-9843-8080-25FF7D3CF0E5}"/>
    <hyperlink ref="F217" r:id="rId428" display="https://finance.yahoo.com/quote/AMZN/options/?straddle=false&amp;strike=170&amp;type=all" xr:uid="{EB636359-4214-2A40-89E9-C55A0CF34F4C}"/>
    <hyperlink ref="A218" r:id="rId429" display="https://finance.yahoo.com/quote/AMZN260515C00175000/" xr:uid="{5F4FDE6C-8F59-5A45-9FC4-6C4282B939E3}"/>
    <hyperlink ref="F218" r:id="rId430" display="https://finance.yahoo.com/quote/AMZN/options/?straddle=false&amp;strike=175&amp;type=all" xr:uid="{CCDF78D9-935D-7F49-A267-E11E2D772C20}"/>
    <hyperlink ref="A219" r:id="rId431" display="https://finance.yahoo.com/quote/AMZN260515C00180000/" xr:uid="{F07AE6B5-8E8C-6946-8765-017BC46071BA}"/>
    <hyperlink ref="F219" r:id="rId432" display="https://finance.yahoo.com/quote/AMZN/options/?straddle=false&amp;strike=180&amp;type=all" xr:uid="{6537584D-8FD7-A342-A001-34E8C17D1CAC}"/>
    <hyperlink ref="A220" r:id="rId433" display="https://finance.yahoo.com/quote/AMZN260515C00185000/" xr:uid="{C3FF2B30-CA84-D848-BB14-91E60E6B9DC5}"/>
    <hyperlink ref="F220" r:id="rId434" display="https://finance.yahoo.com/quote/AMZN/options/?straddle=false&amp;strike=185&amp;type=all" xr:uid="{DD870B6F-97BC-634C-8134-65F2B0B681CD}"/>
    <hyperlink ref="A221" r:id="rId435" display="https://finance.yahoo.com/quote/AMZN260515C00190000/" xr:uid="{9126EBA9-D8A0-2D47-8F32-38B1105626C9}"/>
    <hyperlink ref="F221" r:id="rId436" display="https://finance.yahoo.com/quote/AMZN/options/?straddle=false&amp;strike=190&amp;type=all" xr:uid="{493DEB2A-47CD-C04A-AD50-0CB1C33C3C53}"/>
    <hyperlink ref="A222" r:id="rId437" display="https://finance.yahoo.com/quote/AMZN260515C00195000/" xr:uid="{85B569AB-7063-9443-BE66-BD5445C7C492}"/>
    <hyperlink ref="F222" r:id="rId438" display="https://finance.yahoo.com/quote/AMZN/options/?straddle=false&amp;strike=195&amp;type=all" xr:uid="{B331E383-6E81-6442-80CF-A8C4E9BDCE2E}"/>
    <hyperlink ref="A223" r:id="rId439" display="https://finance.yahoo.com/quote/AMZN260515C00200000/" xr:uid="{651FEEF1-6C37-1048-A96C-80B4663623FE}"/>
    <hyperlink ref="F223" r:id="rId440" display="https://finance.yahoo.com/quote/AMZN/options/?straddle=false&amp;strike=200&amp;type=all" xr:uid="{71B1F03F-537B-7B4F-A5D5-E639796E4FEF}"/>
    <hyperlink ref="A224" r:id="rId441" display="https://finance.yahoo.com/quote/AMZN260515C00205000/" xr:uid="{BE76DE61-7D2B-4849-950A-89FA86153A99}"/>
    <hyperlink ref="F224" r:id="rId442" display="https://finance.yahoo.com/quote/AMZN/options/?straddle=false&amp;strike=205&amp;type=all" xr:uid="{8EF788ED-21AC-E442-B3E0-CF8FFC70441D}"/>
    <hyperlink ref="A225" r:id="rId443" display="https://finance.yahoo.com/quote/AMZN260515C00210000/" xr:uid="{B490C446-3229-2745-9AFA-8C7AFDC13FD0}"/>
    <hyperlink ref="F225" r:id="rId444" display="https://finance.yahoo.com/quote/AMZN/options/?straddle=false&amp;strike=210&amp;type=all" xr:uid="{70BDAA6C-2934-E04A-9E12-E9F030CD533E}"/>
    <hyperlink ref="A226" r:id="rId445" display="https://finance.yahoo.com/quote/AMZN260515C00215000/" xr:uid="{B0F23BC9-934E-6240-B129-B38B9EB81684}"/>
    <hyperlink ref="F226" r:id="rId446" display="https://finance.yahoo.com/quote/AMZN/options/?straddle=false&amp;strike=215&amp;type=all" xr:uid="{F25D43CD-EC7B-0E4D-9385-3ADAF3594583}"/>
    <hyperlink ref="A227" r:id="rId447" display="https://finance.yahoo.com/quote/AMZN260515C00220000/" xr:uid="{DB2E2740-8D1A-2B46-B132-1B2B0FA9416F}"/>
    <hyperlink ref="F227" r:id="rId448" display="https://finance.yahoo.com/quote/AMZN/options/?straddle=false&amp;strike=220&amp;type=all" xr:uid="{454A160F-8FC2-D649-A47C-C3FFDA86A3A7}"/>
    <hyperlink ref="A228" r:id="rId449" display="https://finance.yahoo.com/quote/AMZN260515C00225000/" xr:uid="{2E824090-3159-EA45-85EF-F7AD72C0CEF8}"/>
    <hyperlink ref="F228" r:id="rId450" display="https://finance.yahoo.com/quote/AMZN/options/?straddle=false&amp;strike=225&amp;type=all" xr:uid="{F55BFF9D-7992-7C4E-BD7C-4FEDD6A432A3}"/>
    <hyperlink ref="A229" r:id="rId451" display="https://finance.yahoo.com/quote/AMZN260515C00230000/" xr:uid="{5BAA515D-1891-4F4B-B413-FBE56917B7A9}"/>
    <hyperlink ref="F229" r:id="rId452" display="https://finance.yahoo.com/quote/AMZN/options/?straddle=false&amp;strike=230&amp;type=all" xr:uid="{8977E9D1-D9F9-564E-8683-A5AB7339002C}"/>
    <hyperlink ref="A230" r:id="rId453" display="https://finance.yahoo.com/quote/AMZN260515C00235000/" xr:uid="{24B958EF-24A1-F947-8884-FA403BFB579D}"/>
    <hyperlink ref="F230" r:id="rId454" display="https://finance.yahoo.com/quote/AMZN/options/?straddle=false&amp;strike=235&amp;type=all" xr:uid="{421B2905-8EC0-3347-BB4D-3DC5CDCEF4AE}"/>
    <hyperlink ref="A231" r:id="rId455" display="https://finance.yahoo.com/quote/AMZN260515C00240000/" xr:uid="{EFA58860-814D-0D43-8DA7-69B08327DB8E}"/>
    <hyperlink ref="F231" r:id="rId456" display="https://finance.yahoo.com/quote/AMZN/options/?straddle=false&amp;strike=240&amp;type=all" xr:uid="{B1EC312E-01F2-4049-939E-9079342898E1}"/>
    <hyperlink ref="A232" r:id="rId457" display="https://finance.yahoo.com/quote/AMZN260515C00245000/" xr:uid="{904E8AD9-78F7-5C4D-9322-F7728270ACA9}"/>
    <hyperlink ref="F232" r:id="rId458" display="https://finance.yahoo.com/quote/AMZN/options/?straddle=false&amp;strike=245&amp;type=all" xr:uid="{A8048CC1-CF8E-4A44-87E7-2F2A4352C310}"/>
    <hyperlink ref="A233" r:id="rId459" display="https://finance.yahoo.com/quote/AMZN260515C00250000/" xr:uid="{82C09535-FA5D-5541-8BFB-B68DF94E9643}"/>
    <hyperlink ref="F233" r:id="rId460" display="https://finance.yahoo.com/quote/AMZN/options/?straddle=false&amp;strike=250&amp;type=all" xr:uid="{5D072DA1-2AAD-2446-AE6F-972F46D298F6}"/>
    <hyperlink ref="A234" r:id="rId461" display="https://finance.yahoo.com/quote/AMZN260515C00255000/" xr:uid="{5D8129BA-F176-6F4E-8101-7A50EC29ECEC}"/>
    <hyperlink ref="F234" r:id="rId462" display="https://finance.yahoo.com/quote/AMZN/options/?straddle=false&amp;strike=255&amp;type=all" xr:uid="{82C8B54A-B50B-E342-A699-F3FDB6F5AC4F}"/>
    <hyperlink ref="A235" r:id="rId463" display="https://finance.yahoo.com/quote/AMZN260515C00260000/" xr:uid="{4B7CB75B-2E9A-3E48-BB47-7DE324CF601C}"/>
    <hyperlink ref="F235" r:id="rId464" display="https://finance.yahoo.com/quote/AMZN/options/?straddle=false&amp;strike=260&amp;type=all" xr:uid="{513141EA-A8C4-2C44-97FB-4BB643703922}"/>
    <hyperlink ref="A236" r:id="rId465" display="https://finance.yahoo.com/quote/AMZN260515C00265000/" xr:uid="{03D1C917-9FB4-6D47-9E12-ADEE24748AF4}"/>
    <hyperlink ref="F236" r:id="rId466" display="https://finance.yahoo.com/quote/AMZN/options/?straddle=false&amp;strike=265&amp;type=all" xr:uid="{19485539-C088-504A-89A5-340585F0AA0A}"/>
    <hyperlink ref="A237" r:id="rId467" display="https://finance.yahoo.com/quote/AMZN260515C00270000/" xr:uid="{EF163CE8-7703-4D49-9FD1-DCD38CB8E5B4}"/>
    <hyperlink ref="F237" r:id="rId468" display="https://finance.yahoo.com/quote/AMZN/options/?straddle=false&amp;strike=270&amp;type=all" xr:uid="{1BE4DFC5-7206-3C43-B4F4-C05492F6CD1B}"/>
    <hyperlink ref="A238" r:id="rId469" display="https://finance.yahoo.com/quote/AMZN260515C00275000/" xr:uid="{CECFE052-3967-FF48-8258-AD2A5375CB21}"/>
    <hyperlink ref="F238" r:id="rId470" display="https://finance.yahoo.com/quote/AMZN/options/?straddle=false&amp;strike=275&amp;type=all" xr:uid="{086CE7DB-B588-D74E-95EC-9B1DED9661D8}"/>
    <hyperlink ref="A239" r:id="rId471" display="https://finance.yahoo.com/quote/AMZN260515C00280000/" xr:uid="{F3A60966-7718-8D48-9AD7-666AABDE471F}"/>
    <hyperlink ref="F239" r:id="rId472" display="https://finance.yahoo.com/quote/AMZN/options/?straddle=false&amp;strike=280&amp;type=all" xr:uid="{3509B248-0F14-414E-8763-C8F227902BBE}"/>
    <hyperlink ref="A240" r:id="rId473" display="https://finance.yahoo.com/quote/AMZN260515C00285000/" xr:uid="{852D2EFD-6AE3-CE4D-89C5-31EC5842184F}"/>
    <hyperlink ref="F240" r:id="rId474" display="https://finance.yahoo.com/quote/AMZN/options/?straddle=false&amp;strike=285&amp;type=all" xr:uid="{585563C7-DA41-2B40-80C9-23CB322EC961}"/>
    <hyperlink ref="A241" r:id="rId475" display="https://finance.yahoo.com/quote/AMZN260515C00290000/" xr:uid="{0D94236C-4BC4-734F-9C23-CFB9026ED6A9}"/>
    <hyperlink ref="F241" r:id="rId476" display="https://finance.yahoo.com/quote/AMZN/options/?straddle=false&amp;strike=290&amp;type=all" xr:uid="{26A6D100-27DA-2F42-A1F4-2C79F532DBAD}"/>
    <hyperlink ref="A242" r:id="rId477" display="https://finance.yahoo.com/quote/AMZN260515C00295000/" xr:uid="{F830C5AF-4201-264A-A519-B2CB3288D1A0}"/>
    <hyperlink ref="F242" r:id="rId478" display="https://finance.yahoo.com/quote/AMZN/options/?straddle=false&amp;strike=295&amp;type=all" xr:uid="{1617BB84-130A-A944-B984-7790CEF53E85}"/>
    <hyperlink ref="A243" r:id="rId479" display="https://finance.yahoo.com/quote/AMZN260515C00300000/" xr:uid="{B3DD5AFC-405D-BD42-A352-E8184DDC6883}"/>
    <hyperlink ref="F243" r:id="rId480" display="https://finance.yahoo.com/quote/AMZN/options/?straddle=false&amp;strike=300&amp;type=all" xr:uid="{0CCF5BCC-7F99-6F49-A33C-87BA3DDC5D56}"/>
    <hyperlink ref="A244" r:id="rId481" display="https://finance.yahoo.com/quote/AMZN260515C00305000/" xr:uid="{8F417F68-E735-314C-86E3-C49A0005CF4A}"/>
    <hyperlink ref="F244" r:id="rId482" display="https://finance.yahoo.com/quote/AMZN/options/?straddle=false&amp;strike=305&amp;type=all" xr:uid="{BB27E358-5605-6A43-851A-13101E85C70B}"/>
    <hyperlink ref="A245" r:id="rId483" display="https://finance.yahoo.com/quote/AMZN260515C00310000/" xr:uid="{74984AA6-4F6A-4245-B77A-12A20DFD4D56}"/>
    <hyperlink ref="F245" r:id="rId484" display="https://finance.yahoo.com/quote/AMZN/options/?straddle=false&amp;strike=310&amp;type=all" xr:uid="{09381A45-DF6A-544F-80A5-D246078A3707}"/>
    <hyperlink ref="A246" r:id="rId485" display="https://finance.yahoo.com/quote/AMZN260515C00315000/" xr:uid="{7D013414-1D36-0E4E-85F6-A7134033FF98}"/>
    <hyperlink ref="F246" r:id="rId486" display="https://finance.yahoo.com/quote/AMZN/options/?straddle=false&amp;strike=315&amp;type=all" xr:uid="{8E43EC8E-49D0-E24B-A22B-C9125F18DECD}"/>
    <hyperlink ref="A247" r:id="rId487" display="https://finance.yahoo.com/quote/AMZN260515C00320000/" xr:uid="{2E307B55-E665-7E4C-8211-D4245F3CFD1D}"/>
    <hyperlink ref="F247" r:id="rId488" display="https://finance.yahoo.com/quote/AMZN/options/?straddle=false&amp;strike=320&amp;type=all" xr:uid="{8762D6D8-9466-7E47-9F62-E6CA94B23BF4}"/>
    <hyperlink ref="A248" r:id="rId489" display="https://finance.yahoo.com/quote/AMZN260515C00325000/" xr:uid="{01C924DD-93BA-2D4E-A981-2BF4DFA29C89}"/>
    <hyperlink ref="F248" r:id="rId490" display="https://finance.yahoo.com/quote/AMZN/options/?straddle=false&amp;strike=325&amp;type=all" xr:uid="{70EF2A6E-2378-6448-856E-ED9113109B52}"/>
    <hyperlink ref="A249" r:id="rId491" display="https://finance.yahoo.com/quote/AMZN260515C00330000/" xr:uid="{F4D80E0C-C31F-8141-B661-B805DF5E9464}"/>
    <hyperlink ref="F249" r:id="rId492" display="https://finance.yahoo.com/quote/AMZN/options/?straddle=false&amp;strike=330&amp;type=all" xr:uid="{8F291E29-608D-374A-B1B1-1E1043F3E50F}"/>
    <hyperlink ref="A250" r:id="rId493" display="https://finance.yahoo.com/quote/AMZN260515C00340000/" xr:uid="{A3118B77-2787-5E44-A94F-CA8B9CE0DA88}"/>
    <hyperlink ref="F250" r:id="rId494" display="https://finance.yahoo.com/quote/AMZN/options/?straddle=false&amp;strike=340&amp;type=all" xr:uid="{C28E6E96-63E2-6B4A-93C8-0022F9DC32BC}"/>
    <hyperlink ref="A251" r:id="rId495" display="https://finance.yahoo.com/quote/AMZN260515C00350000/" xr:uid="{6E50060B-3537-F44B-8F1B-9A8907A45506}"/>
    <hyperlink ref="F251" r:id="rId496" display="https://finance.yahoo.com/quote/AMZN/options/?straddle=false&amp;strike=350&amp;type=all" xr:uid="{00E335BD-318C-D441-B318-CD5E83ADAEC0}"/>
    <hyperlink ref="A252" r:id="rId497" display="https://finance.yahoo.com/quote/AMZN260515C00360000/" xr:uid="{DDB6140A-5B79-E244-9D5A-1CA8FB6390E9}"/>
    <hyperlink ref="F252" r:id="rId498" display="https://finance.yahoo.com/quote/AMZN/options/?straddle=false&amp;strike=360&amp;type=all" xr:uid="{86B9CF2E-DDBE-B14B-A8B9-B91D20694C76}"/>
    <hyperlink ref="A253" r:id="rId499" display="https://finance.yahoo.com/quote/AMZN260515C00370000/" xr:uid="{79CE686E-CAF9-4846-B857-3983FCB84F50}"/>
    <hyperlink ref="F253" r:id="rId500" display="https://finance.yahoo.com/quote/AMZN/options/?straddle=false&amp;strike=370&amp;type=all" xr:uid="{1350A46A-C048-9543-B0BD-C0D57A28787C}"/>
    <hyperlink ref="A254" r:id="rId501" display="https://finance.yahoo.com/quote/AMZN260515P00105000/" xr:uid="{59A41851-B195-6447-8A16-D96ABC2736EC}"/>
    <hyperlink ref="F254" r:id="rId502" display="https://finance.yahoo.com/quote/AMZN/options/?straddle=false&amp;strike=105&amp;type=all" xr:uid="{E67440C8-C9E0-0543-B36C-5FF80CAF8861}"/>
    <hyperlink ref="A255" r:id="rId503" display="https://finance.yahoo.com/quote/AMZN260515P00110000/" xr:uid="{BB0605B9-9836-A745-B26C-2411C5CAE9BA}"/>
    <hyperlink ref="F255" r:id="rId504" display="https://finance.yahoo.com/quote/AMZN/options/?straddle=false&amp;strike=110&amp;type=all" xr:uid="{D412793F-D117-3149-B022-6C843A5145BD}"/>
    <hyperlink ref="A256" r:id="rId505" display="https://finance.yahoo.com/quote/AMZN260515P00115000/" xr:uid="{7D865A0E-A25D-A44C-8D08-167B971237F2}"/>
    <hyperlink ref="F256" r:id="rId506" display="https://finance.yahoo.com/quote/AMZN/options/?straddle=false&amp;strike=115&amp;type=all" xr:uid="{956C3614-BBAF-374A-AF00-58DF58F9F9C0}"/>
    <hyperlink ref="A257" r:id="rId507" display="https://finance.yahoo.com/quote/AMZN260515P00120000/" xr:uid="{EC9AB42A-A0A9-A047-B797-4B4FF1B335A3}"/>
    <hyperlink ref="F257" r:id="rId508" display="https://finance.yahoo.com/quote/AMZN/options/?straddle=false&amp;strike=120&amp;type=all" xr:uid="{4BCFA16C-BE49-C349-9D00-F8CC0092A9DA}"/>
    <hyperlink ref="A258" r:id="rId509" display="https://finance.yahoo.com/quote/AMZN260515P00125000/" xr:uid="{3FA363A2-CE3D-654D-B434-0DDC1316CBA0}"/>
    <hyperlink ref="F258" r:id="rId510" display="https://finance.yahoo.com/quote/AMZN/options/?straddle=false&amp;strike=125&amp;type=all" xr:uid="{D3EC7967-421B-E147-9AE5-2D906B3DB5B1}"/>
    <hyperlink ref="A259" r:id="rId511" display="https://finance.yahoo.com/quote/AMZN260515P00130000/" xr:uid="{E870C95D-1C56-294E-A553-4D9B9606FA70}"/>
    <hyperlink ref="F259" r:id="rId512" display="https://finance.yahoo.com/quote/AMZN/options/?straddle=false&amp;strike=130&amp;type=all" xr:uid="{BE690FCB-494B-0447-8994-FCE8E338EA2E}"/>
    <hyperlink ref="A260" r:id="rId513" display="https://finance.yahoo.com/quote/AMZN260515P00135000/" xr:uid="{6A01840E-2E22-314D-B5F6-CF5A3F475674}"/>
    <hyperlink ref="F260" r:id="rId514" display="https://finance.yahoo.com/quote/AMZN/options/?straddle=false&amp;strike=135&amp;type=all" xr:uid="{289ACB18-8396-CF43-A592-1ECC265331D6}"/>
    <hyperlink ref="A261" r:id="rId515" display="https://finance.yahoo.com/quote/AMZN260515P00140000/" xr:uid="{3A05EA7A-79EB-B14C-A707-01198342777B}"/>
    <hyperlink ref="F261" r:id="rId516" display="https://finance.yahoo.com/quote/AMZN/options/?straddle=false&amp;strike=140&amp;type=all" xr:uid="{04CCB79C-3E47-4C4B-8A74-18CC7F78F6A6}"/>
    <hyperlink ref="A262" r:id="rId517" display="https://finance.yahoo.com/quote/AMZN260515P00145000/" xr:uid="{B0ACC6B7-0A97-E641-8A48-48B18BC47342}"/>
    <hyperlink ref="F262" r:id="rId518" display="https://finance.yahoo.com/quote/AMZN/options/?straddle=false&amp;strike=145&amp;type=all" xr:uid="{C4C08083-CD99-1E40-B680-FC523FEFF8D3}"/>
    <hyperlink ref="A263" r:id="rId519" display="https://finance.yahoo.com/quote/AMZN260515P00150000/" xr:uid="{AAEBBCF6-8ED6-5345-90E4-A1D6010465F3}"/>
    <hyperlink ref="F263" r:id="rId520" display="https://finance.yahoo.com/quote/AMZN/options/?straddle=false&amp;strike=150&amp;type=all" xr:uid="{C0CCCC27-1B16-604E-8275-ADE5F78C75EA}"/>
    <hyperlink ref="A264" r:id="rId521" display="https://finance.yahoo.com/quote/AMZN260515P00155000/" xr:uid="{61002CD0-6031-6F49-B178-EFCFECEA6497}"/>
    <hyperlink ref="F264" r:id="rId522" display="https://finance.yahoo.com/quote/AMZN/options/?straddle=false&amp;strike=155&amp;type=all" xr:uid="{BB9CD391-B9B5-1549-9336-B47B258670D8}"/>
    <hyperlink ref="A265" r:id="rId523" display="https://finance.yahoo.com/quote/AMZN260515P00160000/" xr:uid="{5AAA1295-4E22-2240-8E28-78681945682F}"/>
    <hyperlink ref="F265" r:id="rId524" display="https://finance.yahoo.com/quote/AMZN/options/?straddle=false&amp;strike=160&amp;type=all" xr:uid="{37AC679A-42C3-F541-BA62-88FD1CEB0EF9}"/>
    <hyperlink ref="A266" r:id="rId525" display="https://finance.yahoo.com/quote/AMZN260515P00165000/" xr:uid="{FAC4618D-D74B-2847-9D68-BCB055CBD40B}"/>
    <hyperlink ref="F266" r:id="rId526" display="https://finance.yahoo.com/quote/AMZN/options/?straddle=false&amp;strike=165&amp;type=all" xr:uid="{7339B43C-B445-0240-B0B0-7852494DF9DC}"/>
    <hyperlink ref="A267" r:id="rId527" display="https://finance.yahoo.com/quote/AMZN260515P00170000/" xr:uid="{422FD4FA-AF89-4A40-8893-3D2F376AC43C}"/>
    <hyperlink ref="F267" r:id="rId528" display="https://finance.yahoo.com/quote/AMZN/options/?straddle=false&amp;strike=170&amp;type=all" xr:uid="{2DB591B3-02F5-4F49-AF76-D88266182054}"/>
    <hyperlink ref="A268" r:id="rId529" display="https://finance.yahoo.com/quote/AMZN260515P00175000/" xr:uid="{C100E721-79A7-FA4A-B403-85FBF3523F8A}"/>
    <hyperlink ref="F268" r:id="rId530" display="https://finance.yahoo.com/quote/AMZN/options/?straddle=false&amp;strike=175&amp;type=all" xr:uid="{733D2A2D-A9DF-B340-8025-0417F811DE67}"/>
    <hyperlink ref="A269" r:id="rId531" display="https://finance.yahoo.com/quote/AMZN260515P00180000/" xr:uid="{23D80145-7674-834D-95C6-E9FB602B59DD}"/>
    <hyperlink ref="F269" r:id="rId532" display="https://finance.yahoo.com/quote/AMZN/options/?straddle=false&amp;strike=180&amp;type=all" xr:uid="{AC6B5B05-4BB6-1542-B918-43640C1E365F}"/>
    <hyperlink ref="A270" r:id="rId533" display="https://finance.yahoo.com/quote/AMZN260515P00185000/" xr:uid="{E2583B7E-76FF-8F4F-BE42-D2B140734A3B}"/>
    <hyperlink ref="F270" r:id="rId534" display="https://finance.yahoo.com/quote/AMZN/options/?straddle=false&amp;strike=185&amp;type=all" xr:uid="{DE832FB5-F9EB-994A-B490-D7E4BCE4B375}"/>
    <hyperlink ref="A271" r:id="rId535" display="https://finance.yahoo.com/quote/AMZN260515P00190000/" xr:uid="{7FD878B6-5664-9B4B-AF04-B3C380E32B4D}"/>
    <hyperlink ref="F271" r:id="rId536" display="https://finance.yahoo.com/quote/AMZN/options/?straddle=false&amp;strike=190&amp;type=all" xr:uid="{C9149855-61D3-F94E-A755-918B6D7FA0BE}"/>
    <hyperlink ref="A272" r:id="rId537" display="https://finance.yahoo.com/quote/AMZN260515P00195000/" xr:uid="{FF4E7BC8-2B4C-E142-AD3F-862022B1A473}"/>
    <hyperlink ref="F272" r:id="rId538" display="https://finance.yahoo.com/quote/AMZN/options/?straddle=false&amp;strike=195&amp;type=all" xr:uid="{B53FE534-F08B-574A-867B-FCDEA47B0F61}"/>
    <hyperlink ref="A273" r:id="rId539" display="https://finance.yahoo.com/quote/AMZN260515P00200000/" xr:uid="{89654F43-37BC-6944-9DE2-4B46EBFF8177}"/>
    <hyperlink ref="F273" r:id="rId540" display="https://finance.yahoo.com/quote/AMZN/options/?straddle=false&amp;strike=200&amp;type=all" xr:uid="{E619546C-24B6-F449-9156-49080F664AA6}"/>
    <hyperlink ref="A274" r:id="rId541" display="https://finance.yahoo.com/quote/AMZN260515P00205000/" xr:uid="{E316DC94-C347-8A4D-9E83-152FC5E01B47}"/>
    <hyperlink ref="F274" r:id="rId542" display="https://finance.yahoo.com/quote/AMZN/options/?straddle=false&amp;strike=205&amp;type=all" xr:uid="{A288AF4B-83FF-634A-811B-D497314FE771}"/>
    <hyperlink ref="A275" r:id="rId543" display="https://finance.yahoo.com/quote/AMZN260515P00210000/" xr:uid="{224E978B-E9E2-6A40-B768-36935F3C66CB}"/>
    <hyperlink ref="F275" r:id="rId544" display="https://finance.yahoo.com/quote/AMZN/options/?straddle=false&amp;strike=210&amp;type=all" xr:uid="{A2D73BC2-DA13-D145-9AA4-1201164509F7}"/>
    <hyperlink ref="A276" r:id="rId545" display="https://finance.yahoo.com/quote/AMZN260515P00215000/" xr:uid="{A850E9B1-237B-454F-BC5B-10B20CE36276}"/>
    <hyperlink ref="F276" r:id="rId546" display="https://finance.yahoo.com/quote/AMZN/options/?straddle=false&amp;strike=215&amp;type=all" xr:uid="{E7933AC3-79FB-8B49-A36D-66FD92648EA0}"/>
    <hyperlink ref="A277" r:id="rId547" display="https://finance.yahoo.com/quote/AMZN260515P00220000/" xr:uid="{51E86FAD-276A-F941-8B7B-07C107BC799C}"/>
    <hyperlink ref="F277" r:id="rId548" display="https://finance.yahoo.com/quote/AMZN/options/?straddle=false&amp;strike=220&amp;type=all" xr:uid="{BC5552E7-CC5A-EF45-945E-944342F197B3}"/>
    <hyperlink ref="A278" r:id="rId549" display="https://finance.yahoo.com/quote/AMZN260515P00225000/" xr:uid="{12E2756D-98DD-9F46-A87E-4B43BA4EFF7F}"/>
    <hyperlink ref="F278" r:id="rId550" display="https://finance.yahoo.com/quote/AMZN/options/?straddle=false&amp;strike=225&amp;type=all" xr:uid="{565D6DEB-A33C-FA4B-B281-60BB49A79A17}"/>
    <hyperlink ref="A279" r:id="rId551" display="https://finance.yahoo.com/quote/AMZN260515P00230000/" xr:uid="{79B19F42-4B71-8C4A-B8DA-B95ACC71CCD4}"/>
    <hyperlink ref="F279" r:id="rId552" display="https://finance.yahoo.com/quote/AMZN/options/?straddle=false&amp;strike=230&amp;type=all" xr:uid="{1DEF2683-FEC7-0A47-9C60-B31022A94258}"/>
    <hyperlink ref="A280" r:id="rId553" display="https://finance.yahoo.com/quote/AMZN260515P00235000/" xr:uid="{519DCCB4-38D0-E243-ADBF-75DFA0F36703}"/>
    <hyperlink ref="F280" r:id="rId554" display="https://finance.yahoo.com/quote/AMZN/options/?straddle=false&amp;strike=235&amp;type=all" xr:uid="{8D7F691D-2A3D-DF4A-8E39-E9B6758405CF}"/>
    <hyperlink ref="A281" r:id="rId555" display="https://finance.yahoo.com/quote/AMZN260515P00240000/" xr:uid="{627D9EBF-C035-5C4E-91FA-3EDCE2FB5B2F}"/>
    <hyperlink ref="F281" r:id="rId556" display="https://finance.yahoo.com/quote/AMZN/options/?straddle=false&amp;strike=240&amp;type=all" xr:uid="{C07A88F5-768C-654D-94BD-25D04EE2F2E6}"/>
    <hyperlink ref="A282" r:id="rId557" display="https://finance.yahoo.com/quote/AMZN260515P00245000/" xr:uid="{776C1C79-2439-E845-BC91-E124755EF0D0}"/>
    <hyperlink ref="F282" r:id="rId558" display="https://finance.yahoo.com/quote/AMZN/options/?straddle=false&amp;strike=245&amp;type=all" xr:uid="{677AE398-FE46-8640-8BCC-63AAF595DB89}"/>
    <hyperlink ref="A283" r:id="rId559" display="https://finance.yahoo.com/quote/AMZN260515P00250000/" xr:uid="{C2AE9D4C-A656-4C4B-9B27-5A9F687313CA}"/>
    <hyperlink ref="F283" r:id="rId560" display="https://finance.yahoo.com/quote/AMZN/options/?straddle=false&amp;strike=250&amp;type=all" xr:uid="{D5BEFAA8-4FC9-124F-B487-FBDC6284B7FC}"/>
    <hyperlink ref="A284" r:id="rId561" display="https://finance.yahoo.com/quote/AMZN260515P00255000/" xr:uid="{CB172B6B-86E1-5A4F-A3FF-1DC667539F4F}"/>
    <hyperlink ref="F284" r:id="rId562" display="https://finance.yahoo.com/quote/AMZN/options/?straddle=false&amp;strike=255&amp;type=all" xr:uid="{642E8BA4-4540-5E47-8B89-33883E454702}"/>
    <hyperlink ref="A285" r:id="rId563" display="https://finance.yahoo.com/quote/AMZN260515P00260000/" xr:uid="{83109A9D-F6A7-A24C-8F1A-C954BF900E5E}"/>
    <hyperlink ref="F285" r:id="rId564" display="https://finance.yahoo.com/quote/AMZN/options/?straddle=false&amp;strike=260&amp;type=all" xr:uid="{5DC6D297-1827-F942-AF65-4510C673CEF5}"/>
    <hyperlink ref="A286" r:id="rId565" display="https://finance.yahoo.com/quote/AMZN260515P00265000/" xr:uid="{A8A2FB82-71DF-7C49-9F9E-09BC32FD6CDF}"/>
    <hyperlink ref="F286" r:id="rId566" display="https://finance.yahoo.com/quote/AMZN/options/?straddle=false&amp;strike=265&amp;type=all" xr:uid="{E8FADFFE-300B-B343-ADE8-CA3B9DC1D129}"/>
    <hyperlink ref="A287" r:id="rId567" display="https://finance.yahoo.com/quote/AMZN260515P00270000/" xr:uid="{7ACB53F9-C0DE-1E41-8428-1D24DFEDB717}"/>
    <hyperlink ref="F287" r:id="rId568" display="https://finance.yahoo.com/quote/AMZN/options/?straddle=false&amp;strike=270&amp;type=all" xr:uid="{1C3866C2-4BC5-5640-83C6-7DFBC37BE1EB}"/>
    <hyperlink ref="A288" r:id="rId569" display="https://finance.yahoo.com/quote/AMZN260515P00275000/" xr:uid="{DF240A26-FB01-C04C-91E6-9E4E7256B4C1}"/>
    <hyperlink ref="F288" r:id="rId570" display="https://finance.yahoo.com/quote/AMZN/options/?straddle=false&amp;strike=275&amp;type=all" xr:uid="{6AEC5783-3512-864F-B40F-2D7181751541}"/>
    <hyperlink ref="A289" r:id="rId571" display="https://finance.yahoo.com/quote/AMZN260515P00280000/" xr:uid="{BBFB8A86-35DD-5746-AB13-C860075DD86D}"/>
    <hyperlink ref="F289" r:id="rId572" display="https://finance.yahoo.com/quote/AMZN/options/?straddle=false&amp;strike=280&amp;type=all" xr:uid="{0F686E97-164A-5C40-A66B-87A2FF0EC975}"/>
    <hyperlink ref="A290" r:id="rId573" display="https://finance.yahoo.com/quote/AMZN260515P00285000/" xr:uid="{43C47C57-8392-6342-B713-32E1202A8AC9}"/>
    <hyperlink ref="F290" r:id="rId574" display="https://finance.yahoo.com/quote/AMZN/options/?straddle=false&amp;strike=285&amp;type=all" xr:uid="{F15F6195-9D59-D840-8D20-EE755CDA4E57}"/>
    <hyperlink ref="A291" r:id="rId575" display="https://finance.yahoo.com/quote/AMZN260515P00290000/" xr:uid="{ACA9F853-C42D-CC4A-B0A4-B5E003C065B6}"/>
    <hyperlink ref="F291" r:id="rId576" display="https://finance.yahoo.com/quote/AMZN/options/?straddle=false&amp;strike=290&amp;type=all" xr:uid="{F584050B-5CEA-6E4A-ABC0-296C985E5967}"/>
    <hyperlink ref="A292" r:id="rId577" display="https://finance.yahoo.com/quote/AMZN260515P00295000/" xr:uid="{CB6688E4-1ADA-8E46-A1A9-A740FE51A22A}"/>
    <hyperlink ref="F292" r:id="rId578" display="https://finance.yahoo.com/quote/AMZN/options/?straddle=false&amp;strike=295&amp;type=all" xr:uid="{B67305BB-1DA2-0744-AF82-65B34DBA751D}"/>
    <hyperlink ref="A293" r:id="rId579" display="https://finance.yahoo.com/quote/AMZN260515P00300000/" xr:uid="{8D359AC0-8C0C-D545-AB88-B171E23AA0D3}"/>
    <hyperlink ref="F293" r:id="rId580" display="https://finance.yahoo.com/quote/AMZN/options/?straddle=false&amp;strike=300&amp;type=all" xr:uid="{86005218-E8E1-AB49-97E9-9B959CF171E0}"/>
    <hyperlink ref="A294" r:id="rId581" display="https://finance.yahoo.com/quote/AMZN260515P00305000/" xr:uid="{A17B33D6-8F27-6048-A0E4-91BE9B1FA5DF}"/>
    <hyperlink ref="F294" r:id="rId582" display="https://finance.yahoo.com/quote/AMZN/options/?straddle=false&amp;strike=305&amp;type=all" xr:uid="{FDB79885-5051-D246-B276-3920CAC826E9}"/>
    <hyperlink ref="A295" r:id="rId583" display="https://finance.yahoo.com/quote/AMZN260515P00310000/" xr:uid="{FFE7ACDE-441C-DD44-ACBA-93D694FA4B9A}"/>
    <hyperlink ref="F295" r:id="rId584" display="https://finance.yahoo.com/quote/AMZN/options/?straddle=false&amp;strike=310&amp;type=all" xr:uid="{863B4045-BC2F-0C48-81CC-8827A20A8B19}"/>
    <hyperlink ref="A296" r:id="rId585" display="https://finance.yahoo.com/quote/AMZN260515P00315000/" xr:uid="{33AFCEAD-D1C5-B74A-8C0D-0C227CCA881C}"/>
    <hyperlink ref="F296" r:id="rId586" display="https://finance.yahoo.com/quote/AMZN/options/?straddle=false&amp;strike=315&amp;type=all" xr:uid="{423DB217-4661-5445-AE17-E7E6961CCC97}"/>
    <hyperlink ref="A297" r:id="rId587" display="https://finance.yahoo.com/quote/AMZN260515P00320000/" xr:uid="{52B94A43-EAF4-E841-8BC2-72CA3862A5D8}"/>
    <hyperlink ref="F297" r:id="rId588" display="https://finance.yahoo.com/quote/AMZN/options/?straddle=false&amp;strike=320&amp;type=all" xr:uid="{BB9DD5A0-7189-5B4C-BCA0-45464ABCFBF6}"/>
    <hyperlink ref="A298" r:id="rId589" display="https://finance.yahoo.com/quote/AMZN260515P00325000/" xr:uid="{EA46E7E5-9DCD-9942-8350-72A563060237}"/>
    <hyperlink ref="F298" r:id="rId590" display="https://finance.yahoo.com/quote/AMZN/options/?straddle=false&amp;strike=325&amp;type=all" xr:uid="{73A56559-2CCA-A047-93A2-D360F870D9D0}"/>
    <hyperlink ref="A299" r:id="rId591" display="https://finance.yahoo.com/quote/AMZN260515P00330000/" xr:uid="{31D1D76A-574A-3F45-AABD-6D5B63929FBF}"/>
    <hyperlink ref="F299" r:id="rId592" display="https://finance.yahoo.com/quote/AMZN/options/?straddle=false&amp;strike=330&amp;type=all" xr:uid="{0DBFCCAB-0E42-F94F-8B42-DB726F3C3DC3}"/>
    <hyperlink ref="A300" r:id="rId593" display="https://finance.yahoo.com/quote/AMZN260515P00340000/" xr:uid="{BE8C63A9-53E5-8C47-A466-446DDAA3A57F}"/>
    <hyperlink ref="F300" r:id="rId594" display="https://finance.yahoo.com/quote/AMZN/options/?straddle=false&amp;strike=340&amp;type=all" xr:uid="{18A90C47-9E7B-E648-BB37-57863DDDC0AB}"/>
    <hyperlink ref="A301" r:id="rId595" display="https://finance.yahoo.com/quote/AMZN260515P00350000/" xr:uid="{00FD5829-188F-B346-8CCC-A407741514B0}"/>
    <hyperlink ref="F301" r:id="rId596" display="https://finance.yahoo.com/quote/AMZN/options/?straddle=false&amp;strike=350&amp;type=all" xr:uid="{7A7090F7-1A91-CF47-A621-C988315FA881}"/>
    <hyperlink ref="A302" r:id="rId597" display="https://finance.yahoo.com/quote/AMZN260515P00360000/" xr:uid="{8367ABC5-4C6D-2E4C-B1BD-A62513F044FC}"/>
    <hyperlink ref="F302" r:id="rId598" display="https://finance.yahoo.com/quote/AMZN/options/?straddle=false&amp;strike=360&amp;type=all" xr:uid="{674DD223-08AE-3445-93CE-F83D1CC949EE}"/>
    <hyperlink ref="A303" r:id="rId599" display="https://finance.yahoo.com/quote/AMZN260515P00370000/" xr:uid="{EB3F7D14-54C6-0F4D-BCDC-6EAFD91D92DC}"/>
    <hyperlink ref="F303" r:id="rId600" display="https://finance.yahoo.com/quote/AMZN/options/?straddle=false&amp;strike=370&amp;type=all" xr:uid="{B1D37D67-7A64-264A-B0E5-FDA6A028D3BD}"/>
    <hyperlink ref="A304" r:id="rId601" display="https://finance.yahoo.com/quote/AMZN260515C00105000/" xr:uid="{AE639B62-DEAC-864E-9DB6-B45728E9FE62}"/>
    <hyperlink ref="F304" r:id="rId602" display="https://finance.yahoo.com/quote/AMZN/options/?straddle=false&amp;strike=105&amp;type=all" xr:uid="{1710A0EA-937C-D146-8372-08075555485B}"/>
    <hyperlink ref="A305" r:id="rId603" display="https://finance.yahoo.com/quote/AMZN260515C00110000/" xr:uid="{970633B5-BA94-F343-AE93-03D807528E05}"/>
    <hyperlink ref="F305" r:id="rId604" display="https://finance.yahoo.com/quote/AMZN/options/?straddle=false&amp;strike=110&amp;type=all" xr:uid="{EF5DAB80-B0F5-2144-BDE6-0828985CB923}"/>
    <hyperlink ref="A306" r:id="rId605" display="https://finance.yahoo.com/quote/AMZN260515C00115000/" xr:uid="{3EAAD15F-7749-8147-BF06-26A54227360E}"/>
    <hyperlink ref="F306" r:id="rId606" display="https://finance.yahoo.com/quote/AMZN/options/?straddle=false&amp;strike=115&amp;type=all" xr:uid="{4C2BBC92-265D-574B-9E7F-BCD4F431B121}"/>
    <hyperlink ref="A307" r:id="rId607" display="https://finance.yahoo.com/quote/AMZN260515C00120000/" xr:uid="{E0A009AC-CFB6-AA4A-9582-585C31453A16}"/>
    <hyperlink ref="F307" r:id="rId608" display="https://finance.yahoo.com/quote/AMZN/options/?straddle=false&amp;strike=120&amp;type=all" xr:uid="{EA031E90-CA00-8844-A892-11F7BACAA112}"/>
    <hyperlink ref="A308" r:id="rId609" display="https://finance.yahoo.com/quote/AMZN260515C00125000/" xr:uid="{9E332E44-30A0-1B4C-86CB-8A65487B7E5B}"/>
    <hyperlink ref="F308" r:id="rId610" display="https://finance.yahoo.com/quote/AMZN/options/?straddle=false&amp;strike=125&amp;type=all" xr:uid="{B4E98E96-5A6F-7B41-8B59-84A037EE5EDE}"/>
    <hyperlink ref="A309" r:id="rId611" display="https://finance.yahoo.com/quote/AMZN260515C00130000/" xr:uid="{935BA2BB-D4D0-484A-B67E-EF78CB0BA640}"/>
    <hyperlink ref="F309" r:id="rId612" display="https://finance.yahoo.com/quote/AMZN/options/?straddle=false&amp;strike=130&amp;type=all" xr:uid="{9A25CF5F-DA2D-8A4A-ABCD-1D6FD6E1388B}"/>
    <hyperlink ref="A310" r:id="rId613" display="https://finance.yahoo.com/quote/AMZN260515C00135000/" xr:uid="{15C7660B-D06D-9B44-8FB5-09E7088A6A4C}"/>
    <hyperlink ref="F310" r:id="rId614" display="https://finance.yahoo.com/quote/AMZN/options/?straddle=false&amp;strike=135&amp;type=all" xr:uid="{3BEDFFD9-608F-E542-B92B-5982A00217F8}"/>
    <hyperlink ref="A311" r:id="rId615" display="https://finance.yahoo.com/quote/AMZN260515C00140000/" xr:uid="{C25E57FF-AFD3-3D46-87F5-63B30CB427A0}"/>
    <hyperlink ref="F311" r:id="rId616" display="https://finance.yahoo.com/quote/AMZN/options/?straddle=false&amp;strike=140&amp;type=all" xr:uid="{BE7EA375-DD9E-0A46-BE97-BC5A912EF522}"/>
    <hyperlink ref="A312" r:id="rId617" display="https://finance.yahoo.com/quote/AMZN260515C00145000/" xr:uid="{AF8AD7EA-B903-9E48-8723-E0D7D8AF6516}"/>
    <hyperlink ref="F312" r:id="rId618" display="https://finance.yahoo.com/quote/AMZN/options/?straddle=false&amp;strike=145&amp;type=all" xr:uid="{7479C4DE-8E7E-AD4B-8D7A-730D7D89A655}"/>
    <hyperlink ref="A313" r:id="rId619" display="https://finance.yahoo.com/quote/AMZN260515C00150000/" xr:uid="{74A58B75-38D4-2E47-A307-1911203EDBDE}"/>
    <hyperlink ref="F313" r:id="rId620" display="https://finance.yahoo.com/quote/AMZN/options/?straddle=false&amp;strike=150&amp;type=all" xr:uid="{AFF3B710-7DF5-C84F-9FC7-C50811555984}"/>
    <hyperlink ref="A314" r:id="rId621" display="https://finance.yahoo.com/quote/AMZN260515C00155000/" xr:uid="{CC752C8D-6B1A-7A49-9607-530DDF1610EB}"/>
    <hyperlink ref="F314" r:id="rId622" display="https://finance.yahoo.com/quote/AMZN/options/?straddle=false&amp;strike=155&amp;type=all" xr:uid="{27F75AF0-BFA4-0F47-B59E-5C390E45356F}"/>
    <hyperlink ref="A315" r:id="rId623" display="https://finance.yahoo.com/quote/AMZN260515C00160000/" xr:uid="{8E9535A6-B5FA-1343-9808-513E51A2C795}"/>
    <hyperlink ref="F315" r:id="rId624" display="https://finance.yahoo.com/quote/AMZN/options/?straddle=false&amp;strike=160&amp;type=all" xr:uid="{A92D4475-7406-3D45-B0F0-024BEE75119F}"/>
    <hyperlink ref="A316" r:id="rId625" display="https://finance.yahoo.com/quote/AMZN260515C00165000/" xr:uid="{0B07C733-E5B8-094C-98E0-B92D2006D677}"/>
    <hyperlink ref="F316" r:id="rId626" display="https://finance.yahoo.com/quote/AMZN/options/?straddle=false&amp;strike=165&amp;type=all" xr:uid="{E8A09283-29D3-5042-8825-BA478D5EACE7}"/>
    <hyperlink ref="A317" r:id="rId627" display="https://finance.yahoo.com/quote/AMZN260515C00170000/" xr:uid="{24D37E64-C3D4-964F-A330-9B6D668C5897}"/>
    <hyperlink ref="F317" r:id="rId628" display="https://finance.yahoo.com/quote/AMZN/options/?straddle=false&amp;strike=170&amp;type=all" xr:uid="{FB995A84-F336-2C43-858A-8E0C5EAB1EFF}"/>
    <hyperlink ref="A318" r:id="rId629" display="https://finance.yahoo.com/quote/AMZN260515C00175000/" xr:uid="{408FAD41-11E1-8642-9FDE-14C2C1618B6D}"/>
    <hyperlink ref="F318" r:id="rId630" display="https://finance.yahoo.com/quote/AMZN/options/?straddle=false&amp;strike=175&amp;type=all" xr:uid="{32D38CC0-ACE0-4F42-B07F-E6ECDDFBD255}"/>
    <hyperlink ref="A319" r:id="rId631" display="https://finance.yahoo.com/quote/AMZN260515C00180000/" xr:uid="{2A22394A-2361-8145-9F1E-BA7ACA6839F9}"/>
    <hyperlink ref="F319" r:id="rId632" display="https://finance.yahoo.com/quote/AMZN/options/?straddle=false&amp;strike=180&amp;type=all" xr:uid="{F257B1E0-1332-804C-87D0-275C3774DCDE}"/>
    <hyperlink ref="A320" r:id="rId633" display="https://finance.yahoo.com/quote/AMZN260515C00185000/" xr:uid="{A87BD399-BBF6-2945-A308-2A075CC663D5}"/>
    <hyperlink ref="F320" r:id="rId634" display="https://finance.yahoo.com/quote/AMZN/options/?straddle=false&amp;strike=185&amp;type=all" xr:uid="{9C3B1BC1-93B9-114D-AB3B-09B49BDB333E}"/>
    <hyperlink ref="A321" r:id="rId635" display="https://finance.yahoo.com/quote/AMZN260515C00190000/" xr:uid="{6FA95D1E-D4BB-A648-8D32-6BEB187CBAC6}"/>
    <hyperlink ref="F321" r:id="rId636" display="https://finance.yahoo.com/quote/AMZN/options/?straddle=false&amp;strike=190&amp;type=all" xr:uid="{3F1D1A5C-EA7D-7341-9997-46706DE8F69B}"/>
    <hyperlink ref="A322" r:id="rId637" display="https://finance.yahoo.com/quote/AMZN260515C00195000/" xr:uid="{F2E8BF14-2A5A-D54A-B8AF-4097011FBD67}"/>
    <hyperlink ref="F322" r:id="rId638" display="https://finance.yahoo.com/quote/AMZN/options/?straddle=false&amp;strike=195&amp;type=all" xr:uid="{1838EE1D-8B2B-6143-9B94-0088F23A9583}"/>
    <hyperlink ref="A323" r:id="rId639" display="https://finance.yahoo.com/quote/AMZN260515C00200000/" xr:uid="{BD470372-8070-DE44-A224-8A7C9A63AE05}"/>
    <hyperlink ref="F323" r:id="rId640" display="https://finance.yahoo.com/quote/AMZN/options/?straddle=false&amp;strike=200&amp;type=all" xr:uid="{E948DC79-A2CF-D94C-8E8B-5D8E2B41A5A0}"/>
    <hyperlink ref="A324" r:id="rId641" display="https://finance.yahoo.com/quote/AMZN260515C00205000/" xr:uid="{A1AFE634-3244-D540-B0D4-539AEA017AA2}"/>
    <hyperlink ref="F324" r:id="rId642" display="https://finance.yahoo.com/quote/AMZN/options/?straddle=false&amp;strike=205&amp;type=all" xr:uid="{2C955F8A-4921-BA4B-ABCC-271826C4011E}"/>
    <hyperlink ref="A325" r:id="rId643" display="https://finance.yahoo.com/quote/AMZN260515C00210000/" xr:uid="{C515278E-87B5-334B-9303-5C4F5C71CA51}"/>
    <hyperlink ref="F325" r:id="rId644" display="https://finance.yahoo.com/quote/AMZN/options/?straddle=false&amp;strike=210&amp;type=all" xr:uid="{3E7A2B4F-7A3A-624D-B977-1D5BC63B5EF9}"/>
    <hyperlink ref="A326" r:id="rId645" display="https://finance.yahoo.com/quote/AMZN260515C00215000/" xr:uid="{264FE24B-B12B-7B46-977A-EF45599C3DB6}"/>
    <hyperlink ref="F326" r:id="rId646" display="https://finance.yahoo.com/quote/AMZN/options/?straddle=false&amp;strike=215&amp;type=all" xr:uid="{AD3F1FF7-C48E-2540-9526-03FFC4E2D531}"/>
    <hyperlink ref="A327" r:id="rId647" display="https://finance.yahoo.com/quote/AMZN260515C00220000/" xr:uid="{7A0F88C7-5B05-7E42-8530-DDDEF0F91C8A}"/>
    <hyperlink ref="F327" r:id="rId648" display="https://finance.yahoo.com/quote/AMZN/options/?straddle=false&amp;strike=220&amp;type=all" xr:uid="{4386E5AF-9D63-FC4E-9B93-D388B6437790}"/>
    <hyperlink ref="A328" r:id="rId649" display="https://finance.yahoo.com/quote/AMZN260515C00225000/" xr:uid="{11F2E178-59F6-144B-A5F4-02753BA7BECF}"/>
    <hyperlink ref="F328" r:id="rId650" display="https://finance.yahoo.com/quote/AMZN/options/?straddle=false&amp;strike=225&amp;type=all" xr:uid="{B6DDFC9D-C767-354D-ABC7-30246F510C2B}"/>
    <hyperlink ref="A329" r:id="rId651" display="https://finance.yahoo.com/quote/AMZN260515C00230000/" xr:uid="{EE8E7C57-2096-9748-87BA-81835893B157}"/>
    <hyperlink ref="F329" r:id="rId652" display="https://finance.yahoo.com/quote/AMZN/options/?straddle=false&amp;strike=230&amp;type=all" xr:uid="{1A60E567-5012-DF48-AC77-C4319AFD837D}"/>
    <hyperlink ref="A330" r:id="rId653" display="https://finance.yahoo.com/quote/AMZN260515C00235000/" xr:uid="{89CDE4D3-5262-1B4B-8F47-768E2AFD3D7A}"/>
    <hyperlink ref="F330" r:id="rId654" display="https://finance.yahoo.com/quote/AMZN/options/?straddle=false&amp;strike=235&amp;type=all" xr:uid="{4855491E-E4E1-7B43-8B4B-F1C7B4D8ED7C}"/>
    <hyperlink ref="A331" r:id="rId655" display="https://finance.yahoo.com/quote/AMZN260515C00240000/" xr:uid="{4ED6B7C2-C19E-354E-B512-26B5A60A33D6}"/>
    <hyperlink ref="F331" r:id="rId656" display="https://finance.yahoo.com/quote/AMZN/options/?straddle=false&amp;strike=240&amp;type=all" xr:uid="{3AF86AD2-D68B-8F44-8506-C4151446A6C7}"/>
    <hyperlink ref="A332" r:id="rId657" display="https://finance.yahoo.com/quote/AMZN260515C00245000/" xr:uid="{93FDC9E3-B125-2248-A6E8-A60B940CE2DD}"/>
    <hyperlink ref="F332" r:id="rId658" display="https://finance.yahoo.com/quote/AMZN/options/?straddle=false&amp;strike=245&amp;type=all" xr:uid="{3099C6AF-C4BF-0C43-9014-A347B5613C45}"/>
    <hyperlink ref="A333" r:id="rId659" display="https://finance.yahoo.com/quote/AMZN260515C00250000/" xr:uid="{96B40C8B-E68A-3844-A4D8-7993F2419DBB}"/>
    <hyperlink ref="F333" r:id="rId660" display="https://finance.yahoo.com/quote/AMZN/options/?straddle=false&amp;strike=250&amp;type=all" xr:uid="{76262CAE-2AA3-7043-AD4E-B4524D45C1B7}"/>
    <hyperlink ref="A334" r:id="rId661" display="https://finance.yahoo.com/quote/AMZN260515C00255000/" xr:uid="{9C7BF2C5-DB2F-234E-96CD-BAB19BF38CA0}"/>
    <hyperlink ref="F334" r:id="rId662" display="https://finance.yahoo.com/quote/AMZN/options/?straddle=false&amp;strike=255&amp;type=all" xr:uid="{81A367BE-4394-EB40-9120-8522D9383150}"/>
    <hyperlink ref="A335" r:id="rId663" display="https://finance.yahoo.com/quote/AMZN260515C00260000/" xr:uid="{F846FB8D-31DA-2B4E-AA2A-00CED18CFD3E}"/>
    <hyperlink ref="F335" r:id="rId664" display="https://finance.yahoo.com/quote/AMZN/options/?straddle=false&amp;strike=260&amp;type=all" xr:uid="{C32710C1-C252-194C-8E1B-2301125F9D9F}"/>
    <hyperlink ref="A336" r:id="rId665" display="https://finance.yahoo.com/quote/AMZN260515C00265000/" xr:uid="{7B64E0EE-B97F-BF4F-9567-994A21A5945A}"/>
    <hyperlink ref="F336" r:id="rId666" display="https://finance.yahoo.com/quote/AMZN/options/?straddle=false&amp;strike=265&amp;type=all" xr:uid="{4BD20D2B-E0E3-2B41-AC35-C05F8FD6D820}"/>
    <hyperlink ref="A337" r:id="rId667" display="https://finance.yahoo.com/quote/AMZN260515C00270000/" xr:uid="{281F7D70-9141-6D4C-B01E-E2E4852292F4}"/>
    <hyperlink ref="F337" r:id="rId668" display="https://finance.yahoo.com/quote/AMZN/options/?straddle=false&amp;strike=270&amp;type=all" xr:uid="{D8A7E6A2-9030-EE4C-B93A-CF542537C88F}"/>
    <hyperlink ref="A338" r:id="rId669" display="https://finance.yahoo.com/quote/AMZN260515C00275000/" xr:uid="{AB93E374-4127-9B49-8A90-6FF32BE17581}"/>
    <hyperlink ref="F338" r:id="rId670" display="https://finance.yahoo.com/quote/AMZN/options/?straddle=false&amp;strike=275&amp;type=all" xr:uid="{90D5A871-5148-FF40-BB49-8A55FF55E6AE}"/>
    <hyperlink ref="A339" r:id="rId671" display="https://finance.yahoo.com/quote/AMZN260515C00280000/" xr:uid="{A94F7C27-350B-0D4D-A298-7C8916FA3CBE}"/>
    <hyperlink ref="F339" r:id="rId672" display="https://finance.yahoo.com/quote/AMZN/options/?straddle=false&amp;strike=280&amp;type=all" xr:uid="{0027408F-5A13-684A-ACC5-EBE7B47472D1}"/>
    <hyperlink ref="A340" r:id="rId673" display="https://finance.yahoo.com/quote/AMZN260515C00285000/" xr:uid="{14A54A99-8BC9-0443-9F0A-6ACCA691A57B}"/>
    <hyperlink ref="F340" r:id="rId674" display="https://finance.yahoo.com/quote/AMZN/options/?straddle=false&amp;strike=285&amp;type=all" xr:uid="{41C60E5A-0A5E-FA4F-A4A2-56C739B3DBFB}"/>
    <hyperlink ref="A341" r:id="rId675" display="https://finance.yahoo.com/quote/AMZN260515C00290000/" xr:uid="{1A177554-7212-8647-BA77-E3AE017E6421}"/>
    <hyperlink ref="F341" r:id="rId676" display="https://finance.yahoo.com/quote/AMZN/options/?straddle=false&amp;strike=290&amp;type=all" xr:uid="{63C7E77A-0A8A-4641-BFEC-F23AA64A7F0E}"/>
    <hyperlink ref="A342" r:id="rId677" display="https://finance.yahoo.com/quote/AMZN260515C00295000/" xr:uid="{797E4034-D794-8B43-A8B8-314F57A5AE98}"/>
    <hyperlink ref="F342" r:id="rId678" display="https://finance.yahoo.com/quote/AMZN/options/?straddle=false&amp;strike=295&amp;type=all" xr:uid="{0CD7A644-2295-AA43-8326-A07BFF075FC2}"/>
    <hyperlink ref="A343" r:id="rId679" display="https://finance.yahoo.com/quote/AMZN260515C00300000/" xr:uid="{7B0DD159-F75B-0C42-828F-1F86FDB81DCE}"/>
    <hyperlink ref="F343" r:id="rId680" display="https://finance.yahoo.com/quote/AMZN/options/?straddle=false&amp;strike=300&amp;type=all" xr:uid="{D44822F6-5EED-6441-8019-15E85164D91E}"/>
    <hyperlink ref="A344" r:id="rId681" display="https://finance.yahoo.com/quote/AMZN260515C00305000/" xr:uid="{8E25B523-6B33-D147-8F03-D70E0772AF99}"/>
    <hyperlink ref="F344" r:id="rId682" display="https://finance.yahoo.com/quote/AMZN/options/?straddle=false&amp;strike=305&amp;type=all" xr:uid="{234F9FA1-3648-E94A-97F3-AD04617BE18A}"/>
    <hyperlink ref="A345" r:id="rId683" display="https://finance.yahoo.com/quote/AMZN260515C00310000/" xr:uid="{C1CE163C-DC04-5E42-A648-E9E2C33DD9C6}"/>
    <hyperlink ref="F345" r:id="rId684" display="https://finance.yahoo.com/quote/AMZN/options/?straddle=false&amp;strike=310&amp;type=all" xr:uid="{746976E4-0E21-594B-AF80-75B7035363DB}"/>
    <hyperlink ref="A346" r:id="rId685" display="https://finance.yahoo.com/quote/AMZN260515C00315000/" xr:uid="{BFB59BB5-3562-E442-81EA-AC34DCBBD621}"/>
    <hyperlink ref="F346" r:id="rId686" display="https://finance.yahoo.com/quote/AMZN/options/?straddle=false&amp;strike=315&amp;type=all" xr:uid="{2F358E27-6B79-224F-887A-A45136E1AB18}"/>
    <hyperlink ref="A347" r:id="rId687" display="https://finance.yahoo.com/quote/AMZN260515C00320000/" xr:uid="{D58100BF-E0FC-E747-A8FD-E6D2C14466FE}"/>
    <hyperlink ref="F347" r:id="rId688" display="https://finance.yahoo.com/quote/AMZN/options/?straddle=false&amp;strike=320&amp;type=all" xr:uid="{31FA288E-B7F2-0E40-AE7F-0781C03BEF3F}"/>
    <hyperlink ref="A348" r:id="rId689" display="https://finance.yahoo.com/quote/AMZN260515C00325000/" xr:uid="{3D7F3D22-CB9C-B947-8139-A69CA99BC39A}"/>
    <hyperlink ref="F348" r:id="rId690" display="https://finance.yahoo.com/quote/AMZN/options/?straddle=false&amp;strike=325&amp;type=all" xr:uid="{0D091103-3143-7F45-A1CF-88E07E3823CC}"/>
    <hyperlink ref="A349" r:id="rId691" display="https://finance.yahoo.com/quote/AMZN260515C00330000/" xr:uid="{16C5A925-9F6A-9649-8C81-B276F3D6EC58}"/>
    <hyperlink ref="F349" r:id="rId692" display="https://finance.yahoo.com/quote/AMZN/options/?straddle=false&amp;strike=330&amp;type=all" xr:uid="{35BBA16B-76C8-2C4D-BCD7-B603E2AA87C4}"/>
    <hyperlink ref="A350" r:id="rId693" display="https://finance.yahoo.com/quote/AMZN260515C00340000/" xr:uid="{C491ED93-C380-C64F-B888-480D02FBE5D0}"/>
    <hyperlink ref="F350" r:id="rId694" display="https://finance.yahoo.com/quote/AMZN/options/?straddle=false&amp;strike=340&amp;type=all" xr:uid="{0D1603F3-50D0-3645-8D62-305E1E0DB500}"/>
    <hyperlink ref="A351" r:id="rId695" display="https://finance.yahoo.com/quote/AMZN260515C00350000/" xr:uid="{184EFF00-A0A6-9941-A1F8-1146F40C95DE}"/>
    <hyperlink ref="F351" r:id="rId696" display="https://finance.yahoo.com/quote/AMZN/options/?straddle=false&amp;strike=350&amp;type=all" xr:uid="{B7120211-233A-624C-A25D-4235F7066645}"/>
    <hyperlink ref="A352" r:id="rId697" display="https://finance.yahoo.com/quote/AMZN260515C00360000/" xr:uid="{949EC23F-37B6-6B47-83C1-1ED296095F95}"/>
    <hyperlink ref="F352" r:id="rId698" display="https://finance.yahoo.com/quote/AMZN/options/?straddle=false&amp;strike=360&amp;type=all" xr:uid="{AF83937D-4FA7-9248-9370-7291BB57B935}"/>
    <hyperlink ref="A353" r:id="rId699" display="https://finance.yahoo.com/quote/AMZN260515C00370000/" xr:uid="{D9E4101F-519F-D44A-A383-332B76D056CA}"/>
    <hyperlink ref="F353" r:id="rId700" display="https://finance.yahoo.com/quote/AMZN/options/?straddle=false&amp;strike=370&amp;type=all" xr:uid="{14F06DBC-7A6A-4349-85E3-1A1B75299CBD}"/>
    <hyperlink ref="A354" r:id="rId701" display="https://finance.yahoo.com/quote/AMZN260515P00105000/" xr:uid="{1C385FB5-EEBA-194F-86D1-8A83E9373E23}"/>
    <hyperlink ref="F354" r:id="rId702" display="https://finance.yahoo.com/quote/AMZN/options/?straddle=false&amp;strike=105&amp;type=all" xr:uid="{58AC61DB-F322-C741-A49B-026B3D67119E}"/>
    <hyperlink ref="A355" r:id="rId703" display="https://finance.yahoo.com/quote/AMZN260515P00110000/" xr:uid="{5B372904-9143-6C4A-BB5D-B18905DEA8F1}"/>
    <hyperlink ref="F355" r:id="rId704" display="https://finance.yahoo.com/quote/AMZN/options/?straddle=false&amp;strike=110&amp;type=all" xr:uid="{646C2EAC-5D5A-B94D-B580-6951DC18320A}"/>
    <hyperlink ref="A356" r:id="rId705" display="https://finance.yahoo.com/quote/AMZN260515P00115000/" xr:uid="{795CBDB7-EC7C-6F4F-8E48-C8CCB7C47960}"/>
    <hyperlink ref="F356" r:id="rId706" display="https://finance.yahoo.com/quote/AMZN/options/?straddle=false&amp;strike=115&amp;type=all" xr:uid="{078B21C8-83DC-CD46-A485-F8F6A22A3321}"/>
    <hyperlink ref="A357" r:id="rId707" display="https://finance.yahoo.com/quote/AMZN260515P00120000/" xr:uid="{F8E8336E-A001-8449-B8BD-49F1F780AD24}"/>
    <hyperlink ref="F357" r:id="rId708" display="https://finance.yahoo.com/quote/AMZN/options/?straddle=false&amp;strike=120&amp;type=all" xr:uid="{B3CBB159-A0F0-E340-B008-53F65487F7E5}"/>
    <hyperlink ref="A358" r:id="rId709" display="https://finance.yahoo.com/quote/AMZN260515P00125000/" xr:uid="{B7152309-34A9-3949-9BAE-531009B5C5A7}"/>
    <hyperlink ref="F358" r:id="rId710" display="https://finance.yahoo.com/quote/AMZN/options/?straddle=false&amp;strike=125&amp;type=all" xr:uid="{DF32F6DC-88EC-674C-BE5F-AF4A3A01ED65}"/>
    <hyperlink ref="A359" r:id="rId711" display="https://finance.yahoo.com/quote/AMZN260515P00130000/" xr:uid="{5E617CAE-8F6A-6A4D-A4C8-492714A5119B}"/>
    <hyperlink ref="F359" r:id="rId712" display="https://finance.yahoo.com/quote/AMZN/options/?straddle=false&amp;strike=130&amp;type=all" xr:uid="{17551A44-36E7-F54B-B036-39BE27DD3B97}"/>
    <hyperlink ref="A360" r:id="rId713" display="https://finance.yahoo.com/quote/AMZN260515P00135000/" xr:uid="{F60F2314-67BF-1D4F-8FDC-C1B382C201BC}"/>
    <hyperlink ref="F360" r:id="rId714" display="https://finance.yahoo.com/quote/AMZN/options/?straddle=false&amp;strike=135&amp;type=all" xr:uid="{F4A7FCEC-8448-A14A-A8EF-069A1AB4F59D}"/>
    <hyperlink ref="A361" r:id="rId715" display="https://finance.yahoo.com/quote/AMZN260515P00140000/" xr:uid="{6ACBBE60-97D7-8244-AF24-7DE017E1009A}"/>
    <hyperlink ref="F361" r:id="rId716" display="https://finance.yahoo.com/quote/AMZN/options/?straddle=false&amp;strike=140&amp;type=all" xr:uid="{7A355C25-6BBD-0C45-9AF2-4DCCEE38F6C3}"/>
    <hyperlink ref="A362" r:id="rId717" display="https://finance.yahoo.com/quote/AMZN260515P00145000/" xr:uid="{87C128C3-3E2C-DE44-877D-13466353DA0A}"/>
    <hyperlink ref="F362" r:id="rId718" display="https://finance.yahoo.com/quote/AMZN/options/?straddle=false&amp;strike=145&amp;type=all" xr:uid="{5BFBC889-6BFF-A24C-99EF-D083859D8CF2}"/>
    <hyperlink ref="A363" r:id="rId719" display="https://finance.yahoo.com/quote/AMZN260515P00150000/" xr:uid="{1C5762A8-CC04-574A-B813-4CC3D9B91E5C}"/>
    <hyperlink ref="F363" r:id="rId720" display="https://finance.yahoo.com/quote/AMZN/options/?straddle=false&amp;strike=150&amp;type=all" xr:uid="{F97782F0-8448-7F45-B9E2-4D65AD0A72A8}"/>
    <hyperlink ref="A364" r:id="rId721" display="https://finance.yahoo.com/quote/AMZN260515P00155000/" xr:uid="{3B3C111C-3BD2-E94E-9F0F-C495C1065721}"/>
    <hyperlink ref="F364" r:id="rId722" display="https://finance.yahoo.com/quote/AMZN/options/?straddle=false&amp;strike=155&amp;type=all" xr:uid="{2F26DF7B-A799-FC4E-910F-AF8C0C442813}"/>
    <hyperlink ref="A365" r:id="rId723" display="https://finance.yahoo.com/quote/AMZN260515P00160000/" xr:uid="{C409DD63-769E-7F47-95C6-6214AA00E7EC}"/>
    <hyperlink ref="F365" r:id="rId724" display="https://finance.yahoo.com/quote/AMZN/options/?straddle=false&amp;strike=160&amp;type=all" xr:uid="{195FE602-DC86-124A-82D1-ACCFCAF20877}"/>
    <hyperlink ref="A366" r:id="rId725" display="https://finance.yahoo.com/quote/AMZN260515P00165000/" xr:uid="{46BE2877-1F01-5845-84AE-856152A3BD9A}"/>
    <hyperlink ref="F366" r:id="rId726" display="https://finance.yahoo.com/quote/AMZN/options/?straddle=false&amp;strike=165&amp;type=all" xr:uid="{CFD33886-DE60-7D42-8F95-1904D4EE6101}"/>
    <hyperlink ref="A367" r:id="rId727" display="https://finance.yahoo.com/quote/AMZN260515P00170000/" xr:uid="{0D2F30E6-6631-5B4C-A126-BC992026C49A}"/>
    <hyperlink ref="F367" r:id="rId728" display="https://finance.yahoo.com/quote/AMZN/options/?straddle=false&amp;strike=170&amp;type=all" xr:uid="{C2AF0FCF-8C95-1046-939E-F6D929170B13}"/>
    <hyperlink ref="A368" r:id="rId729" display="https://finance.yahoo.com/quote/AMZN260515P00175000/" xr:uid="{E1E624B0-94EA-B34C-BA82-48781CF9A4D2}"/>
    <hyperlink ref="F368" r:id="rId730" display="https://finance.yahoo.com/quote/AMZN/options/?straddle=false&amp;strike=175&amp;type=all" xr:uid="{8DDE043A-CC29-F444-A960-987DF8112B8F}"/>
    <hyperlink ref="A369" r:id="rId731" display="https://finance.yahoo.com/quote/AMZN260515P00180000/" xr:uid="{0DF6E28A-D04B-1244-9329-9F7D5406677D}"/>
    <hyperlink ref="F369" r:id="rId732" display="https://finance.yahoo.com/quote/AMZN/options/?straddle=false&amp;strike=180&amp;type=all" xr:uid="{493F1148-F80B-1242-A84D-F9588DBB08DA}"/>
    <hyperlink ref="A370" r:id="rId733" display="https://finance.yahoo.com/quote/AMZN260515P00185000/" xr:uid="{6D639A95-9A68-C545-8EA0-1D71E6D019B2}"/>
    <hyperlink ref="F370" r:id="rId734" display="https://finance.yahoo.com/quote/AMZN/options/?straddle=false&amp;strike=185&amp;type=all" xr:uid="{F7B6BD1E-44AB-9C4C-912B-3FDB576B4274}"/>
    <hyperlink ref="A371" r:id="rId735" display="https://finance.yahoo.com/quote/AMZN260515P00190000/" xr:uid="{71434953-6FF0-FC4F-9D9B-EA503A3A182C}"/>
    <hyperlink ref="F371" r:id="rId736" display="https://finance.yahoo.com/quote/AMZN/options/?straddle=false&amp;strike=190&amp;type=all" xr:uid="{8634292D-03B9-7F45-9A3C-9294E60B63E5}"/>
    <hyperlink ref="A372" r:id="rId737" display="https://finance.yahoo.com/quote/AMZN260515P00195000/" xr:uid="{ACDBC21D-768A-334D-BFB2-7D9DF1431D5E}"/>
    <hyperlink ref="F372" r:id="rId738" display="https://finance.yahoo.com/quote/AMZN/options/?straddle=false&amp;strike=195&amp;type=all" xr:uid="{26BBD173-5BA3-1D44-8535-7F8AE6236146}"/>
    <hyperlink ref="A373" r:id="rId739" display="https://finance.yahoo.com/quote/AMZN260515P00200000/" xr:uid="{021647E7-F2FE-D145-8BF4-AF49437539C8}"/>
    <hyperlink ref="F373" r:id="rId740" display="https://finance.yahoo.com/quote/AMZN/options/?straddle=false&amp;strike=200&amp;type=all" xr:uid="{3F5F3578-F1D4-3C4F-8A01-F69E979F6D8F}"/>
    <hyperlink ref="A374" r:id="rId741" display="https://finance.yahoo.com/quote/AMZN260515P00205000/" xr:uid="{18D777BD-C90D-C644-A68A-E0034232EA91}"/>
    <hyperlink ref="F374" r:id="rId742" display="https://finance.yahoo.com/quote/AMZN/options/?straddle=false&amp;strike=205&amp;type=all" xr:uid="{37245DCA-F95F-DF42-99E1-6A9DF0970BB9}"/>
    <hyperlink ref="A375" r:id="rId743" display="https://finance.yahoo.com/quote/AMZN260515P00210000/" xr:uid="{08FF8377-E9C9-894F-AD7A-B3ADBBC06D64}"/>
    <hyperlink ref="F375" r:id="rId744" display="https://finance.yahoo.com/quote/AMZN/options/?straddle=false&amp;strike=210&amp;type=all" xr:uid="{193BBD23-1845-BA45-860B-BAD7695A044F}"/>
    <hyperlink ref="A376" r:id="rId745" display="https://finance.yahoo.com/quote/AMZN260515P00215000/" xr:uid="{D91F5593-70D3-B445-B0A1-882889EBFB6B}"/>
    <hyperlink ref="F376" r:id="rId746" display="https://finance.yahoo.com/quote/AMZN/options/?straddle=false&amp;strike=215&amp;type=all" xr:uid="{8DFD4812-8D8F-6945-9486-493C952C8D31}"/>
    <hyperlink ref="A377" r:id="rId747" display="https://finance.yahoo.com/quote/AMZN260515P00220000/" xr:uid="{DA397050-EE94-5342-BB8A-C9608B0E5B63}"/>
    <hyperlink ref="F377" r:id="rId748" display="https://finance.yahoo.com/quote/AMZN/options/?straddle=false&amp;strike=220&amp;type=all" xr:uid="{35167729-3863-9048-B238-61C1BEE6A63E}"/>
    <hyperlink ref="A378" r:id="rId749" display="https://finance.yahoo.com/quote/AMZN260515P00225000/" xr:uid="{430A2BED-875E-5449-8F77-F0F7428CAAA2}"/>
    <hyperlink ref="F378" r:id="rId750" display="https://finance.yahoo.com/quote/AMZN/options/?straddle=false&amp;strike=225&amp;type=all" xr:uid="{9A340438-05B5-B742-8C22-D3DEF5DD93DD}"/>
    <hyperlink ref="A379" r:id="rId751" display="https://finance.yahoo.com/quote/AMZN260515P00230000/" xr:uid="{5ED39D74-D0EE-5F40-8451-105F525433E0}"/>
    <hyperlink ref="F379" r:id="rId752" display="https://finance.yahoo.com/quote/AMZN/options/?straddle=false&amp;strike=230&amp;type=all" xr:uid="{DA097CBE-9BEB-0541-8878-B3C8EB8E471B}"/>
    <hyperlink ref="A380" r:id="rId753" display="https://finance.yahoo.com/quote/AMZN260515P00235000/" xr:uid="{D7289A85-8C40-9F48-9905-3101076FEE65}"/>
    <hyperlink ref="F380" r:id="rId754" display="https://finance.yahoo.com/quote/AMZN/options/?straddle=false&amp;strike=235&amp;type=all" xr:uid="{CE91B67A-5590-B241-B47A-52DC32DC0E9B}"/>
    <hyperlink ref="A381" r:id="rId755" display="https://finance.yahoo.com/quote/AMZN260515P00240000/" xr:uid="{95CC481D-BBAA-AF44-B563-939E51854AFD}"/>
    <hyperlink ref="F381" r:id="rId756" display="https://finance.yahoo.com/quote/AMZN/options/?straddle=false&amp;strike=240&amp;type=all" xr:uid="{60554D78-36EC-0D48-9E16-B80EC85E103A}"/>
    <hyperlink ref="A382" r:id="rId757" display="https://finance.yahoo.com/quote/AMZN260515P00245000/" xr:uid="{3B377307-22B9-C248-8D1F-4DBDFD06E58E}"/>
    <hyperlink ref="F382" r:id="rId758" display="https://finance.yahoo.com/quote/AMZN/options/?straddle=false&amp;strike=245&amp;type=all" xr:uid="{BE50D23B-E456-4F42-989E-16E8F2E2A274}"/>
    <hyperlink ref="A383" r:id="rId759" display="https://finance.yahoo.com/quote/AMZN260515P00250000/" xr:uid="{F441D4E1-9DB9-5D43-A69E-D86BE4104E35}"/>
    <hyperlink ref="F383" r:id="rId760" display="https://finance.yahoo.com/quote/AMZN/options/?straddle=false&amp;strike=250&amp;type=all" xr:uid="{B8F17F1B-AEA7-3A47-BE7D-517AD8F7569C}"/>
    <hyperlink ref="A384" r:id="rId761" display="https://finance.yahoo.com/quote/AMZN260515P00255000/" xr:uid="{EF0C9E06-1E31-0B44-8FBE-6AFF8A169930}"/>
    <hyperlink ref="F384" r:id="rId762" display="https://finance.yahoo.com/quote/AMZN/options/?straddle=false&amp;strike=255&amp;type=all" xr:uid="{36B655C8-6F14-8F41-8D6B-38D45CB941FF}"/>
    <hyperlink ref="A385" r:id="rId763" display="https://finance.yahoo.com/quote/AMZN260515P00260000/" xr:uid="{1398E07A-D8DE-0F48-8B13-927F6F8ACA8D}"/>
    <hyperlink ref="F385" r:id="rId764" display="https://finance.yahoo.com/quote/AMZN/options/?straddle=false&amp;strike=260&amp;type=all" xr:uid="{E4930C44-F733-D947-A42E-1A248F5F8710}"/>
    <hyperlink ref="A386" r:id="rId765" display="https://finance.yahoo.com/quote/AMZN260515P00265000/" xr:uid="{A6F4756B-D153-754F-935B-C2F0ED71F7A4}"/>
    <hyperlink ref="F386" r:id="rId766" display="https://finance.yahoo.com/quote/AMZN/options/?straddle=false&amp;strike=265&amp;type=all" xr:uid="{F3CE9A69-0A8D-DA40-80C2-E539EB59CD05}"/>
    <hyperlink ref="A387" r:id="rId767" display="https://finance.yahoo.com/quote/AMZN260515P00270000/" xr:uid="{171212F0-3C49-4F45-972E-0FBF77ACCD38}"/>
    <hyperlink ref="F387" r:id="rId768" display="https://finance.yahoo.com/quote/AMZN/options/?straddle=false&amp;strike=270&amp;type=all" xr:uid="{D8D2F830-175C-744D-82D1-D8FBEFA15F7A}"/>
    <hyperlink ref="A388" r:id="rId769" display="https://finance.yahoo.com/quote/AMZN260515P00275000/" xr:uid="{0925CB4D-0C40-CE48-8C38-9B89B929E538}"/>
    <hyperlink ref="F388" r:id="rId770" display="https://finance.yahoo.com/quote/AMZN/options/?straddle=false&amp;strike=275&amp;type=all" xr:uid="{E1D0DD22-DFFF-9A4B-BC00-FF2AA8D348C6}"/>
    <hyperlink ref="A389" r:id="rId771" display="https://finance.yahoo.com/quote/AMZN260515P00280000/" xr:uid="{B2EEB5EC-5777-1D45-B42A-C948ACECD2D4}"/>
    <hyperlink ref="F389" r:id="rId772" display="https://finance.yahoo.com/quote/AMZN/options/?straddle=false&amp;strike=280&amp;type=all" xr:uid="{29FA4CDE-8604-644C-92A2-2E953A1C2578}"/>
    <hyperlink ref="A390" r:id="rId773" display="https://finance.yahoo.com/quote/AMZN260515P00285000/" xr:uid="{93842C45-E355-9145-9B95-939DBA159441}"/>
    <hyperlink ref="F390" r:id="rId774" display="https://finance.yahoo.com/quote/AMZN/options/?straddle=false&amp;strike=285&amp;type=all" xr:uid="{3902622F-92B1-0448-BD9F-3F04240B2FC4}"/>
    <hyperlink ref="A391" r:id="rId775" display="https://finance.yahoo.com/quote/AMZN260515P00290000/" xr:uid="{78C59EED-ABF6-DB46-9A71-CA12AFFF7FAA}"/>
    <hyperlink ref="F391" r:id="rId776" display="https://finance.yahoo.com/quote/AMZN/options/?straddle=false&amp;strike=290&amp;type=all" xr:uid="{F9EFA7A8-D620-D44D-B5AF-AF0AF66A676D}"/>
    <hyperlink ref="A392" r:id="rId777" display="https://finance.yahoo.com/quote/AMZN260515P00295000/" xr:uid="{2085BF9E-C201-D54D-93C8-D8126BC36B68}"/>
    <hyperlink ref="F392" r:id="rId778" display="https://finance.yahoo.com/quote/AMZN/options/?straddle=false&amp;strike=295&amp;type=all" xr:uid="{F5F3FCC5-7CE0-464C-AF90-3124FD4F82BC}"/>
    <hyperlink ref="A393" r:id="rId779" display="https://finance.yahoo.com/quote/AMZN260515P00300000/" xr:uid="{DCFF4160-A6ED-A54F-A82F-EB7937FFBE43}"/>
    <hyperlink ref="F393" r:id="rId780" display="https://finance.yahoo.com/quote/AMZN/options/?straddle=false&amp;strike=300&amp;type=all" xr:uid="{F534D442-4617-8E4F-A6EF-AD07A7779B6A}"/>
    <hyperlink ref="A394" r:id="rId781" display="https://finance.yahoo.com/quote/AMZN260515P00305000/" xr:uid="{41F84C85-4EA8-F146-9951-8486B01850C7}"/>
    <hyperlink ref="F394" r:id="rId782" display="https://finance.yahoo.com/quote/AMZN/options/?straddle=false&amp;strike=305&amp;type=all" xr:uid="{59098A44-F3B7-B84F-ABD5-9E72B05F8893}"/>
    <hyperlink ref="A395" r:id="rId783" display="https://finance.yahoo.com/quote/AMZN260515P00310000/" xr:uid="{D12B7C32-6B7E-F94F-AB38-619C1AACA5DE}"/>
    <hyperlink ref="F395" r:id="rId784" display="https://finance.yahoo.com/quote/AMZN/options/?straddle=false&amp;strike=310&amp;type=all" xr:uid="{26B9CD46-8965-E543-B326-E57AF4AD2C5D}"/>
    <hyperlink ref="A396" r:id="rId785" display="https://finance.yahoo.com/quote/AMZN260515P00315000/" xr:uid="{E3256B0F-0618-6E44-AF50-21F4B303367D}"/>
    <hyperlink ref="F396" r:id="rId786" display="https://finance.yahoo.com/quote/AMZN/options/?straddle=false&amp;strike=315&amp;type=all" xr:uid="{D9DAF3DC-425B-D54F-AD52-1BCDFDE9B7AD}"/>
    <hyperlink ref="A397" r:id="rId787" display="https://finance.yahoo.com/quote/AMZN260515P00320000/" xr:uid="{A448EF23-F652-3944-9517-C8F6C843D7E8}"/>
    <hyperlink ref="F397" r:id="rId788" display="https://finance.yahoo.com/quote/AMZN/options/?straddle=false&amp;strike=320&amp;type=all" xr:uid="{9EAA4103-5A8E-8145-8999-286C458D9317}"/>
    <hyperlink ref="A398" r:id="rId789" display="https://finance.yahoo.com/quote/AMZN260515P00325000/" xr:uid="{75668A5B-6927-074B-8C65-5CEFD1AA0961}"/>
    <hyperlink ref="F398" r:id="rId790" display="https://finance.yahoo.com/quote/AMZN/options/?straddle=false&amp;strike=325&amp;type=all" xr:uid="{11F09EAC-E749-6740-A63B-ED9E355EF810}"/>
    <hyperlink ref="A399" r:id="rId791" display="https://finance.yahoo.com/quote/AMZN260515P00330000/" xr:uid="{7C3E15D0-0468-974B-A7C0-9626BD42C12E}"/>
    <hyperlink ref="F399" r:id="rId792" display="https://finance.yahoo.com/quote/AMZN/options/?straddle=false&amp;strike=330&amp;type=all" xr:uid="{3FE5E6F6-713C-0F46-B2F9-41861E37F9E5}"/>
    <hyperlink ref="A400" r:id="rId793" display="https://finance.yahoo.com/quote/AMZN260515P00340000/" xr:uid="{70944D3A-5B2D-9848-86FB-7EAF4471F6AA}"/>
    <hyperlink ref="F400" r:id="rId794" display="https://finance.yahoo.com/quote/AMZN/options/?straddle=false&amp;strike=340&amp;type=all" xr:uid="{37234D8A-0755-FD40-9C66-200E74CC7E09}"/>
    <hyperlink ref="A401" r:id="rId795" display="https://finance.yahoo.com/quote/AMZN260515P00350000/" xr:uid="{7BDABBA3-E874-D54B-A779-34B559AC65D5}"/>
    <hyperlink ref="F401" r:id="rId796" display="https://finance.yahoo.com/quote/AMZN/options/?straddle=false&amp;strike=350&amp;type=all" xr:uid="{D69265E4-563B-4A46-A3EB-060DFC021C36}"/>
    <hyperlink ref="A402" r:id="rId797" display="https://finance.yahoo.com/quote/AMZN260515P00360000/" xr:uid="{79449395-C7A3-5F49-BC41-86CA1F07CE71}"/>
    <hyperlink ref="F402" r:id="rId798" display="https://finance.yahoo.com/quote/AMZN/options/?straddle=false&amp;strike=360&amp;type=all" xr:uid="{F9EF145E-3C14-3A47-95E5-1C2FEE453D68}"/>
    <hyperlink ref="A403" r:id="rId799" display="https://finance.yahoo.com/quote/AMZN260515P00370000/" xr:uid="{24E73400-CEA1-8D42-8741-73B277201C94}"/>
    <hyperlink ref="F403" r:id="rId800" display="https://finance.yahoo.com/quote/AMZN/options/?straddle=false&amp;strike=370&amp;type=all" xr:uid="{8FB02553-2911-0542-96EC-DE5532ACC28F}"/>
    <hyperlink ref="A454" r:id="rId801" display="https://finance.yahoo.com/quote/AMZN260515P00105000/" xr:uid="{2C874582-3668-449C-8462-B66C5213B802}"/>
    <hyperlink ref="F454" r:id="rId802" display="https://finance.yahoo.com/quote/AMZN/options/?straddle=false&amp;strike=105&amp;type=all" xr:uid="{C68AA9A3-8788-45C8-AC5C-5EAFE406E251}"/>
    <hyperlink ref="A455" r:id="rId803" display="https://finance.yahoo.com/quote/AMZN260515P00110000/" xr:uid="{5DDC163D-E9F5-493E-AAB5-3F52A17B41A1}"/>
    <hyperlink ref="F455" r:id="rId804" display="https://finance.yahoo.com/quote/AMZN/options/?straddle=false&amp;strike=110&amp;type=all" xr:uid="{2E0CED09-8E50-40E5-81EE-1858B1FCC684}"/>
    <hyperlink ref="A456" r:id="rId805" display="https://finance.yahoo.com/quote/AMZN260515P00115000/" xr:uid="{5A93BA30-C221-4F30-90AB-F8CDAA56EB95}"/>
    <hyperlink ref="F456" r:id="rId806" display="https://finance.yahoo.com/quote/AMZN/options/?straddle=false&amp;strike=115&amp;type=all" xr:uid="{83F64613-9033-458E-9065-E3290E205CB3}"/>
    <hyperlink ref="A457" r:id="rId807" display="https://finance.yahoo.com/quote/AMZN260515P00120000/" xr:uid="{0D372EFD-F4E2-406C-BA27-374D002E6A5A}"/>
    <hyperlink ref="F457" r:id="rId808" display="https://finance.yahoo.com/quote/AMZN/options/?straddle=false&amp;strike=120&amp;type=all" xr:uid="{807FC35D-FA83-4EBA-AEFF-F395DD191BED}"/>
    <hyperlink ref="A458" r:id="rId809" display="https://finance.yahoo.com/quote/AMZN260515P00125000/" xr:uid="{8B8E6F9B-5D35-47F8-89C7-9CE02D2DAF7B}"/>
    <hyperlink ref="F458" r:id="rId810" display="https://finance.yahoo.com/quote/AMZN/options/?straddle=false&amp;strike=125&amp;type=all" xr:uid="{DE6E89BF-8133-4A8C-8D70-08C5B584A068}"/>
    <hyperlink ref="A459" r:id="rId811" display="https://finance.yahoo.com/quote/AMZN260515P00130000/" xr:uid="{EE97AD31-A69F-4FEF-B405-CB9A7C58E8B6}"/>
    <hyperlink ref="F459" r:id="rId812" display="https://finance.yahoo.com/quote/AMZN/options/?straddle=false&amp;strike=130&amp;type=all" xr:uid="{1932D0AD-D53C-42B5-86F0-7D042B025C3B}"/>
    <hyperlink ref="A460" r:id="rId813" display="https://finance.yahoo.com/quote/AMZN260515P00135000/" xr:uid="{0CC29F96-AB95-407C-8252-23E3C52250AA}"/>
    <hyperlink ref="F460" r:id="rId814" display="https://finance.yahoo.com/quote/AMZN/options/?straddle=false&amp;strike=135&amp;type=all" xr:uid="{A320A5BC-DCA2-4298-B58A-D1928F00F1C0}"/>
    <hyperlink ref="A461" r:id="rId815" display="https://finance.yahoo.com/quote/AMZN260515P00140000/" xr:uid="{ACE32A7C-E3BA-4BEE-A1B6-A9D8A19FCAD0}"/>
    <hyperlink ref="F461" r:id="rId816" display="https://finance.yahoo.com/quote/AMZN/options/?straddle=false&amp;strike=140&amp;type=all" xr:uid="{1D3BE27B-BE68-48A4-AA05-E405ABE3B8C5}"/>
    <hyperlink ref="A462" r:id="rId817" display="https://finance.yahoo.com/quote/AMZN260515P00145000/" xr:uid="{494205A8-687D-44E5-9751-482ACDE96FA2}"/>
    <hyperlink ref="F462" r:id="rId818" display="https://finance.yahoo.com/quote/AMZN/options/?straddle=false&amp;strike=145&amp;type=all" xr:uid="{F4A493F6-23CB-4964-9AC5-0F93A2E0D612}"/>
    <hyperlink ref="A463" r:id="rId819" display="https://finance.yahoo.com/quote/AMZN260515P00150000/" xr:uid="{6DFD6FB3-25B1-482B-AE79-76D13B5DB502}"/>
    <hyperlink ref="F463" r:id="rId820" display="https://finance.yahoo.com/quote/AMZN/options/?straddle=false&amp;strike=150&amp;type=all" xr:uid="{838A2176-E3FE-4601-8996-22FD0511A34A}"/>
    <hyperlink ref="A464" r:id="rId821" display="https://finance.yahoo.com/quote/AMZN260515P00155000/" xr:uid="{622AEBCB-84F1-42DB-AC46-00BDD280D678}"/>
    <hyperlink ref="F464" r:id="rId822" display="https://finance.yahoo.com/quote/AMZN/options/?straddle=false&amp;strike=155&amp;type=all" xr:uid="{C3559C3D-52BB-4FF9-85E1-12799F975B9B}"/>
    <hyperlink ref="A465" r:id="rId823" display="https://finance.yahoo.com/quote/AMZN260515P00160000/" xr:uid="{4ACEF85B-9E5C-48E3-935E-A8B686CCA5B8}"/>
    <hyperlink ref="F465" r:id="rId824" display="https://finance.yahoo.com/quote/AMZN/options/?straddle=false&amp;strike=160&amp;type=all" xr:uid="{CB84BF9E-225F-49EC-B1D7-AAD4550BF2A4}"/>
    <hyperlink ref="A466" r:id="rId825" display="https://finance.yahoo.com/quote/AMZN260515P00165000/" xr:uid="{8A896162-FA94-4A6D-AFC9-C5F93CC4B0BA}"/>
    <hyperlink ref="F466" r:id="rId826" display="https://finance.yahoo.com/quote/AMZN/options/?straddle=false&amp;strike=165&amp;type=all" xr:uid="{EEAA5AF3-2525-48BF-858C-BF8FCC4C6CBF}"/>
    <hyperlink ref="A467" r:id="rId827" display="https://finance.yahoo.com/quote/AMZN260515P00170000/" xr:uid="{B6D99B43-5CFA-4E03-BDDB-9534F89C00B3}"/>
    <hyperlink ref="F467" r:id="rId828" display="https://finance.yahoo.com/quote/AMZN/options/?straddle=false&amp;strike=170&amp;type=all" xr:uid="{30E5046E-64B3-420F-B718-A657DF189E64}"/>
    <hyperlink ref="A468" r:id="rId829" display="https://finance.yahoo.com/quote/AMZN260515P00175000/" xr:uid="{5D29BE32-030D-4F17-BA79-6F30BD8CD7BF}"/>
    <hyperlink ref="F468" r:id="rId830" display="https://finance.yahoo.com/quote/AMZN/options/?straddle=false&amp;strike=175&amp;type=all" xr:uid="{E3914A85-C7EB-42BB-9B32-94F8B64FE63B}"/>
    <hyperlink ref="A469" r:id="rId831" display="https://finance.yahoo.com/quote/AMZN260515P00180000/" xr:uid="{95547CC2-091D-4805-8953-C079C5263715}"/>
    <hyperlink ref="F469" r:id="rId832" display="https://finance.yahoo.com/quote/AMZN/options/?straddle=false&amp;strike=180&amp;type=all" xr:uid="{652F06FF-5A29-42BC-9F41-C977B78FDF4B}"/>
    <hyperlink ref="A470" r:id="rId833" display="https://finance.yahoo.com/quote/AMZN260515P00185000/" xr:uid="{BF6428E6-9653-40C4-95D0-B525B8E5E359}"/>
    <hyperlink ref="F470" r:id="rId834" display="https://finance.yahoo.com/quote/AMZN/options/?straddle=false&amp;strike=185&amp;type=all" xr:uid="{58781A5B-AFFE-4C7D-9A0D-5367D86660F4}"/>
    <hyperlink ref="A471" r:id="rId835" display="https://finance.yahoo.com/quote/AMZN260515P00190000/" xr:uid="{03C9B8C8-47D8-455D-B1FF-253A9E7F9FCF}"/>
    <hyperlink ref="F471" r:id="rId836" display="https://finance.yahoo.com/quote/AMZN/options/?straddle=false&amp;strike=190&amp;type=all" xr:uid="{0E5E7B5B-D23F-4B53-AB91-308F6BD3A640}"/>
    <hyperlink ref="A472" r:id="rId837" display="https://finance.yahoo.com/quote/AMZN260515P00195000/" xr:uid="{0F2CB8EA-8B1D-4F2A-83CE-325238382336}"/>
    <hyperlink ref="F472" r:id="rId838" display="https://finance.yahoo.com/quote/AMZN/options/?straddle=false&amp;strike=195&amp;type=all" xr:uid="{9CBBFBBB-CDDA-469D-A344-BB2FC3F3932A}"/>
    <hyperlink ref="A473" r:id="rId839" display="https://finance.yahoo.com/quote/AMZN260515P00200000/" xr:uid="{172AF1E1-9D3E-4318-B0D8-1472778BE179}"/>
    <hyperlink ref="F473" r:id="rId840" display="https://finance.yahoo.com/quote/AMZN/options/?straddle=false&amp;strike=200&amp;type=all" xr:uid="{81916F5B-505E-4113-AEB9-F11C0658617C}"/>
    <hyperlink ref="A474" r:id="rId841" display="https://finance.yahoo.com/quote/AMZN260515P00205000/" xr:uid="{1FBB006D-9997-4D81-9C14-2690A32BCA94}"/>
    <hyperlink ref="F474" r:id="rId842" display="https://finance.yahoo.com/quote/AMZN/options/?straddle=false&amp;strike=205&amp;type=all" xr:uid="{0EFDDA78-83CC-4334-B5AA-E787749A61D0}"/>
    <hyperlink ref="A475" r:id="rId843" display="https://finance.yahoo.com/quote/AMZN260515P00210000/" xr:uid="{94BCDF9B-A98B-421C-87CC-9B9B7F8FE6C3}"/>
    <hyperlink ref="F475" r:id="rId844" display="https://finance.yahoo.com/quote/AMZN/options/?straddle=false&amp;strike=210&amp;type=all" xr:uid="{3A69B19D-3DFF-481D-B803-F6F0962785C8}"/>
    <hyperlink ref="A476" r:id="rId845" display="https://finance.yahoo.com/quote/AMZN260515P00215000/" xr:uid="{189F559F-9653-435A-964E-3AE02537E356}"/>
    <hyperlink ref="F476" r:id="rId846" display="https://finance.yahoo.com/quote/AMZN/options/?straddle=false&amp;strike=215&amp;type=all" xr:uid="{64A623DB-6C55-4A97-A436-B21C2F771A40}"/>
    <hyperlink ref="A477" r:id="rId847" display="https://finance.yahoo.com/quote/AMZN260515P00220000/" xr:uid="{2623F901-7567-4D97-BA90-73F300A5184B}"/>
    <hyperlink ref="F477" r:id="rId848" display="https://finance.yahoo.com/quote/AMZN/options/?straddle=false&amp;strike=220&amp;type=all" xr:uid="{7A80F93A-345B-4468-8A36-D72C9F1AB8F3}"/>
    <hyperlink ref="A478" r:id="rId849" display="https://finance.yahoo.com/quote/AMZN260515P00225000/" xr:uid="{3B32E9C1-B76B-4DBA-8969-F151432B7E09}"/>
    <hyperlink ref="F478" r:id="rId850" display="https://finance.yahoo.com/quote/AMZN/options/?straddle=false&amp;strike=225&amp;type=all" xr:uid="{FC7D91C4-9861-4CF4-A3AE-6D0710400F29}"/>
    <hyperlink ref="A479" r:id="rId851" display="https://finance.yahoo.com/quote/AMZN260515P00230000/" xr:uid="{40DFF5A2-7E6E-4091-BA88-DED87BE85F84}"/>
    <hyperlink ref="F479" r:id="rId852" display="https://finance.yahoo.com/quote/AMZN/options/?straddle=false&amp;strike=230&amp;type=all" xr:uid="{916131E0-FE90-44FE-819B-32EDA3675191}"/>
    <hyperlink ref="A480" r:id="rId853" display="https://finance.yahoo.com/quote/AMZN260515P00235000/" xr:uid="{5A78167E-7952-41FB-AEC6-9BE726129306}"/>
    <hyperlink ref="F480" r:id="rId854" display="https://finance.yahoo.com/quote/AMZN/options/?straddle=false&amp;strike=235&amp;type=all" xr:uid="{8A4FB4DB-278A-43AD-8AF9-5F690D3258DD}"/>
    <hyperlink ref="A481" r:id="rId855" display="https://finance.yahoo.com/quote/AMZN260515P00240000/" xr:uid="{C3ABBC0F-9C77-4E3B-A2FD-AE0FF6AAF543}"/>
    <hyperlink ref="F481" r:id="rId856" display="https://finance.yahoo.com/quote/AMZN/options/?straddle=false&amp;strike=240&amp;type=all" xr:uid="{205C6AE2-3688-49F6-9E92-47D1B7F43725}"/>
    <hyperlink ref="A482" r:id="rId857" display="https://finance.yahoo.com/quote/AMZN260515P00245000/" xr:uid="{7EA4187A-6592-4339-9CF9-6E828291F7E3}"/>
    <hyperlink ref="F482" r:id="rId858" display="https://finance.yahoo.com/quote/AMZN/options/?straddle=false&amp;strike=245&amp;type=all" xr:uid="{558598BC-041C-43EF-84E9-BD47698749E6}"/>
    <hyperlink ref="A483" r:id="rId859" display="https://finance.yahoo.com/quote/AMZN260515P00250000/" xr:uid="{DFBD1F57-CE24-4EBB-969B-2F2BD76851DF}"/>
    <hyperlink ref="F483" r:id="rId860" display="https://finance.yahoo.com/quote/AMZN/options/?straddle=false&amp;strike=250&amp;type=all" xr:uid="{E72C7F05-68B2-4985-B6E7-AEB6744AB164}"/>
    <hyperlink ref="A484" r:id="rId861" display="https://finance.yahoo.com/quote/AMZN260515P00255000/" xr:uid="{FB701621-35F0-4012-AC93-5305D2F99AF8}"/>
    <hyperlink ref="F484" r:id="rId862" display="https://finance.yahoo.com/quote/AMZN/options/?straddle=false&amp;strike=255&amp;type=all" xr:uid="{9DB09A99-8DDA-494F-86CA-3BF236D0115E}"/>
    <hyperlink ref="A485" r:id="rId863" display="https://finance.yahoo.com/quote/AMZN260515P00260000/" xr:uid="{8CDFBC40-A058-4464-8BDA-2A462D8711DC}"/>
    <hyperlink ref="F485" r:id="rId864" display="https://finance.yahoo.com/quote/AMZN/options/?straddle=false&amp;strike=260&amp;type=all" xr:uid="{35F2A9CB-FDEB-47DA-8DD7-C639210C80DD}"/>
    <hyperlink ref="A486" r:id="rId865" display="https://finance.yahoo.com/quote/AMZN260515P00265000/" xr:uid="{66D7A96F-F498-4276-A5A7-1B1BB38DCD33}"/>
    <hyperlink ref="F486" r:id="rId866" display="https://finance.yahoo.com/quote/AMZN/options/?straddle=false&amp;strike=265&amp;type=all" xr:uid="{2B37C77E-C861-4ED1-A250-3781C88F47FD}"/>
    <hyperlink ref="A487" r:id="rId867" display="https://finance.yahoo.com/quote/AMZN260515P00270000/" xr:uid="{7A57E482-D3BB-4C62-ADF0-427E9AEBD97C}"/>
    <hyperlink ref="F487" r:id="rId868" display="https://finance.yahoo.com/quote/AMZN/options/?straddle=false&amp;strike=270&amp;type=all" xr:uid="{E02EA11B-DD7A-49F9-A256-4F905B32C118}"/>
    <hyperlink ref="A488" r:id="rId869" display="https://finance.yahoo.com/quote/AMZN260515P00275000/" xr:uid="{52875DAA-68D8-4A26-AC1D-A852131043A4}"/>
    <hyperlink ref="F488" r:id="rId870" display="https://finance.yahoo.com/quote/AMZN/options/?straddle=false&amp;strike=275&amp;type=all" xr:uid="{17B63CDE-E7C5-49DD-9521-B70CB92EDFD5}"/>
    <hyperlink ref="A489" r:id="rId871" display="https://finance.yahoo.com/quote/AMZN260515P00280000/" xr:uid="{3EF2B213-20DF-4E6B-BAFD-7D399CFE1C9D}"/>
    <hyperlink ref="F489" r:id="rId872" display="https://finance.yahoo.com/quote/AMZN/options/?straddle=false&amp;strike=280&amp;type=all" xr:uid="{5E3D9DBD-BB57-4E0C-AA98-E1D7ED4A052C}"/>
    <hyperlink ref="A490" r:id="rId873" display="https://finance.yahoo.com/quote/AMZN260515P00285000/" xr:uid="{88528B0A-BEA8-4118-B97D-1FD36B529235}"/>
    <hyperlink ref="F490" r:id="rId874" display="https://finance.yahoo.com/quote/AMZN/options/?straddle=false&amp;strike=285&amp;type=all" xr:uid="{655ED46C-EEDF-4F2B-93A4-B6173F03B4B7}"/>
    <hyperlink ref="A491" r:id="rId875" display="https://finance.yahoo.com/quote/AMZN260515P00290000/" xr:uid="{261FBA7A-3A13-46FA-8D9C-558CB21D33C4}"/>
    <hyperlink ref="F491" r:id="rId876" display="https://finance.yahoo.com/quote/AMZN/options/?straddle=false&amp;strike=290&amp;type=all" xr:uid="{17D6CCC0-3E65-4686-BEE0-1C4FB487C076}"/>
    <hyperlink ref="A492" r:id="rId877" display="https://finance.yahoo.com/quote/AMZN260515P00295000/" xr:uid="{08D3BE1D-846B-41E9-BD84-A68FDFDDA8E0}"/>
    <hyperlink ref="F492" r:id="rId878" display="https://finance.yahoo.com/quote/AMZN/options/?straddle=false&amp;strike=295&amp;type=all" xr:uid="{EAC54BFE-DCB5-442F-839D-8931D5392238}"/>
    <hyperlink ref="A493" r:id="rId879" display="https://finance.yahoo.com/quote/AMZN260515P00300000/" xr:uid="{A68BEF72-11E8-455D-A7D7-CD2E02311935}"/>
    <hyperlink ref="F493" r:id="rId880" display="https://finance.yahoo.com/quote/AMZN/options/?straddle=false&amp;strike=300&amp;type=all" xr:uid="{28619B1F-FB76-4E7F-954C-128950DECBA1}"/>
    <hyperlink ref="A494" r:id="rId881" display="https://finance.yahoo.com/quote/AMZN260515P00305000/" xr:uid="{CB938991-35AE-486C-A161-AE6920E5FFDB}"/>
    <hyperlink ref="F494" r:id="rId882" display="https://finance.yahoo.com/quote/AMZN/options/?straddle=false&amp;strike=305&amp;type=all" xr:uid="{39510683-8444-4717-806B-D811982FC7B5}"/>
    <hyperlink ref="A495" r:id="rId883" display="https://finance.yahoo.com/quote/AMZN260515P00310000/" xr:uid="{D4F7C885-BB8A-4E68-A2D8-78059F52C492}"/>
    <hyperlink ref="F495" r:id="rId884" display="https://finance.yahoo.com/quote/AMZN/options/?straddle=false&amp;strike=310&amp;type=all" xr:uid="{8348FDDD-DECB-4BC1-BEDD-C2337C1205B7}"/>
    <hyperlink ref="A496" r:id="rId885" display="https://finance.yahoo.com/quote/AMZN260515P00315000/" xr:uid="{43372107-2392-46FF-AF4B-26A859D0EA23}"/>
    <hyperlink ref="F496" r:id="rId886" display="https://finance.yahoo.com/quote/AMZN/options/?straddle=false&amp;strike=315&amp;type=all" xr:uid="{8F379EE7-EDE5-4AF2-9EB6-E6EC44C9E975}"/>
    <hyperlink ref="A497" r:id="rId887" display="https://finance.yahoo.com/quote/AMZN260515P00320000/" xr:uid="{51ECB2FC-187C-49F0-9A5E-CF5CE2B9E589}"/>
    <hyperlink ref="F497" r:id="rId888" display="https://finance.yahoo.com/quote/AMZN/options/?straddle=false&amp;strike=320&amp;type=all" xr:uid="{23563629-0A96-4F65-806E-56400A5740F5}"/>
    <hyperlink ref="A498" r:id="rId889" display="https://finance.yahoo.com/quote/AMZN260515P00325000/" xr:uid="{E2CC7636-97C4-4779-BBDE-A70E5F1CA567}"/>
    <hyperlink ref="F498" r:id="rId890" display="https://finance.yahoo.com/quote/AMZN/options/?straddle=false&amp;strike=325&amp;type=all" xr:uid="{3E4DB0DC-0B67-4CC5-A119-913BE631EDCF}"/>
    <hyperlink ref="A499" r:id="rId891" display="https://finance.yahoo.com/quote/AMZN260515P00330000/" xr:uid="{90DA2807-567E-4096-9B06-FF5128BEB6EF}"/>
    <hyperlink ref="F499" r:id="rId892" display="https://finance.yahoo.com/quote/AMZN/options/?straddle=false&amp;strike=330&amp;type=all" xr:uid="{28E56BAF-C816-4AE6-AB05-C996162D4A12}"/>
    <hyperlink ref="A500" r:id="rId893" display="https://finance.yahoo.com/quote/AMZN260515P00340000/" xr:uid="{8C0F0847-3FAA-4A22-8F70-2D010C8597FF}"/>
    <hyperlink ref="F500" r:id="rId894" display="https://finance.yahoo.com/quote/AMZN/options/?straddle=false&amp;strike=340&amp;type=all" xr:uid="{301FA07C-CDC1-451C-A168-99A8796EF478}"/>
    <hyperlink ref="A501" r:id="rId895" display="https://finance.yahoo.com/quote/AMZN260515P00350000/" xr:uid="{AA4794D6-84C6-4DED-A365-213E168C5F5F}"/>
    <hyperlink ref="F501" r:id="rId896" display="https://finance.yahoo.com/quote/AMZN/options/?straddle=false&amp;strike=350&amp;type=all" xr:uid="{FC5CF6F7-C9EE-4F6F-BC3F-79ECAF34940E}"/>
    <hyperlink ref="A502" r:id="rId897" display="https://finance.yahoo.com/quote/AMZN260515P00360000/" xr:uid="{63948E21-19D3-4041-AEA6-91141AB1D605}"/>
    <hyperlink ref="F502" r:id="rId898" display="https://finance.yahoo.com/quote/AMZN/options/?straddle=false&amp;strike=360&amp;type=all" xr:uid="{6F892B31-B7D8-40D6-89A8-02918823E080}"/>
    <hyperlink ref="A503" r:id="rId899" display="https://finance.yahoo.com/quote/AMZN260515P00370000/" xr:uid="{B4FC924F-755D-4CF6-A153-8F35A6B8CF13}"/>
    <hyperlink ref="F503" r:id="rId900" display="https://finance.yahoo.com/quote/AMZN/options/?straddle=false&amp;strike=370&amp;type=all" xr:uid="{925CBC95-2883-40CC-B3D3-3A66301EB701}"/>
    <hyperlink ref="A404" r:id="rId901" display="https://finance.yahoo.com/quote/AMZN260515C00105000/" xr:uid="{04EEBFCC-50F2-489B-8CDD-9B61D6DD4F7A}"/>
    <hyperlink ref="F404" r:id="rId902" display="https://finance.yahoo.com/quote/AMZN/options/?straddle=false&amp;strike=105&amp;type=all" xr:uid="{AD6FDFFF-6FFC-46A9-9493-984AD6DF45AB}"/>
    <hyperlink ref="A405" r:id="rId903" display="https://finance.yahoo.com/quote/AMZN260515C00110000/" xr:uid="{9F9BE834-E566-43EB-A8EF-FD41FC4415D8}"/>
    <hyperlink ref="F405" r:id="rId904" display="https://finance.yahoo.com/quote/AMZN/options/?straddle=false&amp;strike=110&amp;type=all" xr:uid="{E27AB594-68D6-4FEA-A579-020F7183F52D}"/>
    <hyperlink ref="A406" r:id="rId905" display="https://finance.yahoo.com/quote/AMZN260515C00115000/" xr:uid="{74AB4A17-5BDB-4686-97B0-280B67422BC0}"/>
    <hyperlink ref="F406" r:id="rId906" display="https://finance.yahoo.com/quote/AMZN/options/?straddle=false&amp;strike=115&amp;type=all" xr:uid="{655AF48C-183C-4283-9B04-CF618930B9E0}"/>
    <hyperlink ref="A407" r:id="rId907" display="https://finance.yahoo.com/quote/AMZN260515C00120000/" xr:uid="{1FE8472F-F3E1-49BC-B516-E15CA622D57D}"/>
    <hyperlink ref="F407" r:id="rId908" display="https://finance.yahoo.com/quote/AMZN/options/?straddle=false&amp;strike=120&amp;type=all" xr:uid="{24C532F3-23EE-49D8-AE82-4DDB9CE21E89}"/>
    <hyperlink ref="A408" r:id="rId909" display="https://finance.yahoo.com/quote/AMZN260515C00125000/" xr:uid="{A2CF4021-9F33-496D-B1F5-82614504E586}"/>
    <hyperlink ref="F408" r:id="rId910" display="https://finance.yahoo.com/quote/AMZN/options/?straddle=false&amp;strike=125&amp;type=all" xr:uid="{6517952B-C1EB-48A2-9524-7779DC0B37E9}"/>
    <hyperlink ref="A409" r:id="rId911" display="https://finance.yahoo.com/quote/AMZN260515C00130000/" xr:uid="{5E45AD0E-6FE4-4CBB-97BB-B5B7CA9A41CC}"/>
    <hyperlink ref="F409" r:id="rId912" display="https://finance.yahoo.com/quote/AMZN/options/?straddle=false&amp;strike=130&amp;type=all" xr:uid="{4F1DE443-9981-40D1-B4A2-0506BE52A2A7}"/>
    <hyperlink ref="A410" r:id="rId913" display="https://finance.yahoo.com/quote/AMZN260515C00135000/" xr:uid="{83D174CF-8629-4A58-B200-6FC1F464AF1B}"/>
    <hyperlink ref="F410" r:id="rId914" display="https://finance.yahoo.com/quote/AMZN/options/?straddle=false&amp;strike=135&amp;type=all" xr:uid="{4285B7D4-18A8-470C-A070-87A31567B805}"/>
    <hyperlink ref="A411" r:id="rId915" display="https://finance.yahoo.com/quote/AMZN260515C00140000/" xr:uid="{8CE88C14-A60E-4745-A41E-354307CA2699}"/>
    <hyperlink ref="F411" r:id="rId916" display="https://finance.yahoo.com/quote/AMZN/options/?straddle=false&amp;strike=140&amp;type=all" xr:uid="{44B8F272-8964-48CF-8867-4A3543F1D27C}"/>
    <hyperlink ref="A412" r:id="rId917" display="https://finance.yahoo.com/quote/AMZN260515C00145000/" xr:uid="{B5299B99-408E-47A8-8575-A44168CFE9A6}"/>
    <hyperlink ref="F412" r:id="rId918" display="https://finance.yahoo.com/quote/AMZN/options/?straddle=false&amp;strike=145&amp;type=all" xr:uid="{5EAAFFD8-0E2C-48BE-9D79-488CD28AFCB1}"/>
    <hyperlink ref="A413" r:id="rId919" display="https://finance.yahoo.com/quote/AMZN260515C00150000/" xr:uid="{54273D3B-0FC9-431F-B698-B2C139FEFA24}"/>
    <hyperlink ref="F413" r:id="rId920" display="https://finance.yahoo.com/quote/AMZN/options/?straddle=false&amp;strike=150&amp;type=all" xr:uid="{9437E20B-03A5-445C-94A6-EF405EFCCF05}"/>
    <hyperlink ref="A414" r:id="rId921" display="https://finance.yahoo.com/quote/AMZN260515C00155000/" xr:uid="{1C2626D8-BAF5-411B-AC59-83A9A55E1DFB}"/>
    <hyperlink ref="F414" r:id="rId922" display="https://finance.yahoo.com/quote/AMZN/options/?straddle=false&amp;strike=155&amp;type=all" xr:uid="{08659D40-F45B-4BC2-B23C-92306577C1EB}"/>
    <hyperlink ref="A415" r:id="rId923" display="https://finance.yahoo.com/quote/AMZN260515C00160000/" xr:uid="{9EE70D93-6C7F-4FAB-BC33-C75F83B0C411}"/>
    <hyperlink ref="F415" r:id="rId924" display="https://finance.yahoo.com/quote/AMZN/options/?straddle=false&amp;strike=160&amp;type=all" xr:uid="{BF57610E-7036-4155-AC79-374846B7FE3E}"/>
    <hyperlink ref="A416" r:id="rId925" display="https://finance.yahoo.com/quote/AMZN260515C00165000/" xr:uid="{F028883E-CDCF-4244-A368-383DB15BC2CA}"/>
    <hyperlink ref="F416" r:id="rId926" display="https://finance.yahoo.com/quote/AMZN/options/?straddle=false&amp;strike=165&amp;type=all" xr:uid="{E46D56F9-727E-49FF-80DA-F618C05F5CB8}"/>
    <hyperlink ref="A417" r:id="rId927" display="https://finance.yahoo.com/quote/AMZN260515C00170000/" xr:uid="{C94F660F-B5D5-4FA3-A4CE-A620B85F73A7}"/>
    <hyperlink ref="F417" r:id="rId928" display="https://finance.yahoo.com/quote/AMZN/options/?straddle=false&amp;strike=170&amp;type=all" xr:uid="{D33CD408-EC17-4F86-B395-38471CFAA961}"/>
    <hyperlink ref="A418" r:id="rId929" display="https://finance.yahoo.com/quote/AMZN260515C00175000/" xr:uid="{98B1D0AB-A596-4D6E-BC2A-DABD59BBACCA}"/>
    <hyperlink ref="F418" r:id="rId930" display="https://finance.yahoo.com/quote/AMZN/options/?straddle=false&amp;strike=175&amp;type=all" xr:uid="{45D9C1A1-8645-4947-9AE4-C18F043095D5}"/>
    <hyperlink ref="A419" r:id="rId931" display="https://finance.yahoo.com/quote/AMZN260515C00180000/" xr:uid="{FB9D4AD1-FEA8-43AA-8B9C-FA095459691F}"/>
    <hyperlink ref="F419" r:id="rId932" display="https://finance.yahoo.com/quote/AMZN/options/?straddle=false&amp;strike=180&amp;type=all" xr:uid="{E6D52EC4-735B-4E4D-AF9E-399C21B8E004}"/>
    <hyperlink ref="A420" r:id="rId933" display="https://finance.yahoo.com/quote/AMZN260515C00185000/" xr:uid="{464E11E5-88BA-42DE-B317-D787C23FDA12}"/>
    <hyperlink ref="F420" r:id="rId934" display="https://finance.yahoo.com/quote/AMZN/options/?straddle=false&amp;strike=185&amp;type=all" xr:uid="{03501601-5697-4A67-B05D-1F69ED8D4147}"/>
    <hyperlink ref="A421" r:id="rId935" display="https://finance.yahoo.com/quote/AMZN260515C00190000/" xr:uid="{FB3F0455-E5D5-4687-B808-72FE4E03D7F5}"/>
    <hyperlink ref="F421" r:id="rId936" display="https://finance.yahoo.com/quote/AMZN/options/?straddle=false&amp;strike=190&amp;type=all" xr:uid="{064C329B-5222-4E6A-A72F-7AA99DC91AB8}"/>
    <hyperlink ref="A422" r:id="rId937" display="https://finance.yahoo.com/quote/AMZN260515C00195000/" xr:uid="{9F1C1B6A-38CB-49D5-851B-BF3A2002FAB1}"/>
    <hyperlink ref="F422" r:id="rId938" display="https://finance.yahoo.com/quote/AMZN/options/?straddle=false&amp;strike=195&amp;type=all" xr:uid="{DAC485F4-97A9-40A8-ABE9-C110E650AC76}"/>
    <hyperlink ref="A423" r:id="rId939" display="https://finance.yahoo.com/quote/AMZN260515C00200000/" xr:uid="{D04D6626-678B-45F9-8D4E-49E47E9FC148}"/>
    <hyperlink ref="F423" r:id="rId940" display="https://finance.yahoo.com/quote/AMZN/options/?straddle=false&amp;strike=200&amp;type=all" xr:uid="{450AAFF5-6676-4249-BEAC-AABBCDE3E722}"/>
    <hyperlink ref="A424" r:id="rId941" display="https://finance.yahoo.com/quote/AMZN260515C00205000/" xr:uid="{0DA94DAD-0D2A-4BA0-9B7A-C45F3FBB0DD7}"/>
    <hyperlink ref="F424" r:id="rId942" display="https://finance.yahoo.com/quote/AMZN/options/?straddle=false&amp;strike=205&amp;type=all" xr:uid="{856A7F3A-42D1-4E95-85FF-0A9E3AC18835}"/>
    <hyperlink ref="A425" r:id="rId943" display="https://finance.yahoo.com/quote/AMZN260515C00210000/" xr:uid="{C58798ED-6BD6-4D61-98EB-6D9E75623215}"/>
    <hyperlink ref="F425" r:id="rId944" display="https://finance.yahoo.com/quote/AMZN/options/?straddle=false&amp;strike=210&amp;type=all" xr:uid="{8D869EA3-039C-4008-AE82-4761886F6BAD}"/>
    <hyperlink ref="A426" r:id="rId945" display="https://finance.yahoo.com/quote/AMZN260515C00215000/" xr:uid="{EDD3B746-34D7-4C12-8A6F-3E5BE73937AD}"/>
    <hyperlink ref="F426" r:id="rId946" display="https://finance.yahoo.com/quote/AMZN/options/?straddle=false&amp;strike=215&amp;type=all" xr:uid="{4ADCDD09-7C1C-45BD-9A21-6FC771CE862F}"/>
    <hyperlink ref="A427" r:id="rId947" display="https://finance.yahoo.com/quote/AMZN260515C00220000/" xr:uid="{7D05289B-43B0-4C57-97E9-8367B252AC58}"/>
    <hyperlink ref="F427" r:id="rId948" display="https://finance.yahoo.com/quote/AMZN/options/?straddle=false&amp;strike=220&amp;type=all" xr:uid="{AF6BE083-F254-4A25-B1B5-7942779B672B}"/>
    <hyperlink ref="A428" r:id="rId949" display="https://finance.yahoo.com/quote/AMZN260515C00225000/" xr:uid="{F24E3D32-FF22-42B6-8E42-D677A079F11F}"/>
    <hyperlink ref="F428" r:id="rId950" display="https://finance.yahoo.com/quote/AMZN/options/?straddle=false&amp;strike=225&amp;type=all" xr:uid="{E58515A6-CD73-4373-A9B0-FEBF16249227}"/>
    <hyperlink ref="A429" r:id="rId951" display="https://finance.yahoo.com/quote/AMZN260515C00230000/" xr:uid="{FFC18857-8613-4756-AC33-56AB666D9A6B}"/>
    <hyperlink ref="F429" r:id="rId952" display="https://finance.yahoo.com/quote/AMZN/options/?straddle=false&amp;strike=230&amp;type=all" xr:uid="{BF290C69-CC95-4290-B8F0-AB60121B5CBE}"/>
    <hyperlink ref="A430" r:id="rId953" display="https://finance.yahoo.com/quote/AMZN260515C00235000/" xr:uid="{0D3FC5F6-3735-4316-B88C-187D73BEDA00}"/>
    <hyperlink ref="F430" r:id="rId954" display="https://finance.yahoo.com/quote/AMZN/options/?straddle=false&amp;strike=235&amp;type=all" xr:uid="{9ACF54A7-45BD-4A7A-8435-7A078F52B852}"/>
    <hyperlink ref="A431" r:id="rId955" display="https://finance.yahoo.com/quote/AMZN260515C00240000/" xr:uid="{985F6F75-3F81-4E23-B790-57A92BF4329B}"/>
    <hyperlink ref="F431" r:id="rId956" display="https://finance.yahoo.com/quote/AMZN/options/?straddle=false&amp;strike=240&amp;type=all" xr:uid="{0C1AD4C2-0299-4650-88B7-4AAB386E471D}"/>
    <hyperlink ref="A432" r:id="rId957" display="https://finance.yahoo.com/quote/AMZN260515C00245000/" xr:uid="{7CE74AD9-A5BD-400A-A506-B2DA60FC3500}"/>
    <hyperlink ref="F432" r:id="rId958" display="https://finance.yahoo.com/quote/AMZN/options/?straddle=false&amp;strike=245&amp;type=all" xr:uid="{D42D215C-8758-4038-A259-C13ACFED939E}"/>
    <hyperlink ref="A433" r:id="rId959" display="https://finance.yahoo.com/quote/AMZN260515C00250000/" xr:uid="{C76EA1A8-0042-43F6-B647-6F7CC67358D1}"/>
    <hyperlink ref="F433" r:id="rId960" display="https://finance.yahoo.com/quote/AMZN/options/?straddle=false&amp;strike=250&amp;type=all" xr:uid="{B545808B-6159-4D98-94B9-1DE23FBC5C2B}"/>
    <hyperlink ref="A434" r:id="rId961" display="https://finance.yahoo.com/quote/AMZN260515C00255000/" xr:uid="{06F1256F-EAFD-4C29-8EE1-C899BAC75587}"/>
    <hyperlink ref="F434" r:id="rId962" display="https://finance.yahoo.com/quote/AMZN/options/?straddle=false&amp;strike=255&amp;type=all" xr:uid="{9BFD8804-930C-4961-B934-D10A053AC021}"/>
    <hyperlink ref="A435" r:id="rId963" display="https://finance.yahoo.com/quote/AMZN260515C00260000/" xr:uid="{E6B1C4CB-B0A2-4043-9F58-C2B586ED6656}"/>
    <hyperlink ref="F435" r:id="rId964" display="https://finance.yahoo.com/quote/AMZN/options/?straddle=false&amp;strike=260&amp;type=all" xr:uid="{38350810-BE83-4FB6-87C3-740723A13282}"/>
    <hyperlink ref="A436" r:id="rId965" display="https://finance.yahoo.com/quote/AMZN260515C00265000/" xr:uid="{A70BEF11-CF86-487A-86A8-AE912E5E471A}"/>
    <hyperlink ref="F436" r:id="rId966" display="https://finance.yahoo.com/quote/AMZN/options/?straddle=false&amp;strike=265&amp;type=all" xr:uid="{B3A6F823-4028-45DE-982C-A57F4BC2952A}"/>
    <hyperlink ref="A437" r:id="rId967" display="https://finance.yahoo.com/quote/AMZN260515C00270000/" xr:uid="{2B56174C-2188-4C3D-9D94-B12DEDE73E0D}"/>
    <hyperlink ref="F437" r:id="rId968" display="https://finance.yahoo.com/quote/AMZN/options/?straddle=false&amp;strike=270&amp;type=all" xr:uid="{3501FAAE-1E91-421A-8EDE-1B4D14778512}"/>
    <hyperlink ref="A438" r:id="rId969" display="https://finance.yahoo.com/quote/AMZN260515C00275000/" xr:uid="{BCBF7A60-7B1A-4417-8730-209D77897701}"/>
    <hyperlink ref="F438" r:id="rId970" display="https://finance.yahoo.com/quote/AMZN/options/?straddle=false&amp;strike=275&amp;type=all" xr:uid="{C753C8C9-055B-4F2D-BC8E-A99BFC1C3B81}"/>
    <hyperlink ref="A439" r:id="rId971" display="https://finance.yahoo.com/quote/AMZN260515C00280000/" xr:uid="{287E6068-412F-45DB-B2F3-F39BAB1BB326}"/>
    <hyperlink ref="F439" r:id="rId972" display="https://finance.yahoo.com/quote/AMZN/options/?straddle=false&amp;strike=280&amp;type=all" xr:uid="{D32D5A9A-E483-4743-91E3-74C0EAA100E4}"/>
    <hyperlink ref="A440" r:id="rId973" display="https://finance.yahoo.com/quote/AMZN260515C00285000/" xr:uid="{E9D213C2-BB0C-492D-A444-7AE0089CCED4}"/>
    <hyperlink ref="F440" r:id="rId974" display="https://finance.yahoo.com/quote/AMZN/options/?straddle=false&amp;strike=285&amp;type=all" xr:uid="{B1C9C662-B71F-4741-89FD-E1E8485188C5}"/>
    <hyperlink ref="A441" r:id="rId975" display="https://finance.yahoo.com/quote/AMZN260515C00290000/" xr:uid="{BE2E5285-BA96-4AF3-ACF2-F5177D033794}"/>
    <hyperlink ref="F441" r:id="rId976" display="https://finance.yahoo.com/quote/AMZN/options/?straddle=false&amp;strike=290&amp;type=all" xr:uid="{E4BDFD1A-6B53-4246-89A6-3BC0261B357B}"/>
    <hyperlink ref="A442" r:id="rId977" display="https://finance.yahoo.com/quote/AMZN260515C00295000/" xr:uid="{88C9ACE4-67B9-42BB-9083-A2FFD0B45A1D}"/>
    <hyperlink ref="F442" r:id="rId978" display="https://finance.yahoo.com/quote/AMZN/options/?straddle=false&amp;strike=295&amp;type=all" xr:uid="{28330AAA-9E81-41DD-AB95-2B91A163D3DF}"/>
    <hyperlink ref="A443" r:id="rId979" display="https://finance.yahoo.com/quote/AMZN260515C00300000/" xr:uid="{6CBCD931-8158-4F21-A27E-A62E2D97DE7B}"/>
    <hyperlink ref="F443" r:id="rId980" display="https://finance.yahoo.com/quote/AMZN/options/?straddle=false&amp;strike=300&amp;type=all" xr:uid="{148F19E9-5F88-462D-8C22-7F85519C084D}"/>
    <hyperlink ref="A444" r:id="rId981" display="https://finance.yahoo.com/quote/AMZN260515C00305000/" xr:uid="{E0A4B390-8BA7-4BB2-B811-4C2B6155F36F}"/>
    <hyperlink ref="F444" r:id="rId982" display="https://finance.yahoo.com/quote/AMZN/options/?straddle=false&amp;strike=305&amp;type=all" xr:uid="{547C33C6-DF4A-4665-9C57-010DA1D4CFFB}"/>
    <hyperlink ref="A445" r:id="rId983" display="https://finance.yahoo.com/quote/AMZN260515C00310000/" xr:uid="{03C7E481-19D5-455F-834D-B2D329B871C7}"/>
    <hyperlink ref="F445" r:id="rId984" display="https://finance.yahoo.com/quote/AMZN/options/?straddle=false&amp;strike=310&amp;type=all" xr:uid="{B9178C74-F1C8-4165-8052-F3C3A62EA6BC}"/>
    <hyperlink ref="A446" r:id="rId985" display="https://finance.yahoo.com/quote/AMZN260515C00315000/" xr:uid="{FC504E9E-AC82-4DC8-A2B1-8F14AD227F2F}"/>
    <hyperlink ref="F446" r:id="rId986" display="https://finance.yahoo.com/quote/AMZN/options/?straddle=false&amp;strike=315&amp;type=all" xr:uid="{3ABE1D5A-AB38-473D-9DC9-EDA2A2A939BC}"/>
    <hyperlink ref="A447" r:id="rId987" display="https://finance.yahoo.com/quote/AMZN260515C00320000/" xr:uid="{953CF558-D860-4870-BA58-D726A4911AF3}"/>
    <hyperlink ref="F447" r:id="rId988" display="https://finance.yahoo.com/quote/AMZN/options/?straddle=false&amp;strike=320&amp;type=all" xr:uid="{0E9ECC79-5D0F-457F-98C1-DE8471301471}"/>
    <hyperlink ref="A448" r:id="rId989" display="https://finance.yahoo.com/quote/AMZN260515C00325000/" xr:uid="{9A502687-4803-4D31-89E9-0EEE326277F7}"/>
    <hyperlink ref="F448" r:id="rId990" display="https://finance.yahoo.com/quote/AMZN/options/?straddle=false&amp;strike=325&amp;type=all" xr:uid="{F7E79EC1-E5F0-4ADB-88DA-DF49048B36BC}"/>
    <hyperlink ref="A449" r:id="rId991" display="https://finance.yahoo.com/quote/AMZN260515C00330000/" xr:uid="{697E46DA-D04C-4FDC-AEFB-42D9C969DE2C}"/>
    <hyperlink ref="F449" r:id="rId992" display="https://finance.yahoo.com/quote/AMZN/options/?straddle=false&amp;strike=330&amp;type=all" xr:uid="{D594B296-6DA2-4CB4-851D-D98265B8F0F4}"/>
    <hyperlink ref="A450" r:id="rId993" display="https://finance.yahoo.com/quote/AMZN260515C00340000/" xr:uid="{C2DAB251-51C6-4E27-8EFB-5911F94E9F33}"/>
    <hyperlink ref="F450" r:id="rId994" display="https://finance.yahoo.com/quote/AMZN/options/?straddle=false&amp;strike=340&amp;type=all" xr:uid="{BB4FBA0D-2549-48CF-B255-423EA1F51DC2}"/>
    <hyperlink ref="A451" r:id="rId995" display="https://finance.yahoo.com/quote/AMZN260515C00350000/" xr:uid="{39C7DB34-9986-41F4-BD6E-FE1637F87424}"/>
    <hyperlink ref="F451" r:id="rId996" display="https://finance.yahoo.com/quote/AMZN/options/?straddle=false&amp;strike=350&amp;type=all" xr:uid="{2731EFC3-23F4-4DC6-BB90-BE5EDD373406}"/>
    <hyperlink ref="A452" r:id="rId997" display="https://finance.yahoo.com/quote/AMZN260515C00360000/" xr:uid="{0FA5FC88-253D-407E-B9BF-AD15E7AEBD21}"/>
    <hyperlink ref="F452" r:id="rId998" display="https://finance.yahoo.com/quote/AMZN/options/?straddle=false&amp;strike=360&amp;type=all" xr:uid="{906DB5F1-194C-4DA7-8724-450FF654CAB1}"/>
    <hyperlink ref="A453" r:id="rId999" display="https://finance.yahoo.com/quote/AMZN260515C00370000/" xr:uid="{E4B5CE4C-DBA2-479B-A76D-EC4E52B45FB3}"/>
    <hyperlink ref="F453" r:id="rId1000" display="https://finance.yahoo.com/quote/AMZN/options/?straddle=false&amp;strike=370&amp;type=all" xr:uid="{DFF9BAAF-D484-4832-91B5-7E4F8F276513}"/>
    <hyperlink ref="A504" r:id="rId1001" display="https://finance.yahoo.com/quote/AMZN260515C00105000/" xr:uid="{19C7D38F-97B6-45C7-95E7-EFD870023E65}"/>
    <hyperlink ref="F504" r:id="rId1002" display="https://finance.yahoo.com/quote/AMZN/options/?straddle=false&amp;strike=105&amp;type=all" xr:uid="{E2CC8DDC-93E7-4AE1-BE09-B8C04311C76E}"/>
    <hyperlink ref="A505" r:id="rId1003" display="https://finance.yahoo.com/quote/AMZN260515C00110000/" xr:uid="{5734A589-B1BC-4DD6-AAD9-1C5A6827DA29}"/>
    <hyperlink ref="F505" r:id="rId1004" display="https://finance.yahoo.com/quote/AMZN/options/?straddle=false&amp;strike=110&amp;type=all" xr:uid="{6D9A39A4-18BC-4389-A8C8-2B28E9C70F0C}"/>
    <hyperlink ref="A506" r:id="rId1005" display="https://finance.yahoo.com/quote/AMZN260515C00115000/" xr:uid="{0E91BDF6-D482-4EF6-9589-D9011AA9AFAF}"/>
    <hyperlink ref="F506" r:id="rId1006" display="https://finance.yahoo.com/quote/AMZN/options/?straddle=false&amp;strike=115&amp;type=all" xr:uid="{EE6E6988-C3C5-421C-96A7-4AC99120D2BD}"/>
    <hyperlink ref="A507" r:id="rId1007" display="https://finance.yahoo.com/quote/AMZN260515C00120000/" xr:uid="{3B0EFB5E-B745-4738-908F-74E26DE9B4CB}"/>
    <hyperlink ref="F507" r:id="rId1008" display="https://finance.yahoo.com/quote/AMZN/options/?straddle=false&amp;strike=120&amp;type=all" xr:uid="{191C7327-B2CC-43FA-B836-6379117F4A27}"/>
    <hyperlink ref="A508" r:id="rId1009" display="https://finance.yahoo.com/quote/AMZN260515C00125000/" xr:uid="{1DA9E2D1-E627-4E1A-B63D-B81438547F55}"/>
    <hyperlink ref="F508" r:id="rId1010" display="https://finance.yahoo.com/quote/AMZN/options/?straddle=false&amp;strike=125&amp;type=all" xr:uid="{D9B43046-B3AE-4AE4-B513-04DDFC4839C1}"/>
    <hyperlink ref="A509" r:id="rId1011" display="https://finance.yahoo.com/quote/AMZN260515C00130000/" xr:uid="{B02A47C7-2D5D-4537-8761-491CBC13A2A0}"/>
    <hyperlink ref="F509" r:id="rId1012" display="https://finance.yahoo.com/quote/AMZN/options/?straddle=false&amp;strike=130&amp;type=all" xr:uid="{211B238A-3C0E-41A5-AD12-D28404368303}"/>
    <hyperlink ref="A510" r:id="rId1013" display="https://finance.yahoo.com/quote/AMZN260515C00135000/" xr:uid="{66D925C9-4645-44D0-A186-44A06109653E}"/>
    <hyperlink ref="F510" r:id="rId1014" display="https://finance.yahoo.com/quote/AMZN/options/?straddle=false&amp;strike=135&amp;type=all" xr:uid="{1054C583-3228-4B9B-A56A-3641B49567B6}"/>
    <hyperlink ref="A511" r:id="rId1015" display="https://finance.yahoo.com/quote/AMZN260515C00140000/" xr:uid="{165C2176-3610-4D16-96B7-94CB4EE4EAA6}"/>
    <hyperlink ref="F511" r:id="rId1016" display="https://finance.yahoo.com/quote/AMZN/options/?straddle=false&amp;strike=140&amp;type=all" xr:uid="{91B58365-B1CE-4E7A-96CC-A05E7EB9148D}"/>
    <hyperlink ref="A512" r:id="rId1017" display="https://finance.yahoo.com/quote/AMZN260515C00145000/" xr:uid="{333D06D9-6A67-47F7-A6F4-FDB3FADE9A3E}"/>
    <hyperlink ref="F512" r:id="rId1018" display="https://finance.yahoo.com/quote/AMZN/options/?straddle=false&amp;strike=145&amp;type=all" xr:uid="{1CE16995-91AB-4D0E-B4D5-623265D8F9A1}"/>
    <hyperlink ref="A513" r:id="rId1019" display="https://finance.yahoo.com/quote/AMZN260515C00150000/" xr:uid="{E6EDF461-F76B-49FD-82B4-AC03AFDBD059}"/>
    <hyperlink ref="F513" r:id="rId1020" display="https://finance.yahoo.com/quote/AMZN/options/?straddle=false&amp;strike=150&amp;type=all" xr:uid="{EA6A622D-F08E-4644-9ADB-A3FB835A4525}"/>
    <hyperlink ref="A514" r:id="rId1021" display="https://finance.yahoo.com/quote/AMZN260515C00155000/" xr:uid="{99380127-D010-49A1-A735-88DA2B7987DA}"/>
    <hyperlink ref="F514" r:id="rId1022" display="https://finance.yahoo.com/quote/AMZN/options/?straddle=false&amp;strike=155&amp;type=all" xr:uid="{38A9527D-29A1-43E3-9A08-BE48CB085D8F}"/>
    <hyperlink ref="A515" r:id="rId1023" display="https://finance.yahoo.com/quote/AMZN260515C00160000/" xr:uid="{83958D9F-2115-47FF-B1A8-87D4E773CB61}"/>
    <hyperlink ref="F515" r:id="rId1024" display="https://finance.yahoo.com/quote/AMZN/options/?straddle=false&amp;strike=160&amp;type=all" xr:uid="{76C138A4-0A2C-49DA-BC26-6A6CC1870C85}"/>
    <hyperlink ref="A516" r:id="rId1025" display="https://finance.yahoo.com/quote/AMZN260515C00165000/" xr:uid="{20B953A2-D07A-411D-ADB8-A16F77DD847B}"/>
    <hyperlink ref="F516" r:id="rId1026" display="https://finance.yahoo.com/quote/AMZN/options/?straddle=false&amp;strike=165&amp;type=all" xr:uid="{8A144069-4EEB-46E0-A11A-A7D693EAF828}"/>
    <hyperlink ref="A517" r:id="rId1027" display="https://finance.yahoo.com/quote/AMZN260515C00170000/" xr:uid="{12EAF8BE-8847-4FC5-BBBD-996D4082BB11}"/>
    <hyperlink ref="F517" r:id="rId1028" display="https://finance.yahoo.com/quote/AMZN/options/?straddle=false&amp;strike=170&amp;type=all" xr:uid="{48CE1290-D47D-484A-832A-2E5EF6DA4BFC}"/>
    <hyperlink ref="A518" r:id="rId1029" display="https://finance.yahoo.com/quote/AMZN260515C00175000/" xr:uid="{03ACE163-E61A-46E5-9C20-E04F3D95C41D}"/>
    <hyperlink ref="F518" r:id="rId1030" display="https://finance.yahoo.com/quote/AMZN/options/?straddle=false&amp;strike=175&amp;type=all" xr:uid="{EBFB8090-A4CC-4FA9-9E95-07CC5AE4C1D2}"/>
    <hyperlink ref="A519" r:id="rId1031" display="https://finance.yahoo.com/quote/AMZN260515C00180000/" xr:uid="{3D410CA1-75A3-4190-941C-6427AF8B6AF7}"/>
    <hyperlink ref="F519" r:id="rId1032" display="https://finance.yahoo.com/quote/AMZN/options/?straddle=false&amp;strike=180&amp;type=all" xr:uid="{25C918E3-B94F-4E49-853C-E7DF8324C224}"/>
    <hyperlink ref="A520" r:id="rId1033" display="https://finance.yahoo.com/quote/AMZN260515C00185000/" xr:uid="{607CF3A3-F2C5-43EF-AA3B-9E4B96AB7708}"/>
    <hyperlink ref="F520" r:id="rId1034" display="https://finance.yahoo.com/quote/AMZN/options/?straddle=false&amp;strike=185&amp;type=all" xr:uid="{527613BD-4B52-451A-A67D-8652CDA3FBB5}"/>
    <hyperlink ref="A521" r:id="rId1035" display="https://finance.yahoo.com/quote/AMZN260515C00190000/" xr:uid="{92DEFEE2-C5C2-4B9B-9A57-99CBABBB992F}"/>
    <hyperlink ref="F521" r:id="rId1036" display="https://finance.yahoo.com/quote/AMZN/options/?straddle=false&amp;strike=190&amp;type=all" xr:uid="{A47813C4-D0F4-4568-A335-59BE8D707DB8}"/>
    <hyperlink ref="A522" r:id="rId1037" display="https://finance.yahoo.com/quote/AMZN260515C00195000/" xr:uid="{3ED1E3BC-B4FC-4B0C-8421-C44FB1B2E719}"/>
    <hyperlink ref="F522" r:id="rId1038" display="https://finance.yahoo.com/quote/AMZN/options/?straddle=false&amp;strike=195&amp;type=all" xr:uid="{49B26B92-4C58-402E-AC6D-7430EE2F92F0}"/>
    <hyperlink ref="A523" r:id="rId1039" display="https://finance.yahoo.com/quote/AMZN260515C00200000/" xr:uid="{C947FFBA-29DF-4276-8676-C8D136A69DB2}"/>
    <hyperlink ref="F523" r:id="rId1040" display="https://finance.yahoo.com/quote/AMZN/options/?straddle=false&amp;strike=200&amp;type=all" xr:uid="{987F962F-F8CF-4A33-9E78-F802BBF0C3B5}"/>
    <hyperlink ref="A524" r:id="rId1041" display="https://finance.yahoo.com/quote/AMZN260515C00205000/" xr:uid="{31D5CACF-0B7F-4AAD-BE4E-7905C4B61836}"/>
    <hyperlink ref="F524" r:id="rId1042" display="https://finance.yahoo.com/quote/AMZN/options/?straddle=false&amp;strike=205&amp;type=all" xr:uid="{E736B9C8-0C6F-4206-9E4B-4358BA20E95A}"/>
    <hyperlink ref="A525" r:id="rId1043" display="https://finance.yahoo.com/quote/AMZN260515C00210000/" xr:uid="{39C18A2F-58F3-49F4-B7C0-9465B229334D}"/>
    <hyperlink ref="F525" r:id="rId1044" display="https://finance.yahoo.com/quote/AMZN/options/?straddle=false&amp;strike=210&amp;type=all" xr:uid="{3A3FE24F-C275-4526-B6AE-32F0790BF8ED}"/>
    <hyperlink ref="A526" r:id="rId1045" display="https://finance.yahoo.com/quote/AMZN260515C00215000/" xr:uid="{5DC4DDF1-2A0F-4BDF-B7E0-8C5993F724B7}"/>
    <hyperlink ref="F526" r:id="rId1046" display="https://finance.yahoo.com/quote/AMZN/options/?straddle=false&amp;strike=215&amp;type=all" xr:uid="{2713C9CB-B798-4175-8F09-E9297982005F}"/>
    <hyperlink ref="A527" r:id="rId1047" display="https://finance.yahoo.com/quote/AMZN260515C00220000/" xr:uid="{A4101C34-AF0A-4691-A600-8489F09F925E}"/>
    <hyperlink ref="F527" r:id="rId1048" display="https://finance.yahoo.com/quote/AMZN/options/?straddle=false&amp;strike=220&amp;type=all" xr:uid="{B92A5BF0-BCB7-4177-9F57-C1B42C9AC775}"/>
    <hyperlink ref="A528" r:id="rId1049" display="https://finance.yahoo.com/quote/AMZN260515C00225000/" xr:uid="{2EAE414E-E66E-4B58-A685-89AA65DAC7AC}"/>
    <hyperlink ref="F528" r:id="rId1050" display="https://finance.yahoo.com/quote/AMZN/options/?straddle=false&amp;strike=225&amp;type=all" xr:uid="{A3213516-3BC8-4809-9E3E-2E13AABB81CF}"/>
    <hyperlink ref="A529" r:id="rId1051" display="https://finance.yahoo.com/quote/AMZN260515C00230000/" xr:uid="{D910500F-132C-4137-A62D-6C6DCA4B21B3}"/>
    <hyperlink ref="F529" r:id="rId1052" display="https://finance.yahoo.com/quote/AMZN/options/?straddle=false&amp;strike=230&amp;type=all" xr:uid="{05148928-0A39-4EF8-888A-70A1EFEDA10F}"/>
    <hyperlink ref="A530" r:id="rId1053" display="https://finance.yahoo.com/quote/AMZN260515C00235000/" xr:uid="{2F47B536-D93D-4EAA-BC20-961AE45A4873}"/>
    <hyperlink ref="F530" r:id="rId1054" display="https://finance.yahoo.com/quote/AMZN/options/?straddle=false&amp;strike=235&amp;type=all" xr:uid="{388781C8-D3CA-4F18-B317-7FF3A9874ECB}"/>
    <hyperlink ref="A531" r:id="rId1055" display="https://finance.yahoo.com/quote/AMZN260515C00240000/" xr:uid="{3698E4B4-AEA7-4CAF-8E3B-D4D1A2AD69B6}"/>
    <hyperlink ref="F531" r:id="rId1056" display="https://finance.yahoo.com/quote/AMZN/options/?straddle=false&amp;strike=240&amp;type=all" xr:uid="{70A862A9-2719-441E-97E0-B60AC2B3E682}"/>
    <hyperlink ref="A532" r:id="rId1057" display="https://finance.yahoo.com/quote/AMZN260515C00245000/" xr:uid="{796C7DD2-80EB-46C9-BA39-1CFC4D26354F}"/>
    <hyperlink ref="F532" r:id="rId1058" display="https://finance.yahoo.com/quote/AMZN/options/?straddle=false&amp;strike=245&amp;type=all" xr:uid="{51FFFF2F-DE3C-4406-986F-66A02130C6FB}"/>
    <hyperlink ref="A533" r:id="rId1059" display="https://finance.yahoo.com/quote/AMZN260515C00250000/" xr:uid="{7EF2A5C9-6C34-4903-8E8C-94B2D9D44744}"/>
    <hyperlink ref="F533" r:id="rId1060" display="https://finance.yahoo.com/quote/AMZN/options/?straddle=false&amp;strike=250&amp;type=all" xr:uid="{3D2D84CB-7584-446F-87F7-577C68560083}"/>
    <hyperlink ref="A534" r:id="rId1061" display="https://finance.yahoo.com/quote/AMZN260515C00255000/" xr:uid="{D37A6199-060E-4ABF-98D4-6A630C71867B}"/>
    <hyperlink ref="F534" r:id="rId1062" display="https://finance.yahoo.com/quote/AMZN/options/?straddle=false&amp;strike=255&amp;type=all" xr:uid="{775093B9-94CA-485B-A46F-3449DC2F6B81}"/>
    <hyperlink ref="A535" r:id="rId1063" display="https://finance.yahoo.com/quote/AMZN260515C00260000/" xr:uid="{44946150-D84F-40E8-820E-2F466719068C}"/>
    <hyperlink ref="F535" r:id="rId1064" display="https://finance.yahoo.com/quote/AMZN/options/?straddle=false&amp;strike=260&amp;type=all" xr:uid="{7A3314EE-E726-4F69-A6A1-95E82BFB0222}"/>
    <hyperlink ref="A536" r:id="rId1065" display="https://finance.yahoo.com/quote/AMZN260515C00265000/" xr:uid="{ABAC7BB1-71BF-402A-B9B9-80EB68D50398}"/>
    <hyperlink ref="F536" r:id="rId1066" display="https://finance.yahoo.com/quote/AMZN/options/?straddle=false&amp;strike=265&amp;type=all" xr:uid="{B6C1BC64-2F3F-4EB7-A504-06058FFBE579}"/>
    <hyperlink ref="A537" r:id="rId1067" display="https://finance.yahoo.com/quote/AMZN260515C00270000/" xr:uid="{313B648C-4DDC-4CC9-9017-365648D6703C}"/>
    <hyperlink ref="F537" r:id="rId1068" display="https://finance.yahoo.com/quote/AMZN/options/?straddle=false&amp;strike=270&amp;type=all" xr:uid="{AF93451C-DD5A-4F02-A54C-58B00DE7654B}"/>
    <hyperlink ref="A538" r:id="rId1069" display="https://finance.yahoo.com/quote/AMZN260515C00275000/" xr:uid="{A5BA1EDC-DF1B-4C85-A5CE-419F19B26A2E}"/>
    <hyperlink ref="F538" r:id="rId1070" display="https://finance.yahoo.com/quote/AMZN/options/?straddle=false&amp;strike=275&amp;type=all" xr:uid="{3AB69FAB-6962-46C8-A8B7-B72C33484634}"/>
    <hyperlink ref="A539" r:id="rId1071" display="https://finance.yahoo.com/quote/AMZN260515C00280000/" xr:uid="{63B1F450-796F-443D-9D9B-905114DA236E}"/>
    <hyperlink ref="F539" r:id="rId1072" display="https://finance.yahoo.com/quote/AMZN/options/?straddle=false&amp;strike=280&amp;type=all" xr:uid="{FAA86CB2-0C57-4DFB-AFBC-D2CF25035299}"/>
    <hyperlink ref="A540" r:id="rId1073" display="https://finance.yahoo.com/quote/AMZN260515C00285000/" xr:uid="{180F1327-E97A-4E2C-85F0-B1A080331902}"/>
    <hyperlink ref="F540" r:id="rId1074" display="https://finance.yahoo.com/quote/AMZN/options/?straddle=false&amp;strike=285&amp;type=all" xr:uid="{FFC7DA43-1BE4-4496-9122-C0F063625E4A}"/>
    <hyperlink ref="A541" r:id="rId1075" display="https://finance.yahoo.com/quote/AMZN260515C00290000/" xr:uid="{C88046A7-FAEA-4B35-8C0F-8B7F3DE841C9}"/>
    <hyperlink ref="F541" r:id="rId1076" display="https://finance.yahoo.com/quote/AMZN/options/?straddle=false&amp;strike=290&amp;type=all" xr:uid="{09BCFD96-926B-41BD-9328-D5F7542202BA}"/>
    <hyperlink ref="A542" r:id="rId1077" display="https://finance.yahoo.com/quote/AMZN260515C00295000/" xr:uid="{E977F4CF-E2FD-4776-A080-86440E00754F}"/>
    <hyperlink ref="F542" r:id="rId1078" display="https://finance.yahoo.com/quote/AMZN/options/?straddle=false&amp;strike=295&amp;type=all" xr:uid="{E0FD7695-8A45-4285-97D5-13048A5B0AB9}"/>
    <hyperlink ref="A543" r:id="rId1079" display="https://finance.yahoo.com/quote/AMZN260515C00300000/" xr:uid="{CEFA4BE6-0442-43E1-A07C-B391A23ADD09}"/>
    <hyperlink ref="F543" r:id="rId1080" display="https://finance.yahoo.com/quote/AMZN/options/?straddle=false&amp;strike=300&amp;type=all" xr:uid="{27404060-2A4D-4489-A362-B3797EDE0200}"/>
    <hyperlink ref="A544" r:id="rId1081" display="https://finance.yahoo.com/quote/AMZN260515C00305000/" xr:uid="{8F6AB557-E6F5-4AAC-A157-BBAC17D15A2F}"/>
    <hyperlink ref="F544" r:id="rId1082" display="https://finance.yahoo.com/quote/AMZN/options/?straddle=false&amp;strike=305&amp;type=all" xr:uid="{B1606CE3-1CA0-45CD-9327-6C921B2DD493}"/>
    <hyperlink ref="A545" r:id="rId1083" display="https://finance.yahoo.com/quote/AMZN260515C00310000/" xr:uid="{BCD3047E-C3C2-4D33-95E5-C4FB4A11FF8A}"/>
    <hyperlink ref="F545" r:id="rId1084" display="https://finance.yahoo.com/quote/AMZN/options/?straddle=false&amp;strike=310&amp;type=all" xr:uid="{8D20D0A6-154C-458D-92BD-32782CF60BBC}"/>
    <hyperlink ref="A546" r:id="rId1085" display="https://finance.yahoo.com/quote/AMZN260515C00315000/" xr:uid="{F87CAED5-FE71-4A26-894A-27F8D8E90144}"/>
    <hyperlink ref="F546" r:id="rId1086" display="https://finance.yahoo.com/quote/AMZN/options/?straddle=false&amp;strike=315&amp;type=all" xr:uid="{3EDF17AD-639E-4AF1-8F4B-79B3B29158DD}"/>
    <hyperlink ref="A547" r:id="rId1087" display="https://finance.yahoo.com/quote/AMZN260515C00320000/" xr:uid="{3F7576BB-C1E9-4A27-A4BA-E38DF7D09D5A}"/>
    <hyperlink ref="F547" r:id="rId1088" display="https://finance.yahoo.com/quote/AMZN/options/?straddle=false&amp;strike=320&amp;type=all" xr:uid="{425FE112-AB9A-436F-8B0F-23801945B2C8}"/>
    <hyperlink ref="A548" r:id="rId1089" display="https://finance.yahoo.com/quote/AMZN260515C00325000/" xr:uid="{B5C38E9B-C9E4-4CDC-BD1D-DA63A6D9D865}"/>
    <hyperlink ref="F548" r:id="rId1090" display="https://finance.yahoo.com/quote/AMZN/options/?straddle=false&amp;strike=325&amp;type=all" xr:uid="{925A693C-3DAF-4D64-80CA-7B0B82EC3ABE}"/>
    <hyperlink ref="A549" r:id="rId1091" display="https://finance.yahoo.com/quote/AMZN260515C00330000/" xr:uid="{27621D6A-BFEF-4A9C-8AD1-7B195015EF9C}"/>
    <hyperlink ref="F549" r:id="rId1092" display="https://finance.yahoo.com/quote/AMZN/options/?straddle=false&amp;strike=330&amp;type=all" xr:uid="{37096FE5-79FD-40B4-AAC3-9C8991E4D184}"/>
    <hyperlink ref="A550" r:id="rId1093" display="https://finance.yahoo.com/quote/AMZN260515C00340000/" xr:uid="{EC1EC70A-B33F-446F-ABF1-1EDDDE2D202F}"/>
    <hyperlink ref="F550" r:id="rId1094" display="https://finance.yahoo.com/quote/AMZN/options/?straddle=false&amp;strike=340&amp;type=all" xr:uid="{33BE4166-48C3-40FE-AD1F-48B67CE9E6C6}"/>
    <hyperlink ref="A551" r:id="rId1095" display="https://finance.yahoo.com/quote/AMZN260515C00350000/" xr:uid="{5264ACEA-29EF-4D0F-B980-443D00DCD6D7}"/>
    <hyperlink ref="F551" r:id="rId1096" display="https://finance.yahoo.com/quote/AMZN/options/?straddle=false&amp;strike=350&amp;type=all" xr:uid="{7784470E-7FC5-42F5-8F69-624DFCA14F26}"/>
    <hyperlink ref="A552" r:id="rId1097" display="https://finance.yahoo.com/quote/AMZN260515C00360000/" xr:uid="{713B301F-5E1E-4363-8121-A1C02284A1FF}"/>
    <hyperlink ref="F552" r:id="rId1098" display="https://finance.yahoo.com/quote/AMZN/options/?straddle=false&amp;strike=360&amp;type=all" xr:uid="{769B2980-8A47-4D8A-A05D-709E64F52E79}"/>
    <hyperlink ref="A553" r:id="rId1099" display="https://finance.yahoo.com/quote/AMZN260515C00370000/" xr:uid="{9EBB366C-9C74-40B1-A87D-9A20B7702C87}"/>
    <hyperlink ref="F553" r:id="rId1100" display="https://finance.yahoo.com/quote/AMZN/options/?straddle=false&amp;strike=370&amp;type=all" xr:uid="{9DF08774-7CB8-47AC-9839-A7F66E74D221}"/>
    <hyperlink ref="A554" r:id="rId1101" display="https://finance.yahoo.com/quote/AMZN260515P00105000/" xr:uid="{8177AEB3-0FC3-447F-8FA3-B5019A634113}"/>
    <hyperlink ref="F554" r:id="rId1102" display="https://finance.yahoo.com/quote/AMZN/options/?straddle=false&amp;strike=105&amp;type=all" xr:uid="{BE146278-D280-4EA4-96A0-880F1BDD798A}"/>
    <hyperlink ref="A555" r:id="rId1103" display="https://finance.yahoo.com/quote/AMZN260515P00110000/" xr:uid="{6B9C39F7-9E92-4B1A-8B18-0C1B06E51ACF}"/>
    <hyperlink ref="F555" r:id="rId1104" display="https://finance.yahoo.com/quote/AMZN/options/?straddle=false&amp;strike=110&amp;type=all" xr:uid="{B94D72A3-DC93-4D11-9042-3439AB96C17E}"/>
    <hyperlink ref="A556" r:id="rId1105" display="https://finance.yahoo.com/quote/AMZN260515P00115000/" xr:uid="{FC3C895C-EF98-45E5-A727-0C71246BAF41}"/>
    <hyperlink ref="F556" r:id="rId1106" display="https://finance.yahoo.com/quote/AMZN/options/?straddle=false&amp;strike=115&amp;type=all" xr:uid="{E035FD4F-C451-4E42-ABCD-DD8A8C3591B4}"/>
    <hyperlink ref="A557" r:id="rId1107" display="https://finance.yahoo.com/quote/AMZN260515P00120000/" xr:uid="{21EE3041-19C6-4B6E-BC3C-948DB245157C}"/>
    <hyperlink ref="F557" r:id="rId1108" display="https://finance.yahoo.com/quote/AMZN/options/?straddle=false&amp;strike=120&amp;type=all" xr:uid="{92D19FB6-AC15-4458-940F-B99679B69B36}"/>
    <hyperlink ref="A558" r:id="rId1109" display="https://finance.yahoo.com/quote/AMZN260515P00125000/" xr:uid="{0EFFACA2-0356-47D4-A68A-0BDA3FAD1D33}"/>
    <hyperlink ref="F558" r:id="rId1110" display="https://finance.yahoo.com/quote/AMZN/options/?straddle=false&amp;strike=125&amp;type=all" xr:uid="{18F673B4-379A-4463-8961-2EA9097A033B}"/>
    <hyperlink ref="A559" r:id="rId1111" display="https://finance.yahoo.com/quote/AMZN260515P00130000/" xr:uid="{2816A4F0-06E8-4396-9D95-66E13B7FC36A}"/>
    <hyperlink ref="F559" r:id="rId1112" display="https://finance.yahoo.com/quote/AMZN/options/?straddle=false&amp;strike=130&amp;type=all" xr:uid="{EE0337CB-75E2-40E9-BF4E-B2FC7A3C052F}"/>
    <hyperlink ref="A560" r:id="rId1113" display="https://finance.yahoo.com/quote/AMZN260515P00135000/" xr:uid="{43D30E76-F137-481D-B016-ECD889FD4778}"/>
    <hyperlink ref="F560" r:id="rId1114" display="https://finance.yahoo.com/quote/AMZN/options/?straddle=false&amp;strike=135&amp;type=all" xr:uid="{9F46231D-32D1-4952-B680-8E36C6101E65}"/>
    <hyperlink ref="A561" r:id="rId1115" display="https://finance.yahoo.com/quote/AMZN260515P00140000/" xr:uid="{5853867F-DC63-4409-A929-0137BA8AF678}"/>
    <hyperlink ref="F561" r:id="rId1116" display="https://finance.yahoo.com/quote/AMZN/options/?straddle=false&amp;strike=140&amp;type=all" xr:uid="{063E4CD8-7B4D-4C72-926E-A25719E6C2AC}"/>
    <hyperlink ref="A562" r:id="rId1117" display="https://finance.yahoo.com/quote/AMZN260515P00145000/" xr:uid="{F56707CB-A37C-43AA-8A55-B1AB2E5BA35C}"/>
    <hyperlink ref="F562" r:id="rId1118" display="https://finance.yahoo.com/quote/AMZN/options/?straddle=false&amp;strike=145&amp;type=all" xr:uid="{74EC3CA5-C49E-4469-A3CB-AE02B29A17B0}"/>
    <hyperlink ref="A563" r:id="rId1119" display="https://finance.yahoo.com/quote/AMZN260515P00150000/" xr:uid="{86BD9309-77AD-40C7-BF6B-4E75E8B43DEA}"/>
    <hyperlink ref="F563" r:id="rId1120" display="https://finance.yahoo.com/quote/AMZN/options/?straddle=false&amp;strike=150&amp;type=all" xr:uid="{19BA495F-293D-4175-A386-9C91603C1AB5}"/>
    <hyperlink ref="A564" r:id="rId1121" display="https://finance.yahoo.com/quote/AMZN260515P00155000/" xr:uid="{64E79E4F-247F-4D53-A5C9-24EEF544AC7E}"/>
    <hyperlink ref="F564" r:id="rId1122" display="https://finance.yahoo.com/quote/AMZN/options/?straddle=false&amp;strike=155&amp;type=all" xr:uid="{77ED27C9-9793-452E-BA8F-551E6968D377}"/>
    <hyperlink ref="A565" r:id="rId1123" display="https://finance.yahoo.com/quote/AMZN260515P00160000/" xr:uid="{9BB82783-BAA4-4969-B020-C29BB72FA30B}"/>
    <hyperlink ref="F565" r:id="rId1124" display="https://finance.yahoo.com/quote/AMZN/options/?straddle=false&amp;strike=160&amp;type=all" xr:uid="{61D74571-A8D5-4D42-9EDF-3A1004B813ED}"/>
    <hyperlink ref="A566" r:id="rId1125" display="https://finance.yahoo.com/quote/AMZN260515P00165000/" xr:uid="{49C14009-5D55-4E4E-A29D-9CA0D2794522}"/>
    <hyperlink ref="F566" r:id="rId1126" display="https://finance.yahoo.com/quote/AMZN/options/?straddle=false&amp;strike=165&amp;type=all" xr:uid="{9C4C00F0-ACA9-4DB8-BF1A-DECACA86FFF7}"/>
    <hyperlink ref="A567" r:id="rId1127" display="https://finance.yahoo.com/quote/AMZN260515P00170000/" xr:uid="{E4C197C5-E773-4009-9C55-30D3951A1545}"/>
    <hyperlink ref="F567" r:id="rId1128" display="https://finance.yahoo.com/quote/AMZN/options/?straddle=false&amp;strike=170&amp;type=all" xr:uid="{8DF82EE3-F25A-400F-B60E-D603097B06A0}"/>
    <hyperlink ref="A568" r:id="rId1129" display="https://finance.yahoo.com/quote/AMZN260515P00175000/" xr:uid="{3B79D124-6174-46AC-9A44-A629A3EEFD68}"/>
    <hyperlink ref="F568" r:id="rId1130" display="https://finance.yahoo.com/quote/AMZN/options/?straddle=false&amp;strike=175&amp;type=all" xr:uid="{082C97A3-5619-45B1-A6EF-F43075A4FC73}"/>
    <hyperlink ref="A569" r:id="rId1131" display="https://finance.yahoo.com/quote/AMZN260515P00180000/" xr:uid="{D32A0748-32F3-4B4D-B2DD-AE6E85267083}"/>
    <hyperlink ref="F569" r:id="rId1132" display="https://finance.yahoo.com/quote/AMZN/options/?straddle=false&amp;strike=180&amp;type=all" xr:uid="{432016C3-C030-4032-A768-877D62A6BB92}"/>
    <hyperlink ref="A570" r:id="rId1133" display="https://finance.yahoo.com/quote/AMZN260515P00185000/" xr:uid="{3F367E09-7403-4DAA-985F-8285DC44E186}"/>
    <hyperlink ref="F570" r:id="rId1134" display="https://finance.yahoo.com/quote/AMZN/options/?straddle=false&amp;strike=185&amp;type=all" xr:uid="{9161E7D7-5F62-4698-9973-DC3619016651}"/>
    <hyperlink ref="A571" r:id="rId1135" display="https://finance.yahoo.com/quote/AMZN260515P00190000/" xr:uid="{D6498D07-9ADD-40F6-94E8-D02812F1A3C5}"/>
    <hyperlink ref="F571" r:id="rId1136" display="https://finance.yahoo.com/quote/AMZN/options/?straddle=false&amp;strike=190&amp;type=all" xr:uid="{7614E0B8-4AC4-484B-A0DA-86BDA6A8A0E7}"/>
    <hyperlink ref="A572" r:id="rId1137" display="https://finance.yahoo.com/quote/AMZN260515P00195000/" xr:uid="{AF96D940-7873-44C9-940F-A18FA9EF90B9}"/>
    <hyperlink ref="F572" r:id="rId1138" display="https://finance.yahoo.com/quote/AMZN/options/?straddle=false&amp;strike=195&amp;type=all" xr:uid="{8D7DC225-6BCC-4A90-8ACD-139482D6A924}"/>
    <hyperlink ref="A573" r:id="rId1139" display="https://finance.yahoo.com/quote/AMZN260515P00200000/" xr:uid="{359DD77D-F59B-4590-BBF4-C939C75C92A5}"/>
    <hyperlink ref="F573" r:id="rId1140" display="https://finance.yahoo.com/quote/AMZN/options/?straddle=false&amp;strike=200&amp;type=all" xr:uid="{264EE503-B9E9-4D63-87A1-020A366663A0}"/>
    <hyperlink ref="A574" r:id="rId1141" display="https://finance.yahoo.com/quote/AMZN260515P00205000/" xr:uid="{C501C780-6323-47AE-9409-C3DE3F1F178A}"/>
    <hyperlink ref="F574" r:id="rId1142" display="https://finance.yahoo.com/quote/AMZN/options/?straddle=false&amp;strike=205&amp;type=all" xr:uid="{8A6D25D1-8CD1-41B1-A364-1533F6856AAF}"/>
    <hyperlink ref="A575" r:id="rId1143" display="https://finance.yahoo.com/quote/AMZN260515P00210000/" xr:uid="{3B4F1EB5-19AC-4F83-BDBC-8FC478FB659A}"/>
    <hyperlink ref="F575" r:id="rId1144" display="https://finance.yahoo.com/quote/AMZN/options/?straddle=false&amp;strike=210&amp;type=all" xr:uid="{9C35CB93-4756-414F-870F-C21E6C3386DB}"/>
    <hyperlink ref="A576" r:id="rId1145" display="https://finance.yahoo.com/quote/AMZN260515P00215000/" xr:uid="{8FC32F58-19D1-4981-BEB3-7B367D700EB7}"/>
    <hyperlink ref="F576" r:id="rId1146" display="https://finance.yahoo.com/quote/AMZN/options/?straddle=false&amp;strike=215&amp;type=all" xr:uid="{4B6CC583-CF83-4BC6-9C5A-A5956E4AA420}"/>
    <hyperlink ref="A577" r:id="rId1147" display="https://finance.yahoo.com/quote/AMZN260515P00220000/" xr:uid="{7068481E-8E10-472B-98C3-FB7F91A114DF}"/>
    <hyperlink ref="F577" r:id="rId1148" display="https://finance.yahoo.com/quote/AMZN/options/?straddle=false&amp;strike=220&amp;type=all" xr:uid="{9E271839-5443-45F1-A16F-653C3A4A05FF}"/>
    <hyperlink ref="A578" r:id="rId1149" display="https://finance.yahoo.com/quote/AMZN260515P00225000/" xr:uid="{442FBFD2-56EF-4E48-9A37-432F182FDE6B}"/>
    <hyperlink ref="F578" r:id="rId1150" display="https://finance.yahoo.com/quote/AMZN/options/?straddle=false&amp;strike=225&amp;type=all" xr:uid="{BCF68C60-0E38-4885-86A7-F30E5E7AFC3D}"/>
    <hyperlink ref="A579" r:id="rId1151" display="https://finance.yahoo.com/quote/AMZN260515P00230000/" xr:uid="{93F384AB-964A-4004-9035-E3A0E9752CC2}"/>
    <hyperlink ref="F579" r:id="rId1152" display="https://finance.yahoo.com/quote/AMZN/options/?straddle=false&amp;strike=230&amp;type=all" xr:uid="{595C6C40-3A80-4A40-8091-3031960ED778}"/>
    <hyperlink ref="A580" r:id="rId1153" display="https://finance.yahoo.com/quote/AMZN260515P00235000/" xr:uid="{D1936107-1E0D-4E53-A7E2-1FA596A75C48}"/>
    <hyperlink ref="F580" r:id="rId1154" display="https://finance.yahoo.com/quote/AMZN/options/?straddle=false&amp;strike=235&amp;type=all" xr:uid="{8075A311-7C4A-4B82-8A72-BEDA15440EFF}"/>
    <hyperlink ref="A581" r:id="rId1155" display="https://finance.yahoo.com/quote/AMZN260515P00240000/" xr:uid="{88C76873-6368-4643-A466-A231E698B53A}"/>
    <hyperlink ref="F581" r:id="rId1156" display="https://finance.yahoo.com/quote/AMZN/options/?straddle=false&amp;strike=240&amp;type=all" xr:uid="{966B8BEF-04DF-449D-9C7E-C4BAB2DD8FD5}"/>
    <hyperlink ref="A582" r:id="rId1157" display="https://finance.yahoo.com/quote/AMZN260515P00245000/" xr:uid="{D039B3E2-08FB-4070-9D97-22BDFEC69C99}"/>
    <hyperlink ref="F582" r:id="rId1158" display="https://finance.yahoo.com/quote/AMZN/options/?straddle=false&amp;strike=245&amp;type=all" xr:uid="{666DA82A-71EB-40C2-9F3B-50AB156D7D36}"/>
    <hyperlink ref="A583" r:id="rId1159" display="https://finance.yahoo.com/quote/AMZN260515P00250000/" xr:uid="{38B2EB28-EC42-471B-8FC7-CD232672C94C}"/>
    <hyperlink ref="F583" r:id="rId1160" display="https://finance.yahoo.com/quote/AMZN/options/?straddle=false&amp;strike=250&amp;type=all" xr:uid="{FEE97EED-6A13-4BB7-A45D-79B40A766320}"/>
    <hyperlink ref="A584" r:id="rId1161" display="https://finance.yahoo.com/quote/AMZN260515P00255000/" xr:uid="{316E4438-0894-448D-A7B4-32375C79E301}"/>
    <hyperlink ref="F584" r:id="rId1162" display="https://finance.yahoo.com/quote/AMZN/options/?straddle=false&amp;strike=255&amp;type=all" xr:uid="{4FF128F2-2925-4B96-A7AC-8EE02AF76DFB}"/>
    <hyperlink ref="A585" r:id="rId1163" display="https://finance.yahoo.com/quote/AMZN260515P00260000/" xr:uid="{322F42FA-33D8-458A-AD49-F624BD04ECA9}"/>
    <hyperlink ref="F585" r:id="rId1164" display="https://finance.yahoo.com/quote/AMZN/options/?straddle=false&amp;strike=260&amp;type=all" xr:uid="{C50BA595-B008-4EE0-BFE5-65332649FE5B}"/>
    <hyperlink ref="A586" r:id="rId1165" display="https://finance.yahoo.com/quote/AMZN260515P00265000/" xr:uid="{BC06962C-EE88-4B2B-9574-8FC3329A2C96}"/>
    <hyperlink ref="F586" r:id="rId1166" display="https://finance.yahoo.com/quote/AMZN/options/?straddle=false&amp;strike=265&amp;type=all" xr:uid="{0021E4F6-A79A-4A93-86F2-972D1DE0F006}"/>
    <hyperlink ref="A587" r:id="rId1167" display="https://finance.yahoo.com/quote/AMZN260515P00270000/" xr:uid="{CF28A041-B8A0-48B4-BEAF-CED93A049D4B}"/>
    <hyperlink ref="F587" r:id="rId1168" display="https://finance.yahoo.com/quote/AMZN/options/?straddle=false&amp;strike=270&amp;type=all" xr:uid="{BDCE1BD4-E99C-4597-9072-53E779E3FBE5}"/>
    <hyperlink ref="A588" r:id="rId1169" display="https://finance.yahoo.com/quote/AMZN260515P00275000/" xr:uid="{A155A323-8A36-4819-8C89-97174C9C6A31}"/>
    <hyperlink ref="F588" r:id="rId1170" display="https://finance.yahoo.com/quote/AMZN/options/?straddle=false&amp;strike=275&amp;type=all" xr:uid="{0E580FCB-7ECD-4AA6-9EAD-EF3278090376}"/>
    <hyperlink ref="A589" r:id="rId1171" display="https://finance.yahoo.com/quote/AMZN260515P00280000/" xr:uid="{3551BDDE-7D46-48C4-93A8-48A56EC27DF4}"/>
    <hyperlink ref="F589" r:id="rId1172" display="https://finance.yahoo.com/quote/AMZN/options/?straddle=false&amp;strike=280&amp;type=all" xr:uid="{F1A8A34C-064E-4318-91D7-00FE952864A6}"/>
    <hyperlink ref="A590" r:id="rId1173" display="https://finance.yahoo.com/quote/AMZN260515P00285000/" xr:uid="{D3FE39BC-CC32-4B81-A26F-CB372379A118}"/>
    <hyperlink ref="F590" r:id="rId1174" display="https://finance.yahoo.com/quote/AMZN/options/?straddle=false&amp;strike=285&amp;type=all" xr:uid="{18971234-52E7-4384-99D1-CBC6EE38EF06}"/>
    <hyperlink ref="A591" r:id="rId1175" display="https://finance.yahoo.com/quote/AMZN260515P00290000/" xr:uid="{06797DE6-ABE1-4732-9A2F-D6063607BA75}"/>
    <hyperlink ref="F591" r:id="rId1176" display="https://finance.yahoo.com/quote/AMZN/options/?straddle=false&amp;strike=290&amp;type=all" xr:uid="{AE74E1DF-71BF-423F-808A-56780C342FF7}"/>
    <hyperlink ref="A592" r:id="rId1177" display="https://finance.yahoo.com/quote/AMZN260515P00295000/" xr:uid="{F5901C6B-69FA-4026-BB45-BF179A505EE1}"/>
    <hyperlink ref="F592" r:id="rId1178" display="https://finance.yahoo.com/quote/AMZN/options/?straddle=false&amp;strike=295&amp;type=all" xr:uid="{9937FD54-FA50-4556-B6D3-A6627172AD95}"/>
    <hyperlink ref="A593" r:id="rId1179" display="https://finance.yahoo.com/quote/AMZN260515P00300000/" xr:uid="{F0A84702-E5F9-4D40-9461-6F24AD675462}"/>
    <hyperlink ref="F593" r:id="rId1180" display="https://finance.yahoo.com/quote/AMZN/options/?straddle=false&amp;strike=300&amp;type=all" xr:uid="{47542C00-FD44-46B0-86E1-4E3F530477A6}"/>
    <hyperlink ref="A594" r:id="rId1181" display="https://finance.yahoo.com/quote/AMZN260515P00305000/" xr:uid="{63B17E39-6115-42FB-AC1B-0C10C63C1814}"/>
    <hyperlink ref="F594" r:id="rId1182" display="https://finance.yahoo.com/quote/AMZN/options/?straddle=false&amp;strike=305&amp;type=all" xr:uid="{F0609FA8-974A-4F3E-A9B9-381CB5618FD6}"/>
    <hyperlink ref="A595" r:id="rId1183" display="https://finance.yahoo.com/quote/AMZN260515P00310000/" xr:uid="{2FA7CADB-8C32-4A5A-9B81-7A21B2B4BB81}"/>
    <hyperlink ref="F595" r:id="rId1184" display="https://finance.yahoo.com/quote/AMZN/options/?straddle=false&amp;strike=310&amp;type=all" xr:uid="{2CCDA7AC-5C47-4501-9F32-9C2D66F8F4F1}"/>
    <hyperlink ref="A596" r:id="rId1185" display="https://finance.yahoo.com/quote/AMZN260515P00315000/" xr:uid="{E11765CB-38FD-412E-BE1C-554C0C5F7087}"/>
    <hyperlink ref="F596" r:id="rId1186" display="https://finance.yahoo.com/quote/AMZN/options/?straddle=false&amp;strike=315&amp;type=all" xr:uid="{CE3602B7-F881-4731-A5CC-B73BB5A6647D}"/>
    <hyperlink ref="A597" r:id="rId1187" display="https://finance.yahoo.com/quote/AMZN260515P00320000/" xr:uid="{200E211A-0D67-4A10-B4E5-C57870DCB87D}"/>
    <hyperlink ref="F597" r:id="rId1188" display="https://finance.yahoo.com/quote/AMZN/options/?straddle=false&amp;strike=320&amp;type=all" xr:uid="{E6E637E3-DDD4-4876-8EF1-5843EC17AF7A}"/>
    <hyperlink ref="A598" r:id="rId1189" display="https://finance.yahoo.com/quote/AMZN260515P00325000/" xr:uid="{DAD6F934-EBCB-4353-A00A-33402BDC7194}"/>
    <hyperlink ref="F598" r:id="rId1190" display="https://finance.yahoo.com/quote/AMZN/options/?straddle=false&amp;strike=325&amp;type=all" xr:uid="{E9F4CFD7-CA0F-4BD8-A18B-18AE6B3C603A}"/>
    <hyperlink ref="A599" r:id="rId1191" display="https://finance.yahoo.com/quote/AMZN260515P00330000/" xr:uid="{5EEDDF55-BCBF-4ABC-BB0F-CA46D2874EF1}"/>
    <hyperlink ref="F599" r:id="rId1192" display="https://finance.yahoo.com/quote/AMZN/options/?straddle=false&amp;strike=330&amp;type=all" xr:uid="{CB61BBEA-5C27-4763-965C-B01DC7B4D11D}"/>
    <hyperlink ref="A600" r:id="rId1193" display="https://finance.yahoo.com/quote/AMZN260515P00340000/" xr:uid="{6E8AA71F-C89A-4808-B1C0-E38F44FE1C0C}"/>
    <hyperlink ref="F600" r:id="rId1194" display="https://finance.yahoo.com/quote/AMZN/options/?straddle=false&amp;strike=340&amp;type=all" xr:uid="{F4C72A07-EC58-4B86-8636-F63567363881}"/>
    <hyperlink ref="A601" r:id="rId1195" display="https://finance.yahoo.com/quote/AMZN260515P00350000/" xr:uid="{A5073D72-20D4-4C2F-86BC-5435E0E2A1D3}"/>
    <hyperlink ref="F601" r:id="rId1196" display="https://finance.yahoo.com/quote/AMZN/options/?straddle=false&amp;strike=350&amp;type=all" xr:uid="{DA0D97D6-DE38-4614-92A4-EB4675679522}"/>
    <hyperlink ref="A602" r:id="rId1197" display="https://finance.yahoo.com/quote/AMZN260515P00360000/" xr:uid="{7D07A49F-235F-41D1-B2AC-3B406B3761C6}"/>
    <hyperlink ref="F602" r:id="rId1198" display="https://finance.yahoo.com/quote/AMZN/options/?straddle=false&amp;strike=360&amp;type=all" xr:uid="{88B5E059-AB43-4827-876A-B9ACD9E9EF14}"/>
    <hyperlink ref="A603" r:id="rId1199" display="https://finance.yahoo.com/quote/AMZN260515P00370000/" xr:uid="{581A4220-DB31-45DA-AEC8-EC395E1D35AE}"/>
    <hyperlink ref="F603" r:id="rId1200" display="https://finance.yahoo.com/quote/AMZN/options/?straddle=false&amp;strike=370&amp;type=all" xr:uid="{A5C57017-FCD4-4F04-B58A-4CC33DF7A858}"/>
    <hyperlink ref="A604" r:id="rId1201" display="https://finance.yahoo.com/quote/AMZN260515C00105000/" xr:uid="{E2651C2C-3EED-4349-BAA3-3DB8FD2BE071}"/>
    <hyperlink ref="F604" r:id="rId1202" display="https://finance.yahoo.com/quote/AMZN/options/?straddle=false&amp;strike=105&amp;type=all" xr:uid="{025DB1C7-BE5E-7946-99A4-0C53E552B936}"/>
    <hyperlink ref="A605" r:id="rId1203" display="https://finance.yahoo.com/quote/AMZN260515C00110000/" xr:uid="{67B2CE82-8F8B-A84F-8194-58F59D5698F5}"/>
    <hyperlink ref="F605" r:id="rId1204" display="https://finance.yahoo.com/quote/AMZN/options/?straddle=false&amp;strike=110&amp;type=all" xr:uid="{1EBD20B4-FCAD-B44A-AA37-A1994353B388}"/>
    <hyperlink ref="A606" r:id="rId1205" display="https://finance.yahoo.com/quote/AMZN260515C00115000/" xr:uid="{9A1C9205-2F40-BD48-8C24-B700606B4B6E}"/>
    <hyperlink ref="F606" r:id="rId1206" display="https://finance.yahoo.com/quote/AMZN/options/?straddle=false&amp;strike=115&amp;type=all" xr:uid="{293F9456-DF89-FE46-8B39-FA52302E3B11}"/>
    <hyperlink ref="A607" r:id="rId1207" display="https://finance.yahoo.com/quote/AMZN260515C00120000/" xr:uid="{D091C3AD-6411-9747-ABCE-93F89D84077A}"/>
    <hyperlink ref="F607" r:id="rId1208" display="https://finance.yahoo.com/quote/AMZN/options/?straddle=false&amp;strike=120&amp;type=all" xr:uid="{A72B5007-AC12-0140-B3B3-78B3F1365436}"/>
    <hyperlink ref="A608" r:id="rId1209" display="https://finance.yahoo.com/quote/AMZN260515C00125000/" xr:uid="{27354856-5082-D14E-A4FA-012A99B6C760}"/>
    <hyperlink ref="F608" r:id="rId1210" display="https://finance.yahoo.com/quote/AMZN/options/?straddle=false&amp;strike=125&amp;type=all" xr:uid="{0B8FD764-0C9B-C044-BCB6-7C1D48BB3DB9}"/>
    <hyperlink ref="A609" r:id="rId1211" display="https://finance.yahoo.com/quote/AMZN260515C00130000/" xr:uid="{31142B9D-E463-ED41-9865-ABD7A22C59E4}"/>
    <hyperlink ref="F609" r:id="rId1212" display="https://finance.yahoo.com/quote/AMZN/options/?straddle=false&amp;strike=130&amp;type=all" xr:uid="{E6189C7B-97B1-F443-98AD-732C71240850}"/>
    <hyperlink ref="A610" r:id="rId1213" display="https://finance.yahoo.com/quote/AMZN260515C00135000/" xr:uid="{8482D31F-5EC8-1A41-8666-4E89B8B22496}"/>
    <hyperlink ref="F610" r:id="rId1214" display="https://finance.yahoo.com/quote/AMZN/options/?straddle=false&amp;strike=135&amp;type=all" xr:uid="{7AE1AF7E-3863-F04E-A109-B921C418180E}"/>
    <hyperlink ref="A611" r:id="rId1215" display="https://finance.yahoo.com/quote/AMZN260515C00140000/" xr:uid="{C98E74FE-870B-6149-9F0E-0D27055A95DC}"/>
    <hyperlink ref="F611" r:id="rId1216" display="https://finance.yahoo.com/quote/AMZN/options/?straddle=false&amp;strike=140&amp;type=all" xr:uid="{F5365D48-5825-8641-AA16-E0CC93230451}"/>
    <hyperlink ref="A612" r:id="rId1217" display="https://finance.yahoo.com/quote/AMZN260515C00145000/" xr:uid="{BF43E2BB-470A-8E4F-89EB-BD2172D3E072}"/>
    <hyperlink ref="F612" r:id="rId1218" display="https://finance.yahoo.com/quote/AMZN/options/?straddle=false&amp;strike=145&amp;type=all" xr:uid="{B2033139-50F3-124E-AE29-4B1B7A2F4E4D}"/>
    <hyperlink ref="A613" r:id="rId1219" display="https://finance.yahoo.com/quote/AMZN260515C00150000/" xr:uid="{B25B3B51-680A-0E44-8F1D-42E71B539C84}"/>
    <hyperlink ref="F613" r:id="rId1220" display="https://finance.yahoo.com/quote/AMZN/options/?straddle=false&amp;strike=150&amp;type=all" xr:uid="{9426E064-A3D4-514C-AD8F-96038BCA1D0B}"/>
    <hyperlink ref="A614" r:id="rId1221" display="https://finance.yahoo.com/quote/AMZN260515C00155000/" xr:uid="{EF7C228D-8031-E54E-B694-DC5F29B2B5C1}"/>
    <hyperlink ref="F614" r:id="rId1222" display="https://finance.yahoo.com/quote/AMZN/options/?straddle=false&amp;strike=155&amp;type=all" xr:uid="{C44A0739-1E92-F546-A937-03E61D4D2D0C}"/>
    <hyperlink ref="A615" r:id="rId1223" display="https://finance.yahoo.com/quote/AMZN260515C00160000/" xr:uid="{23FFBFFA-6DA1-7040-AF0D-126D30649D99}"/>
    <hyperlink ref="F615" r:id="rId1224" display="https://finance.yahoo.com/quote/AMZN/options/?straddle=false&amp;strike=160&amp;type=all" xr:uid="{95868F80-534C-844B-8597-F0827FA2B7BF}"/>
    <hyperlink ref="A616" r:id="rId1225" display="https://finance.yahoo.com/quote/AMZN260515C00165000/" xr:uid="{3BD2F7EC-1676-484E-82F6-90CAF6D7E9C6}"/>
    <hyperlink ref="F616" r:id="rId1226" display="https://finance.yahoo.com/quote/AMZN/options/?straddle=false&amp;strike=165&amp;type=all" xr:uid="{D2CE526D-E294-C04F-BB7E-DFA5D1F4BCDB}"/>
    <hyperlink ref="A617" r:id="rId1227" display="https://finance.yahoo.com/quote/AMZN260515C00170000/" xr:uid="{20326B20-15AE-114C-89D6-710F52DBA1B3}"/>
    <hyperlink ref="F617" r:id="rId1228" display="https://finance.yahoo.com/quote/AMZN/options/?straddle=false&amp;strike=170&amp;type=all" xr:uid="{EAF543AA-4571-E14E-A9CF-31117A8C8F4B}"/>
    <hyperlink ref="A618" r:id="rId1229" display="https://finance.yahoo.com/quote/AMZN260515C00175000/" xr:uid="{8AC331EA-B68B-7D47-ADE5-65C2BFF031CC}"/>
    <hyperlink ref="F618" r:id="rId1230" display="https://finance.yahoo.com/quote/AMZN/options/?straddle=false&amp;strike=175&amp;type=all" xr:uid="{FCF42E60-9FD6-4447-8A96-6592C9DD68AB}"/>
    <hyperlink ref="A619" r:id="rId1231" display="https://finance.yahoo.com/quote/AMZN260515C00180000/" xr:uid="{8E898F67-2A5C-894D-9702-7562763204AF}"/>
    <hyperlink ref="F619" r:id="rId1232" display="https://finance.yahoo.com/quote/AMZN/options/?straddle=false&amp;strike=180&amp;type=all" xr:uid="{F2E8FDA9-73B7-0249-9151-A3A33059D151}"/>
    <hyperlink ref="A620" r:id="rId1233" display="https://finance.yahoo.com/quote/AMZN260515C00185000/" xr:uid="{42BE098E-AB54-CA4C-BFA8-668FDDFF0AAB}"/>
    <hyperlink ref="F620" r:id="rId1234" display="https://finance.yahoo.com/quote/AMZN/options/?straddle=false&amp;strike=185&amp;type=all" xr:uid="{C0320B8C-B916-C04C-921F-1D9258FCE47B}"/>
    <hyperlink ref="A621" r:id="rId1235" display="https://finance.yahoo.com/quote/AMZN260515C00190000/" xr:uid="{A961E8E3-F895-6D43-988A-0C238B39FD47}"/>
    <hyperlink ref="F621" r:id="rId1236" display="https://finance.yahoo.com/quote/AMZN/options/?straddle=false&amp;strike=190&amp;type=all" xr:uid="{BF0007E6-F1C1-DE49-89B5-B0D71B00D234}"/>
    <hyperlink ref="A622" r:id="rId1237" display="https://finance.yahoo.com/quote/AMZN260515C00195000/" xr:uid="{35E954CB-3B0D-4644-A991-375304940554}"/>
    <hyperlink ref="F622" r:id="rId1238" display="https://finance.yahoo.com/quote/AMZN/options/?straddle=false&amp;strike=195&amp;type=all" xr:uid="{8E712228-C840-A144-9266-A20292F775DD}"/>
    <hyperlink ref="A623" r:id="rId1239" display="https://finance.yahoo.com/quote/AMZN260515C00200000/" xr:uid="{F1EFF3D1-E834-074E-80C8-CD2922F8A742}"/>
    <hyperlink ref="F623" r:id="rId1240" display="https://finance.yahoo.com/quote/AMZN/options/?straddle=false&amp;strike=200&amp;type=all" xr:uid="{5F50F43A-5B36-C746-A770-144920103FE8}"/>
    <hyperlink ref="A624" r:id="rId1241" display="https://finance.yahoo.com/quote/AMZN260515C00205000/" xr:uid="{D75007AA-2A15-464E-B56A-EB2362DB701F}"/>
    <hyperlink ref="F624" r:id="rId1242" display="https://finance.yahoo.com/quote/AMZN/options/?straddle=false&amp;strike=205&amp;type=all" xr:uid="{CE10912C-E23C-2D4E-BD86-D40518959046}"/>
    <hyperlink ref="A625" r:id="rId1243" display="https://finance.yahoo.com/quote/AMZN260515C00210000/" xr:uid="{8CE0FA81-67CC-4A45-8978-60A823A8AC34}"/>
    <hyperlink ref="F625" r:id="rId1244" display="https://finance.yahoo.com/quote/AMZN/options/?straddle=false&amp;strike=210&amp;type=all" xr:uid="{0DE27F75-BA0E-524C-9586-33D193CF24E2}"/>
    <hyperlink ref="A626" r:id="rId1245" display="https://finance.yahoo.com/quote/AMZN260515C00215000/" xr:uid="{987742CF-6CA3-2F41-8F84-7AD1B8417A4D}"/>
    <hyperlink ref="F626" r:id="rId1246" display="https://finance.yahoo.com/quote/AMZN/options/?straddle=false&amp;strike=215&amp;type=all" xr:uid="{27093602-D1D5-7140-B3F4-64CA39318C27}"/>
    <hyperlink ref="A627" r:id="rId1247" display="https://finance.yahoo.com/quote/AMZN260515C00220000/" xr:uid="{CB85F05B-6836-6B4C-B7D3-81009E054736}"/>
    <hyperlink ref="F627" r:id="rId1248" display="https://finance.yahoo.com/quote/AMZN/options/?straddle=false&amp;strike=220&amp;type=all" xr:uid="{6D6BD5B0-5201-DB41-8072-CF5A79D2F3AA}"/>
    <hyperlink ref="A628" r:id="rId1249" display="https://finance.yahoo.com/quote/AMZN260515C00225000/" xr:uid="{2A86DFA0-3466-B247-B93D-F6279CD2F5C5}"/>
    <hyperlink ref="F628" r:id="rId1250" display="https://finance.yahoo.com/quote/AMZN/options/?straddle=false&amp;strike=225&amp;type=all" xr:uid="{383423CB-C579-644C-8F29-C4B600BECBA3}"/>
    <hyperlink ref="A629" r:id="rId1251" display="https://finance.yahoo.com/quote/AMZN260515C00230000/" xr:uid="{A8EB4C05-FCAE-374E-8712-64CE53E88CC6}"/>
    <hyperlink ref="F629" r:id="rId1252" display="https://finance.yahoo.com/quote/AMZN/options/?straddle=false&amp;strike=230&amp;type=all" xr:uid="{F34365CA-CA08-3042-877A-354D46F59697}"/>
    <hyperlink ref="A630" r:id="rId1253" display="https://finance.yahoo.com/quote/AMZN260515C00235000/" xr:uid="{4F11CBCF-715D-8645-A441-2C3654351841}"/>
    <hyperlink ref="F630" r:id="rId1254" display="https://finance.yahoo.com/quote/AMZN/options/?straddle=false&amp;strike=235&amp;type=all" xr:uid="{7D56D58E-B326-334C-AFFC-E64D358DF098}"/>
    <hyperlink ref="A631" r:id="rId1255" display="https://finance.yahoo.com/quote/AMZN260515C00240000/" xr:uid="{1E029A0C-E642-E246-B078-219FCB83A289}"/>
    <hyperlink ref="F631" r:id="rId1256" display="https://finance.yahoo.com/quote/AMZN/options/?straddle=false&amp;strike=240&amp;type=all" xr:uid="{34887D48-CF28-9244-A3AF-01ED704AD1EA}"/>
    <hyperlink ref="A632" r:id="rId1257" display="https://finance.yahoo.com/quote/AMZN260515C00245000/" xr:uid="{CA46FB31-2853-0E46-BF6F-0A651588A58B}"/>
    <hyperlink ref="F632" r:id="rId1258" display="https://finance.yahoo.com/quote/AMZN/options/?straddle=false&amp;strike=245&amp;type=all" xr:uid="{2D8CDD45-69C6-A241-BF0A-9F6850F4BDFE}"/>
    <hyperlink ref="A633" r:id="rId1259" display="https://finance.yahoo.com/quote/AMZN260515C00250000/" xr:uid="{D428F264-4DBF-544F-AC36-775FDBADAA55}"/>
    <hyperlink ref="F633" r:id="rId1260" display="https://finance.yahoo.com/quote/AMZN/options/?straddle=false&amp;strike=250&amp;type=all" xr:uid="{5886560F-0B16-1B46-AE14-20743361C8BC}"/>
    <hyperlink ref="A634" r:id="rId1261" display="https://finance.yahoo.com/quote/AMZN260515C00255000/" xr:uid="{CDBE7FDB-E024-FB4F-BADC-C363F711841C}"/>
    <hyperlink ref="F634" r:id="rId1262" display="https://finance.yahoo.com/quote/AMZN/options/?straddle=false&amp;strike=255&amp;type=all" xr:uid="{5ADCFDBE-AFE7-F141-850F-BC7C370E615C}"/>
    <hyperlink ref="A635" r:id="rId1263" display="https://finance.yahoo.com/quote/AMZN260515C00260000/" xr:uid="{E2BF7A68-08A3-A54F-9386-6A03D92BAA6D}"/>
    <hyperlink ref="F635" r:id="rId1264" display="https://finance.yahoo.com/quote/AMZN/options/?straddle=false&amp;strike=260&amp;type=all" xr:uid="{FCDDC01C-773D-2B4B-BCA8-F6CA1E7C1CF8}"/>
    <hyperlink ref="A636" r:id="rId1265" display="https://finance.yahoo.com/quote/AMZN260515C00265000/" xr:uid="{CE7CEF28-9C75-8B46-9543-7B1BB4E010D5}"/>
    <hyperlink ref="F636" r:id="rId1266" display="https://finance.yahoo.com/quote/AMZN/options/?straddle=false&amp;strike=265&amp;type=all" xr:uid="{89368FBD-8985-BD42-9283-17461B1357DC}"/>
    <hyperlink ref="A637" r:id="rId1267" display="https://finance.yahoo.com/quote/AMZN260515C00270000/" xr:uid="{904362DA-2C3F-3244-B116-0DECB4D0651F}"/>
    <hyperlink ref="F637" r:id="rId1268" display="https://finance.yahoo.com/quote/AMZN/options/?straddle=false&amp;strike=270&amp;type=all" xr:uid="{B0776B7E-0938-0E41-8DA8-9A060EA0FC91}"/>
    <hyperlink ref="A638" r:id="rId1269" display="https://finance.yahoo.com/quote/AMZN260515C00275000/" xr:uid="{2646B671-8951-7340-BCC9-4E7CC4DEF6AE}"/>
    <hyperlink ref="F638" r:id="rId1270" display="https://finance.yahoo.com/quote/AMZN/options/?straddle=false&amp;strike=275&amp;type=all" xr:uid="{E40F27D1-3165-EE4C-97C8-ED3B62A6DFC6}"/>
    <hyperlink ref="A639" r:id="rId1271" display="https://finance.yahoo.com/quote/AMZN260515C00280000/" xr:uid="{46DCAE76-2FCE-5540-9799-71E4A3CB9D13}"/>
    <hyperlink ref="F639" r:id="rId1272" display="https://finance.yahoo.com/quote/AMZN/options/?straddle=false&amp;strike=280&amp;type=all" xr:uid="{5823CEC9-7341-DC44-92F9-661B3CDC1E4B}"/>
    <hyperlink ref="A640" r:id="rId1273" display="https://finance.yahoo.com/quote/AMZN260515C00285000/" xr:uid="{22899391-3935-BB49-960C-B9ABA3163F67}"/>
    <hyperlink ref="F640" r:id="rId1274" display="https://finance.yahoo.com/quote/AMZN/options/?straddle=false&amp;strike=285&amp;type=all" xr:uid="{B6946E97-083E-984B-891E-A126E8393506}"/>
    <hyperlink ref="A641" r:id="rId1275" display="https://finance.yahoo.com/quote/AMZN260515C00290000/" xr:uid="{CBE88C7D-4EDF-FE44-B43A-681C079E0CD9}"/>
    <hyperlink ref="F641" r:id="rId1276" display="https://finance.yahoo.com/quote/AMZN/options/?straddle=false&amp;strike=290&amp;type=all" xr:uid="{A9EB2C76-3677-5C46-B3C2-AE577BECE484}"/>
    <hyperlink ref="A642" r:id="rId1277" display="https://finance.yahoo.com/quote/AMZN260515C00295000/" xr:uid="{F2625EC1-40E3-6848-B2EA-4B844D1A6C9A}"/>
    <hyperlink ref="F642" r:id="rId1278" display="https://finance.yahoo.com/quote/AMZN/options/?straddle=false&amp;strike=295&amp;type=all" xr:uid="{1496C32B-C324-694F-AFD2-D5FF35ACE3B6}"/>
    <hyperlink ref="A643" r:id="rId1279" display="https://finance.yahoo.com/quote/AMZN260515C00300000/" xr:uid="{59F6F8FA-ED70-DF48-8145-CEE34259966F}"/>
    <hyperlink ref="F643" r:id="rId1280" display="https://finance.yahoo.com/quote/AMZN/options/?straddle=false&amp;strike=300&amp;type=all" xr:uid="{B991AC0A-1E72-244F-A956-74D3A6D6969F}"/>
    <hyperlink ref="A644" r:id="rId1281" display="https://finance.yahoo.com/quote/AMZN260515C00305000/" xr:uid="{DB45D8DE-8B2B-2440-9D58-1E505E899C5E}"/>
    <hyperlink ref="F644" r:id="rId1282" display="https://finance.yahoo.com/quote/AMZN/options/?straddle=false&amp;strike=305&amp;type=all" xr:uid="{0A096FAD-067A-E84F-9F48-513C4937269A}"/>
    <hyperlink ref="A645" r:id="rId1283" display="https://finance.yahoo.com/quote/AMZN260515C00310000/" xr:uid="{DA1457D6-4D11-4547-949B-CFA67DECCD90}"/>
    <hyperlink ref="F645" r:id="rId1284" display="https://finance.yahoo.com/quote/AMZN/options/?straddle=false&amp;strike=310&amp;type=all" xr:uid="{E6BA821A-372C-C049-B905-862E09B608AC}"/>
    <hyperlink ref="A646" r:id="rId1285" display="https://finance.yahoo.com/quote/AMZN260515C00315000/" xr:uid="{D63BC560-D9BF-A542-86C1-33C1B40AAB01}"/>
    <hyperlink ref="F646" r:id="rId1286" display="https://finance.yahoo.com/quote/AMZN/options/?straddle=false&amp;strike=315&amp;type=all" xr:uid="{7A806E0A-B329-874A-A31D-FB54BE86719A}"/>
    <hyperlink ref="A647" r:id="rId1287" display="https://finance.yahoo.com/quote/AMZN260515C00320000/" xr:uid="{95FC500D-1016-C345-8CE0-9159433EEDEB}"/>
    <hyperlink ref="F647" r:id="rId1288" display="https://finance.yahoo.com/quote/AMZN/options/?straddle=false&amp;strike=320&amp;type=all" xr:uid="{2ACEC351-FCE9-7044-B9CE-6814C815A54F}"/>
    <hyperlink ref="A648" r:id="rId1289" display="https://finance.yahoo.com/quote/AMZN260515C00325000/" xr:uid="{985BC4D8-F550-7A43-9CE9-16EF160AECFA}"/>
    <hyperlink ref="F648" r:id="rId1290" display="https://finance.yahoo.com/quote/AMZN/options/?straddle=false&amp;strike=325&amp;type=all" xr:uid="{E6720F3E-FC65-5140-A677-F6C202302EAB}"/>
    <hyperlink ref="A649" r:id="rId1291" display="https://finance.yahoo.com/quote/AMZN260515C00330000/" xr:uid="{4F9C2872-630A-8A4D-8A90-9FD2F95B93A4}"/>
    <hyperlink ref="F649" r:id="rId1292" display="https://finance.yahoo.com/quote/AMZN/options/?straddle=false&amp;strike=330&amp;type=all" xr:uid="{8A01C9DC-C7EB-ED40-9C04-10CE5DA46DED}"/>
    <hyperlink ref="A650" r:id="rId1293" display="https://finance.yahoo.com/quote/AMZN260515C00340000/" xr:uid="{AC307018-E59B-EE40-8CF3-6E67B330F431}"/>
    <hyperlink ref="F650" r:id="rId1294" display="https://finance.yahoo.com/quote/AMZN/options/?straddle=false&amp;strike=340&amp;type=all" xr:uid="{EBB17B3A-D4AC-AE4A-94F3-FA04F8E70FD6}"/>
    <hyperlink ref="A651" r:id="rId1295" display="https://finance.yahoo.com/quote/AMZN260515C00350000/" xr:uid="{2063B13B-4486-2141-94D6-144425AB8A78}"/>
    <hyperlink ref="F651" r:id="rId1296" display="https://finance.yahoo.com/quote/AMZN/options/?straddle=false&amp;strike=350&amp;type=all" xr:uid="{F10E655E-0459-A34A-88CF-14D16ED44D30}"/>
    <hyperlink ref="A652" r:id="rId1297" display="https://finance.yahoo.com/quote/AMZN260515C00360000/" xr:uid="{0D0A871F-A9AC-5244-A1FF-01D7B6E7D32E}"/>
    <hyperlink ref="F652" r:id="rId1298" display="https://finance.yahoo.com/quote/AMZN/options/?straddle=false&amp;strike=360&amp;type=all" xr:uid="{D5F4D724-86F9-C84C-BAB5-C7DA44E397BE}"/>
    <hyperlink ref="A653" r:id="rId1299" display="https://finance.yahoo.com/quote/AMZN260515C00370000/" xr:uid="{73C8FBFC-3F16-6B43-8A72-68286039B015}"/>
    <hyperlink ref="F653" r:id="rId1300" display="https://finance.yahoo.com/quote/AMZN/options/?straddle=false&amp;strike=370&amp;type=all" xr:uid="{2F6DCDBB-069A-7B43-8CE6-395043D70D87}"/>
    <hyperlink ref="A654" r:id="rId1301" display="https://finance.yahoo.com/quote/AMZN260515P00105000/" xr:uid="{B4D541CD-00B4-7E4F-A829-9FCDD2A8E20A}"/>
    <hyperlink ref="F654" r:id="rId1302" display="https://finance.yahoo.com/quote/AMZN/options/?straddle=false&amp;strike=105&amp;type=all" xr:uid="{2D5D2661-60B5-8A45-A02E-B7661FAC83B7}"/>
    <hyperlink ref="A655" r:id="rId1303" display="https://finance.yahoo.com/quote/AMZN260515P00110000/" xr:uid="{B8B86D3E-E7CC-5D46-B05B-CFBDB20DA4A2}"/>
    <hyperlink ref="F655" r:id="rId1304" display="https://finance.yahoo.com/quote/AMZN/options/?straddle=false&amp;strike=110&amp;type=all" xr:uid="{9A8203CF-4718-B746-8A72-280AC9ECF19C}"/>
    <hyperlink ref="A656" r:id="rId1305" display="https://finance.yahoo.com/quote/AMZN260515P00115000/" xr:uid="{DEDEF546-0E19-6C4C-8E8C-25D0852509EE}"/>
    <hyperlink ref="F656" r:id="rId1306" display="https://finance.yahoo.com/quote/AMZN/options/?straddle=false&amp;strike=115&amp;type=all" xr:uid="{3A288B04-4D09-544A-AD3A-E32303643A5E}"/>
    <hyperlink ref="A657" r:id="rId1307" display="https://finance.yahoo.com/quote/AMZN260515P00120000/" xr:uid="{A8F1AF14-C6A0-0748-BC31-74B6BB360A3D}"/>
    <hyperlink ref="F657" r:id="rId1308" display="https://finance.yahoo.com/quote/AMZN/options/?straddle=false&amp;strike=120&amp;type=all" xr:uid="{5F84FCEA-D3CA-6B4B-AE82-404E5E37284C}"/>
    <hyperlink ref="A658" r:id="rId1309" display="https://finance.yahoo.com/quote/AMZN260515P00125000/" xr:uid="{C06AE608-E259-0E4A-A7E7-96479DDE32BA}"/>
    <hyperlink ref="F658" r:id="rId1310" display="https://finance.yahoo.com/quote/AMZN/options/?straddle=false&amp;strike=125&amp;type=all" xr:uid="{74524F88-F285-ED47-AA8B-68B0E5CE5ED0}"/>
    <hyperlink ref="A659" r:id="rId1311" display="https://finance.yahoo.com/quote/AMZN260515P00130000/" xr:uid="{C5A2A685-BC06-ED41-B4ED-7E8B172B7A0B}"/>
    <hyperlink ref="F659" r:id="rId1312" display="https://finance.yahoo.com/quote/AMZN/options/?straddle=false&amp;strike=130&amp;type=all" xr:uid="{B493876A-71E5-9D48-B6CF-B430182A2BF9}"/>
    <hyperlink ref="A660" r:id="rId1313" display="https://finance.yahoo.com/quote/AMZN260515P00135000/" xr:uid="{4731CCBA-CB95-A84A-946D-39797B34FFBE}"/>
    <hyperlink ref="F660" r:id="rId1314" display="https://finance.yahoo.com/quote/AMZN/options/?straddle=false&amp;strike=135&amp;type=all" xr:uid="{BEA58D95-5F6D-9044-B11D-340173AF0F32}"/>
    <hyperlink ref="A661" r:id="rId1315" display="https://finance.yahoo.com/quote/AMZN260515P00140000/" xr:uid="{1C08D841-A112-B14F-939C-D6D4820EBF4F}"/>
    <hyperlink ref="F661" r:id="rId1316" display="https://finance.yahoo.com/quote/AMZN/options/?straddle=false&amp;strike=140&amp;type=all" xr:uid="{9F377AD5-7B10-9D48-A330-4887E9D33DBE}"/>
    <hyperlink ref="A662" r:id="rId1317" display="https://finance.yahoo.com/quote/AMZN260515P00145000/" xr:uid="{BAFC394E-7D14-1544-9938-BA9933C112EF}"/>
    <hyperlink ref="F662" r:id="rId1318" display="https://finance.yahoo.com/quote/AMZN/options/?straddle=false&amp;strike=145&amp;type=all" xr:uid="{A622AEB3-B4AA-924A-B181-403F8FBDB424}"/>
    <hyperlink ref="A663" r:id="rId1319" display="https://finance.yahoo.com/quote/AMZN260515P00150000/" xr:uid="{B517A29D-BC3B-9C4F-832E-A83B16B837EC}"/>
    <hyperlink ref="F663" r:id="rId1320" display="https://finance.yahoo.com/quote/AMZN/options/?straddle=false&amp;strike=150&amp;type=all" xr:uid="{1C2CB489-A34E-F940-A48F-DC3D122D3F9B}"/>
    <hyperlink ref="A664" r:id="rId1321" display="https://finance.yahoo.com/quote/AMZN260515P00155000/" xr:uid="{99BC50E7-17C6-CF4E-B481-DA9ECFBB2119}"/>
    <hyperlink ref="F664" r:id="rId1322" display="https://finance.yahoo.com/quote/AMZN/options/?straddle=false&amp;strike=155&amp;type=all" xr:uid="{86BD250C-1CA8-C14E-86C6-249FACE15604}"/>
    <hyperlink ref="A665" r:id="rId1323" display="https://finance.yahoo.com/quote/AMZN260515P00160000/" xr:uid="{329902E9-6720-2E4E-B04E-B7AF175B4307}"/>
    <hyperlink ref="F665" r:id="rId1324" display="https://finance.yahoo.com/quote/AMZN/options/?straddle=false&amp;strike=160&amp;type=all" xr:uid="{A376D762-1423-0C4B-8BE3-5094ACA6A019}"/>
    <hyperlink ref="A666" r:id="rId1325" display="https://finance.yahoo.com/quote/AMZN260515P00165000/" xr:uid="{EE688299-96F7-1449-AF39-F24A469B7B27}"/>
    <hyperlink ref="F666" r:id="rId1326" display="https://finance.yahoo.com/quote/AMZN/options/?straddle=false&amp;strike=165&amp;type=all" xr:uid="{DC87CA69-4C4D-3E43-B215-8FBC2E8D0108}"/>
    <hyperlink ref="A667" r:id="rId1327" display="https://finance.yahoo.com/quote/AMZN260515P00170000/" xr:uid="{9E84F411-C5E8-614B-AB17-EFE045D231C6}"/>
    <hyperlink ref="F667" r:id="rId1328" display="https://finance.yahoo.com/quote/AMZN/options/?straddle=false&amp;strike=170&amp;type=all" xr:uid="{E168F82B-62D8-D94E-8D9B-90FFC705B6E2}"/>
    <hyperlink ref="A668" r:id="rId1329" display="https://finance.yahoo.com/quote/AMZN260515P00175000/" xr:uid="{854A55C2-F446-244D-A5A2-88ADD4337E8C}"/>
    <hyperlink ref="F668" r:id="rId1330" display="https://finance.yahoo.com/quote/AMZN/options/?straddle=false&amp;strike=175&amp;type=all" xr:uid="{63B0DC3A-3156-4F4A-864A-61A66C1C27F7}"/>
    <hyperlink ref="A669" r:id="rId1331" display="https://finance.yahoo.com/quote/AMZN260515P00180000/" xr:uid="{1DBFDFDF-5562-D840-A011-E86CB3D22CEF}"/>
    <hyperlink ref="F669" r:id="rId1332" display="https://finance.yahoo.com/quote/AMZN/options/?straddle=false&amp;strike=180&amp;type=all" xr:uid="{685BE06E-2876-C346-8AD4-AE1C8431E94C}"/>
    <hyperlink ref="A670" r:id="rId1333" display="https://finance.yahoo.com/quote/AMZN260515P00185000/" xr:uid="{91A44B72-0813-F440-9048-F21E1708EC33}"/>
    <hyperlink ref="F670" r:id="rId1334" display="https://finance.yahoo.com/quote/AMZN/options/?straddle=false&amp;strike=185&amp;type=all" xr:uid="{3BF2A7D8-C548-7D42-B311-960B7702639C}"/>
    <hyperlink ref="A671" r:id="rId1335" display="https://finance.yahoo.com/quote/AMZN260515P00190000/" xr:uid="{53E7F242-6EC4-4B41-AD0D-F2ABC4880864}"/>
    <hyperlink ref="F671" r:id="rId1336" display="https://finance.yahoo.com/quote/AMZN/options/?straddle=false&amp;strike=190&amp;type=all" xr:uid="{4FCD514F-0CAA-2847-96C7-B39A213FF06A}"/>
    <hyperlink ref="A672" r:id="rId1337" display="https://finance.yahoo.com/quote/AMZN260515P00195000/" xr:uid="{9B64659A-92E2-2A4D-81DC-0D81BFA6A03E}"/>
    <hyperlink ref="F672" r:id="rId1338" display="https://finance.yahoo.com/quote/AMZN/options/?straddle=false&amp;strike=195&amp;type=all" xr:uid="{FA3A9B5F-976E-BC45-BC81-9270554D74F0}"/>
    <hyperlink ref="A673" r:id="rId1339" display="https://finance.yahoo.com/quote/AMZN260515P00200000/" xr:uid="{2F63468D-1587-2041-960E-6683C59FEF0E}"/>
    <hyperlink ref="F673" r:id="rId1340" display="https://finance.yahoo.com/quote/AMZN/options/?straddle=false&amp;strike=200&amp;type=all" xr:uid="{480B26B7-149F-FD48-AEDE-03ADA758FCFF}"/>
    <hyperlink ref="A674" r:id="rId1341" display="https://finance.yahoo.com/quote/AMZN260515P00205000/" xr:uid="{090441FE-07A2-EA4E-912D-00C6E229F829}"/>
    <hyperlink ref="F674" r:id="rId1342" display="https://finance.yahoo.com/quote/AMZN/options/?straddle=false&amp;strike=205&amp;type=all" xr:uid="{C38A5D6A-B7E1-E44D-8175-2C247C05E057}"/>
    <hyperlink ref="A675" r:id="rId1343" display="https://finance.yahoo.com/quote/AMZN260515P00210000/" xr:uid="{E55FEEA9-96D8-B44E-A194-F19FACC8961E}"/>
    <hyperlink ref="F675" r:id="rId1344" display="https://finance.yahoo.com/quote/AMZN/options/?straddle=false&amp;strike=210&amp;type=all" xr:uid="{25B3DD9A-ADA8-6044-AB06-33F366D391E5}"/>
    <hyperlink ref="A676" r:id="rId1345" display="https://finance.yahoo.com/quote/AMZN260515P00215000/" xr:uid="{B45000F7-42F0-5849-AFBE-04F7B5F26E1E}"/>
    <hyperlink ref="F676" r:id="rId1346" display="https://finance.yahoo.com/quote/AMZN/options/?straddle=false&amp;strike=215&amp;type=all" xr:uid="{991BF460-4796-5B40-B7D7-8B05BC5B5F07}"/>
    <hyperlink ref="A677" r:id="rId1347" display="https://finance.yahoo.com/quote/AMZN260515P00220000/" xr:uid="{E80F5164-B134-734F-ADBC-D095CB900FF8}"/>
    <hyperlink ref="F677" r:id="rId1348" display="https://finance.yahoo.com/quote/AMZN/options/?straddle=false&amp;strike=220&amp;type=all" xr:uid="{1A7ECD7B-C1FD-6B42-A6B7-9A1998A696AD}"/>
    <hyperlink ref="A678" r:id="rId1349" display="https://finance.yahoo.com/quote/AMZN260515P00225000/" xr:uid="{26BC8702-2044-DF40-85A0-3ADECB83D929}"/>
    <hyperlink ref="F678" r:id="rId1350" display="https://finance.yahoo.com/quote/AMZN/options/?straddle=false&amp;strike=225&amp;type=all" xr:uid="{A84F10FA-9AB0-6B44-BECA-7098C9067A7B}"/>
    <hyperlink ref="A679" r:id="rId1351" display="https://finance.yahoo.com/quote/AMZN260515P00230000/" xr:uid="{15954EDA-A2D2-A441-9FB8-9008FE493DAD}"/>
    <hyperlink ref="F679" r:id="rId1352" display="https://finance.yahoo.com/quote/AMZN/options/?straddle=false&amp;strike=230&amp;type=all" xr:uid="{80C06E35-EF0D-2A42-965E-AAA2616CD5D7}"/>
    <hyperlink ref="A680" r:id="rId1353" display="https://finance.yahoo.com/quote/AMZN260515P00235000/" xr:uid="{77999EBE-9CC0-C145-A05C-6D532EE612E3}"/>
    <hyperlink ref="F680" r:id="rId1354" display="https://finance.yahoo.com/quote/AMZN/options/?straddle=false&amp;strike=235&amp;type=all" xr:uid="{A2DF0A67-57FE-324D-8B50-6E48FDF19BAF}"/>
    <hyperlink ref="A681" r:id="rId1355" display="https://finance.yahoo.com/quote/AMZN260515P00240000/" xr:uid="{8271079D-0B73-E34A-AEFD-A103D59CE97E}"/>
    <hyperlink ref="F681" r:id="rId1356" display="https://finance.yahoo.com/quote/AMZN/options/?straddle=false&amp;strike=240&amp;type=all" xr:uid="{DC06C9A1-1DF0-9D4F-B84A-5E237A316E35}"/>
    <hyperlink ref="A682" r:id="rId1357" display="https://finance.yahoo.com/quote/AMZN260515P00245000/" xr:uid="{78AC5BFC-D6D4-4548-AB4F-45C7B9274279}"/>
    <hyperlink ref="F682" r:id="rId1358" display="https://finance.yahoo.com/quote/AMZN/options/?straddle=false&amp;strike=245&amp;type=all" xr:uid="{5E092426-86CC-1E43-9FE5-9B4808981C72}"/>
    <hyperlink ref="A683" r:id="rId1359" display="https://finance.yahoo.com/quote/AMZN260515P00250000/" xr:uid="{8B109293-C17E-BD41-B314-1949CCAE52F1}"/>
    <hyperlink ref="F683" r:id="rId1360" display="https://finance.yahoo.com/quote/AMZN/options/?straddle=false&amp;strike=250&amp;type=all" xr:uid="{43166904-3F58-3A42-811F-817AC0DA02F3}"/>
    <hyperlink ref="A684" r:id="rId1361" display="https://finance.yahoo.com/quote/AMZN260515P00255000/" xr:uid="{FCE4890C-A9F6-5445-B1A3-F6CDB01B5FE1}"/>
    <hyperlink ref="F684" r:id="rId1362" display="https://finance.yahoo.com/quote/AMZN/options/?straddle=false&amp;strike=255&amp;type=all" xr:uid="{24F01698-5B9A-ED47-92A9-D2EE111958E9}"/>
    <hyperlink ref="A685" r:id="rId1363" display="https://finance.yahoo.com/quote/AMZN260515P00260000/" xr:uid="{C1653566-10C3-A940-8F77-5EAC0E398B8F}"/>
    <hyperlink ref="F685" r:id="rId1364" display="https://finance.yahoo.com/quote/AMZN/options/?straddle=false&amp;strike=260&amp;type=all" xr:uid="{D29563D7-5BCD-8347-A0D7-E67D1F890A9D}"/>
    <hyperlink ref="A686" r:id="rId1365" display="https://finance.yahoo.com/quote/AMZN260515P00265000/" xr:uid="{4DB6C0E8-C1D2-E048-855A-D24F89A4069E}"/>
    <hyperlink ref="F686" r:id="rId1366" display="https://finance.yahoo.com/quote/AMZN/options/?straddle=false&amp;strike=265&amp;type=all" xr:uid="{A4EA4412-4D5E-2947-86E3-5E090A833416}"/>
    <hyperlink ref="A687" r:id="rId1367" display="https://finance.yahoo.com/quote/AMZN260515P00270000/" xr:uid="{3EC53299-AC33-E341-8449-0F0D4CD404A8}"/>
    <hyperlink ref="F687" r:id="rId1368" display="https://finance.yahoo.com/quote/AMZN/options/?straddle=false&amp;strike=270&amp;type=all" xr:uid="{F9268E19-BCD0-B443-8616-4C9766A32DD5}"/>
    <hyperlink ref="A688" r:id="rId1369" display="https://finance.yahoo.com/quote/AMZN260515P00275000/" xr:uid="{AEC604FC-3BBE-184D-A333-DE76738DFC1D}"/>
    <hyperlink ref="F688" r:id="rId1370" display="https://finance.yahoo.com/quote/AMZN/options/?straddle=false&amp;strike=275&amp;type=all" xr:uid="{67FC0ED6-C84E-654D-B2A6-777A46CBE929}"/>
    <hyperlink ref="A689" r:id="rId1371" display="https://finance.yahoo.com/quote/AMZN260515P00280000/" xr:uid="{33DD1CD2-7314-C644-9734-73DF0755A746}"/>
    <hyperlink ref="F689" r:id="rId1372" display="https://finance.yahoo.com/quote/AMZN/options/?straddle=false&amp;strike=280&amp;type=all" xr:uid="{75E8337C-AD79-8142-9299-83CF1A595A53}"/>
    <hyperlink ref="A690" r:id="rId1373" display="https://finance.yahoo.com/quote/AMZN260515P00285000/" xr:uid="{96344E89-80A6-784D-B64D-EC7249491E43}"/>
    <hyperlink ref="F690" r:id="rId1374" display="https://finance.yahoo.com/quote/AMZN/options/?straddle=false&amp;strike=285&amp;type=all" xr:uid="{B6736806-63F2-834E-A938-5D72C8748036}"/>
    <hyperlink ref="A691" r:id="rId1375" display="https://finance.yahoo.com/quote/AMZN260515P00290000/" xr:uid="{5DBE215B-6B47-7D41-8BDD-4179B9AE05AC}"/>
    <hyperlink ref="F691" r:id="rId1376" display="https://finance.yahoo.com/quote/AMZN/options/?straddle=false&amp;strike=290&amp;type=all" xr:uid="{9C87122D-683D-D348-89EB-6D375B405E1E}"/>
    <hyperlink ref="A692" r:id="rId1377" display="https://finance.yahoo.com/quote/AMZN260515P00295000/" xr:uid="{842D5454-4731-8843-AB7E-847AA2BFEFF2}"/>
    <hyperlink ref="F692" r:id="rId1378" display="https://finance.yahoo.com/quote/AMZN/options/?straddle=false&amp;strike=295&amp;type=all" xr:uid="{02EBF19C-A9E3-E041-843C-E161675E5B79}"/>
    <hyperlink ref="A693" r:id="rId1379" display="https://finance.yahoo.com/quote/AMZN260515P00300000/" xr:uid="{50D248A1-D303-5C46-BBC3-6304796293BE}"/>
    <hyperlink ref="F693" r:id="rId1380" display="https://finance.yahoo.com/quote/AMZN/options/?straddle=false&amp;strike=300&amp;type=all" xr:uid="{AA68478E-C6FA-DE4E-AB3C-80DD506EF2AF}"/>
    <hyperlink ref="A694" r:id="rId1381" display="https://finance.yahoo.com/quote/AMZN260515P00305000/" xr:uid="{B8F4A200-BEF4-0A42-865B-DEB24EB51D5B}"/>
    <hyperlink ref="F694" r:id="rId1382" display="https://finance.yahoo.com/quote/AMZN/options/?straddle=false&amp;strike=305&amp;type=all" xr:uid="{1EA9E16F-0D10-D443-A958-400AE19FC7D8}"/>
    <hyperlink ref="A695" r:id="rId1383" display="https://finance.yahoo.com/quote/AMZN260515P00310000/" xr:uid="{DEFFFAE3-6B88-6448-8720-2F7618DB86BE}"/>
    <hyperlink ref="F695" r:id="rId1384" display="https://finance.yahoo.com/quote/AMZN/options/?straddle=false&amp;strike=310&amp;type=all" xr:uid="{20D9B8A9-C77C-7D4A-BE54-EAE2D5863A9C}"/>
    <hyperlink ref="A696" r:id="rId1385" display="https://finance.yahoo.com/quote/AMZN260515P00315000/" xr:uid="{409A63CF-26BF-4B4C-93F2-356645849375}"/>
    <hyperlink ref="F696" r:id="rId1386" display="https://finance.yahoo.com/quote/AMZN/options/?straddle=false&amp;strike=315&amp;type=all" xr:uid="{F2C8C4F8-CB71-EB40-96E6-019068195CFB}"/>
    <hyperlink ref="A697" r:id="rId1387" display="https://finance.yahoo.com/quote/AMZN260515P00320000/" xr:uid="{904EDD55-BCF7-4243-BAA0-F36C4E5CE24F}"/>
    <hyperlink ref="F697" r:id="rId1388" display="https://finance.yahoo.com/quote/AMZN/options/?straddle=false&amp;strike=320&amp;type=all" xr:uid="{CF184281-1894-7F4E-A3AF-3CCD1FBAB852}"/>
    <hyperlink ref="A698" r:id="rId1389" display="https://finance.yahoo.com/quote/AMZN260515P00325000/" xr:uid="{302ADFCC-B6F5-3E4B-84E5-498003DB00C2}"/>
    <hyperlink ref="F698" r:id="rId1390" display="https://finance.yahoo.com/quote/AMZN/options/?straddle=false&amp;strike=325&amp;type=all" xr:uid="{AD30EE13-7F74-1F46-A3B6-12F5ACE9A137}"/>
    <hyperlink ref="A699" r:id="rId1391" display="https://finance.yahoo.com/quote/AMZN260515P00330000/" xr:uid="{B56F43B6-12DE-CC42-BC74-BECDFE18D364}"/>
    <hyperlink ref="F699" r:id="rId1392" display="https://finance.yahoo.com/quote/AMZN/options/?straddle=false&amp;strike=330&amp;type=all" xr:uid="{154E5BF8-C116-984B-A2E8-31968479E936}"/>
    <hyperlink ref="A700" r:id="rId1393" display="https://finance.yahoo.com/quote/AMZN260515P00340000/" xr:uid="{263E9C02-07FF-644F-8F42-2D995C512E6F}"/>
    <hyperlink ref="F700" r:id="rId1394" display="https://finance.yahoo.com/quote/AMZN/options/?straddle=false&amp;strike=340&amp;type=all" xr:uid="{D447A1F4-B969-3F41-83AD-0E515EC4D941}"/>
    <hyperlink ref="A701" r:id="rId1395" display="https://finance.yahoo.com/quote/AMZN260515P00350000/" xr:uid="{E6472C9A-13D7-0C4B-A4A1-9CE433B6DB47}"/>
    <hyperlink ref="F701" r:id="rId1396" display="https://finance.yahoo.com/quote/AMZN/options/?straddle=false&amp;strike=350&amp;type=all" xr:uid="{4DFDE462-9ED5-E04C-A73A-E5665D16C74B}"/>
    <hyperlink ref="A702" r:id="rId1397" display="https://finance.yahoo.com/quote/AMZN260515P00360000/" xr:uid="{213D5FB7-F804-BC49-873F-B0FAB7AB9AF6}"/>
    <hyperlink ref="F702" r:id="rId1398" display="https://finance.yahoo.com/quote/AMZN/options/?straddle=false&amp;strike=360&amp;type=all" xr:uid="{AF6FD78E-3E00-EE44-88B9-039DF299E9A0}"/>
    <hyperlink ref="A703" r:id="rId1399" display="https://finance.yahoo.com/quote/AMZN260515P00370000/" xr:uid="{24A5377F-D70B-4E4B-B08A-0C4AE2ADA5FE}"/>
    <hyperlink ref="F703" r:id="rId1400" display="https://finance.yahoo.com/quote/AMZN/options/?straddle=false&amp;strike=370&amp;type=all" xr:uid="{7DF8156F-B32C-434C-A9B6-00956946FE4E}"/>
    <hyperlink ref="A704" r:id="rId1401" display="https://finance.yahoo.com/quote/AMZN260227C00125000/" xr:uid="{FFBC809A-66E8-014A-ABB8-42E5E8C31C7B}"/>
    <hyperlink ref="F704" r:id="rId1402" display="https://finance.yahoo.com/quote/AMZN/options/?straddle=false&amp;strike=125&amp;type=all" xr:uid="{10D4F118-7DA6-F847-A163-B7AB56500240}"/>
    <hyperlink ref="A705" r:id="rId1403" display="https://finance.yahoo.com/quote/AMZN260227C00135000/" xr:uid="{FFD68FE6-1E9E-F940-B90C-FDE3603FF6B2}"/>
    <hyperlink ref="F705" r:id="rId1404" display="https://finance.yahoo.com/quote/AMZN/options/?straddle=false&amp;strike=135&amp;type=all" xr:uid="{AE2E52FD-576D-0F4F-B27B-8FE765B06D39}"/>
    <hyperlink ref="A706" r:id="rId1405" display="https://finance.yahoo.com/quote/AMZN260227C00140000/" xr:uid="{13530303-DB65-7643-8299-DD28DE9E7C93}"/>
    <hyperlink ref="F706" r:id="rId1406" display="https://finance.yahoo.com/quote/AMZN/options/?straddle=false&amp;strike=140&amp;type=all" xr:uid="{31811AD2-E0C8-B640-A3C4-D80C05B1BD75}"/>
    <hyperlink ref="A707" r:id="rId1407" display="https://finance.yahoo.com/quote/AMZN260227C00145000/" xr:uid="{60F23B6F-45E9-6244-8C00-67A4950D79C9}"/>
    <hyperlink ref="F707" r:id="rId1408" display="https://finance.yahoo.com/quote/AMZN/options/?straddle=false&amp;strike=145&amp;type=all" xr:uid="{2162AE65-7A67-EB40-B421-2D37B6BA816D}"/>
    <hyperlink ref="A708" r:id="rId1409" display="https://finance.yahoo.com/quote/AMZN260227C00150000/" xr:uid="{D72F599D-1EA7-914E-AAE2-51BF4F170193}"/>
    <hyperlink ref="F708" r:id="rId1410" display="https://finance.yahoo.com/quote/AMZN/options/?straddle=false&amp;strike=150&amp;type=all" xr:uid="{5ED21A72-AC83-F544-81CD-1D64E7FBA016}"/>
    <hyperlink ref="A709" r:id="rId1411" display="https://finance.yahoo.com/quote/AMZN260227C00155000/" xr:uid="{2BDFD24D-717A-A041-BCA0-1BCA048B79BB}"/>
    <hyperlink ref="F709" r:id="rId1412" display="https://finance.yahoo.com/quote/AMZN/options/?straddle=false&amp;strike=155&amp;type=all" xr:uid="{00F0A4E0-3B8A-8245-B9FD-DF409F142169}"/>
    <hyperlink ref="A710" r:id="rId1413" display="https://finance.yahoo.com/quote/AMZN260227C00160000/" xr:uid="{C22E3B42-D2E8-0F46-AB33-A7A24646EFEE}"/>
    <hyperlink ref="F710" r:id="rId1414" display="https://finance.yahoo.com/quote/AMZN/options/?straddle=false&amp;strike=160&amp;type=all" xr:uid="{FE22DB97-345D-CC49-894C-FBE23D1F37E4}"/>
    <hyperlink ref="A711" r:id="rId1415" display="https://finance.yahoo.com/quote/AMZN260227C00165000/" xr:uid="{F6A4ADA2-3A99-304C-98B8-FC05DB3C17B0}"/>
    <hyperlink ref="F711" r:id="rId1416" display="https://finance.yahoo.com/quote/AMZN/options/?straddle=false&amp;strike=165&amp;type=all" xr:uid="{96877F4C-58EF-4F40-9383-830DC91A3E0F}"/>
    <hyperlink ref="A712" r:id="rId1417" display="https://finance.yahoo.com/quote/AMZN260227C00170000/" xr:uid="{B4E690C9-9397-E14D-8F70-091FA47E5A81}"/>
    <hyperlink ref="F712" r:id="rId1418" display="https://finance.yahoo.com/quote/AMZN/options/?straddle=false&amp;strike=170&amp;type=all" xr:uid="{64E90602-B949-0349-B37D-10BA55AEE4A8}"/>
    <hyperlink ref="A713" r:id="rId1419" display="https://finance.yahoo.com/quote/AMZN260227C00175000/" xr:uid="{1A5559E4-83B8-6347-9B75-524A8828A4CD}"/>
    <hyperlink ref="F713" r:id="rId1420" display="https://finance.yahoo.com/quote/AMZN/options/?straddle=false&amp;strike=175&amp;type=all" xr:uid="{E527872E-4C82-124F-AACC-BA8002BA6C81}"/>
    <hyperlink ref="A714" r:id="rId1421" display="https://finance.yahoo.com/quote/AMZN260227C00177500/" xr:uid="{15B33E70-CD97-A74B-88D7-1259413281EC}"/>
    <hyperlink ref="F714" r:id="rId1422" display="https://finance.yahoo.com/quote/AMZN/options/?straddle=false&amp;strike=177.5&amp;type=all" xr:uid="{0623AE9A-2231-D045-9803-B1D779841286}"/>
    <hyperlink ref="A715" r:id="rId1423" display="https://finance.yahoo.com/quote/AMZN260227C00180000/" xr:uid="{63EA313A-FAA0-C148-BB17-80DFC02CFE45}"/>
    <hyperlink ref="F715" r:id="rId1424" display="https://finance.yahoo.com/quote/AMZN/options/?straddle=false&amp;strike=180&amp;type=all" xr:uid="{93B7900B-BAB2-3748-8269-3C93FD5DE37E}"/>
    <hyperlink ref="A716" r:id="rId1425" display="https://finance.yahoo.com/quote/AMZN260227C00182500/" xr:uid="{A38E808A-9D01-AB4E-9C1E-30E07A677062}"/>
    <hyperlink ref="F716" r:id="rId1426" display="https://finance.yahoo.com/quote/AMZN/options/?straddle=false&amp;strike=182.5&amp;type=all" xr:uid="{92E69ABC-CC19-3A4F-9FB7-C58767A1597F}"/>
    <hyperlink ref="A717" r:id="rId1427" display="https://finance.yahoo.com/quote/AMZN260227C00185000/" xr:uid="{DC590C1D-A905-1249-8516-6C4350ABDD8C}"/>
    <hyperlink ref="F717" r:id="rId1428" display="https://finance.yahoo.com/quote/AMZN/options/?straddle=false&amp;strike=185&amp;type=all" xr:uid="{155340D2-E7A9-9E4B-8853-7C3737317128}"/>
    <hyperlink ref="A718" r:id="rId1429" display="https://finance.yahoo.com/quote/AMZN260227C00187500/" xr:uid="{D0455EBD-FBF1-4347-A14F-BFCE914B9C4D}"/>
    <hyperlink ref="F718" r:id="rId1430" display="https://finance.yahoo.com/quote/AMZN/options/?straddle=false&amp;strike=187.5&amp;type=all" xr:uid="{9DDD971E-7321-4F46-9E26-F4D4B00C9845}"/>
    <hyperlink ref="A719" r:id="rId1431" display="https://finance.yahoo.com/quote/AMZN260227C00190000/" xr:uid="{9CB8EB4E-CFEA-B940-ADE5-198F7CA8891B}"/>
    <hyperlink ref="F719" r:id="rId1432" display="https://finance.yahoo.com/quote/AMZN/options/?straddle=false&amp;strike=190&amp;type=all" xr:uid="{0B406181-937B-DF46-BFB4-86B7B5596F77}"/>
    <hyperlink ref="A720" r:id="rId1433" display="https://finance.yahoo.com/quote/AMZN260227C00192500/" xr:uid="{32E10AAA-5252-8842-91A8-F9A8EFA75382}"/>
    <hyperlink ref="F720" r:id="rId1434" display="https://finance.yahoo.com/quote/AMZN/options/?straddle=false&amp;strike=192.5&amp;type=all" xr:uid="{83680176-1C5D-FE48-B30D-BA7B75B47186}"/>
    <hyperlink ref="A721" r:id="rId1435" display="https://finance.yahoo.com/quote/AMZN260227C00195000/" xr:uid="{53DA4982-19CF-7146-A1F9-DC8BE5C3386A}"/>
    <hyperlink ref="F721" r:id="rId1436" display="https://finance.yahoo.com/quote/AMZN/options/?straddle=false&amp;strike=195&amp;type=all" xr:uid="{95488520-DE87-F04C-A8C1-4BAAC26B369A}"/>
    <hyperlink ref="A722" r:id="rId1437" display="https://finance.yahoo.com/quote/AMZN260227C00197500/" xr:uid="{F47670D3-FAC2-5747-BDC1-C8372144EACD}"/>
    <hyperlink ref="F722" r:id="rId1438" display="https://finance.yahoo.com/quote/AMZN/options/?straddle=false&amp;strike=197.5&amp;type=all" xr:uid="{05E17B97-CBAF-0249-A5CC-EE1D53D9492A}"/>
    <hyperlink ref="A723" r:id="rId1439" display="https://finance.yahoo.com/quote/AMZN260227C00200000/" xr:uid="{F7F5E5CC-7616-504D-A587-E61B0293E941}"/>
    <hyperlink ref="F723" r:id="rId1440" display="https://finance.yahoo.com/quote/AMZN/options/?straddle=false&amp;strike=200&amp;type=all" xr:uid="{D065DE54-A85E-7B49-9857-A3F7EB54C19A}"/>
    <hyperlink ref="A724" r:id="rId1441" display="https://finance.yahoo.com/quote/AMZN260227C00202500/" xr:uid="{DAEA0815-45EA-6747-B004-F1D54FB5367B}"/>
    <hyperlink ref="F724" r:id="rId1442" display="https://finance.yahoo.com/quote/AMZN/options/?straddle=false&amp;strike=202.5&amp;type=all" xr:uid="{64C29460-74CE-844A-A12D-74AE181E67F3}"/>
    <hyperlink ref="A725" r:id="rId1443" display="https://finance.yahoo.com/quote/AMZN260227C00205000/" xr:uid="{3C0E435B-DA6C-C146-B5DB-6E8E4F2C12E8}"/>
    <hyperlink ref="F725" r:id="rId1444" display="https://finance.yahoo.com/quote/AMZN/options/?straddle=false&amp;strike=205&amp;type=all" xr:uid="{6294FF83-D209-5F4F-A243-6B5CA9370B8F}"/>
    <hyperlink ref="A726" r:id="rId1445" display="https://finance.yahoo.com/quote/AMZN260227C00207500/" xr:uid="{42C1F805-A36A-F44D-B202-CEEB558DF39E}"/>
    <hyperlink ref="F726" r:id="rId1446" display="https://finance.yahoo.com/quote/AMZN/options/?straddle=false&amp;strike=207.5&amp;type=all" xr:uid="{B1DB557A-DEA8-934B-9F07-4BC2FE83D23C}"/>
    <hyperlink ref="A727" r:id="rId1447" display="https://finance.yahoo.com/quote/AMZN260227C00210000/" xr:uid="{272D23A2-3B7E-6545-9374-E40DAA42B390}"/>
    <hyperlink ref="F727" r:id="rId1448" display="https://finance.yahoo.com/quote/AMZN/options/?straddle=false&amp;strike=210&amp;type=all" xr:uid="{722979E1-7CB5-614B-B5F7-D761451A788D}"/>
    <hyperlink ref="A728" r:id="rId1449" display="https://finance.yahoo.com/quote/AMZN260227C00212500/" xr:uid="{45F27E1D-9FAD-7A4F-BFF8-43D2CBE6A3D4}"/>
    <hyperlink ref="F728" r:id="rId1450" display="https://finance.yahoo.com/quote/AMZN/options/?straddle=false&amp;strike=212.5&amp;type=all" xr:uid="{54A53821-2370-4243-9DFD-4DBF3A4BC1D1}"/>
    <hyperlink ref="A729" r:id="rId1451" display="https://finance.yahoo.com/quote/AMZN260227C00215000/" xr:uid="{0CF576AD-545C-3648-81A2-4221F3063AF9}"/>
    <hyperlink ref="F729" r:id="rId1452" display="https://finance.yahoo.com/quote/AMZN/options/?straddle=false&amp;strike=215&amp;type=all" xr:uid="{6428D918-394D-474F-A187-4BDC111C99EF}"/>
    <hyperlink ref="A730" r:id="rId1453" display="https://finance.yahoo.com/quote/AMZN260227C00217500/" xr:uid="{BC601DE6-9B74-0941-9BA3-B721A505912A}"/>
    <hyperlink ref="F730" r:id="rId1454" display="https://finance.yahoo.com/quote/AMZN/options/?straddle=false&amp;strike=217.5&amp;type=all" xr:uid="{CDBC7D46-AFC7-EF48-86EC-45B8CCC1EBD2}"/>
    <hyperlink ref="A731" r:id="rId1455" display="https://finance.yahoo.com/quote/AMZN260227C00220000/" xr:uid="{15EE8AAE-79D2-F240-80AE-425F2F4FC959}"/>
    <hyperlink ref="F731" r:id="rId1456" display="https://finance.yahoo.com/quote/AMZN/options/?straddle=false&amp;strike=220&amp;type=all" xr:uid="{B7FEBF39-5F95-C747-BECD-207AE4F3637E}"/>
    <hyperlink ref="A732" r:id="rId1457" display="https://finance.yahoo.com/quote/AMZN260227C00222500/" xr:uid="{71E627D1-6656-0C43-926F-25B3AE326FB5}"/>
    <hyperlink ref="F732" r:id="rId1458" display="https://finance.yahoo.com/quote/AMZN/options/?straddle=false&amp;strike=222.5&amp;type=all" xr:uid="{8A31B1B4-2389-2E4A-B7ED-94899F3FE765}"/>
    <hyperlink ref="A733" r:id="rId1459" display="https://finance.yahoo.com/quote/AMZN260227C00225000/" xr:uid="{22AD78E4-19B1-9343-ADDD-C59C00E3B8C8}"/>
    <hyperlink ref="F733" r:id="rId1460" display="https://finance.yahoo.com/quote/AMZN/options/?straddle=false&amp;strike=225&amp;type=all" xr:uid="{F4E2CC27-9D92-4A43-A7D5-1EF993FAE48A}"/>
    <hyperlink ref="A734" r:id="rId1461" display="https://finance.yahoo.com/quote/AMZN260227C00227500/" xr:uid="{26D231C9-BF14-3D42-BF3A-CEF3FE6C7BEB}"/>
    <hyperlink ref="F734" r:id="rId1462" display="https://finance.yahoo.com/quote/AMZN/options/?straddle=false&amp;strike=227.5&amp;type=all" xr:uid="{FF337C80-DBB0-8D41-8EBD-FA342F684D11}"/>
    <hyperlink ref="A735" r:id="rId1463" display="https://finance.yahoo.com/quote/AMZN260227C00230000/" xr:uid="{BD956A03-742E-9245-8BE8-AA62675FF7D3}"/>
    <hyperlink ref="F735" r:id="rId1464" display="https://finance.yahoo.com/quote/AMZN/options/?straddle=false&amp;strike=230&amp;type=all" xr:uid="{4DB7B46E-03B3-7D44-8C07-2DF5219BAD24}"/>
    <hyperlink ref="A736" r:id="rId1465" display="https://finance.yahoo.com/quote/AMZN260227C00232500/" xr:uid="{33CDC639-B178-9F43-BD4A-9A47993270B1}"/>
    <hyperlink ref="F736" r:id="rId1466" display="https://finance.yahoo.com/quote/AMZN/options/?straddle=false&amp;strike=232.5&amp;type=all" xr:uid="{D85E6EDD-3344-BB4E-B2BA-A462A455FBB5}"/>
    <hyperlink ref="A737" r:id="rId1467" display="https://finance.yahoo.com/quote/AMZN260227C00235000/" xr:uid="{E8CF4EA0-46BE-814A-B1B4-B023D4DB309D}"/>
    <hyperlink ref="F737" r:id="rId1468" display="https://finance.yahoo.com/quote/AMZN/options/?straddle=false&amp;strike=235&amp;type=all" xr:uid="{655E5A98-DC12-4B42-8B54-267990DFC6B1}"/>
    <hyperlink ref="A738" r:id="rId1469" display="https://finance.yahoo.com/quote/AMZN260227C00240000/" xr:uid="{47CE45AF-4088-2D42-941C-3171E35444A7}"/>
    <hyperlink ref="F738" r:id="rId1470" display="https://finance.yahoo.com/quote/AMZN/options/?straddle=false&amp;strike=240&amp;type=all" xr:uid="{79341768-0364-2A49-BA4F-21A7A5859F03}"/>
    <hyperlink ref="A739" r:id="rId1471" display="https://finance.yahoo.com/quote/AMZN260227C00245000/" xr:uid="{3DD870FB-5735-E448-899A-B2B2795C497E}"/>
    <hyperlink ref="F739" r:id="rId1472" display="https://finance.yahoo.com/quote/AMZN/options/?straddle=false&amp;strike=245&amp;type=all" xr:uid="{D076754E-7486-354E-BA03-838D15B13D14}"/>
    <hyperlink ref="A740" r:id="rId1473" display="https://finance.yahoo.com/quote/AMZN260227C00250000/" xr:uid="{8B4074F2-3498-CC42-80DE-387507ECF950}"/>
    <hyperlink ref="F740" r:id="rId1474" display="https://finance.yahoo.com/quote/AMZN/options/?straddle=false&amp;strike=250&amp;type=all" xr:uid="{81C734ED-038A-A140-B7A1-A8C754283E4D}"/>
    <hyperlink ref="A741" r:id="rId1475" display="https://finance.yahoo.com/quote/AMZN260227C00255000/" xr:uid="{2FE7F9D8-1CD3-1047-878D-40FE31D4A76D}"/>
    <hyperlink ref="F741" r:id="rId1476" display="https://finance.yahoo.com/quote/AMZN/options/?straddle=false&amp;strike=255&amp;type=all" xr:uid="{E2BBBEA8-DDFF-8440-B6BF-5D33FF4330D8}"/>
    <hyperlink ref="A742" r:id="rId1477" display="https://finance.yahoo.com/quote/AMZN260227C00260000/" xr:uid="{D68389AB-CA17-2445-BDF1-26FFF05F98A7}"/>
    <hyperlink ref="F742" r:id="rId1478" display="https://finance.yahoo.com/quote/AMZN/options/?straddle=false&amp;strike=260&amp;type=all" xr:uid="{E78FF216-5758-004E-B450-52D4C0DEC111}"/>
    <hyperlink ref="A743" r:id="rId1479" display="https://finance.yahoo.com/quote/AMZN260227C00265000/" xr:uid="{91E69CCF-25DB-D640-98F0-7DDDB22C6695}"/>
    <hyperlink ref="F743" r:id="rId1480" display="https://finance.yahoo.com/quote/AMZN/options/?straddle=false&amp;strike=265&amp;type=all" xr:uid="{7B921291-958E-4B44-97E1-5D59EE1F4465}"/>
    <hyperlink ref="A744" r:id="rId1481" display="https://finance.yahoo.com/quote/AMZN260227C00270000/" xr:uid="{37B16894-F7EE-B049-9E8E-6172D267346D}"/>
    <hyperlink ref="F744" r:id="rId1482" display="https://finance.yahoo.com/quote/AMZN/options/?straddle=false&amp;strike=270&amp;type=all" xr:uid="{C2FA496E-CA93-AB4D-8964-4942EE33A1EA}"/>
    <hyperlink ref="A745" r:id="rId1483" display="https://finance.yahoo.com/quote/AMZN260227C00275000/" xr:uid="{FFD6523B-E0F6-C448-A07D-2C5D22CB5DBC}"/>
    <hyperlink ref="F745" r:id="rId1484" display="https://finance.yahoo.com/quote/AMZN/options/?straddle=false&amp;strike=275&amp;type=all" xr:uid="{CBEB0B84-854F-2F46-99C3-1176EC561A2B}"/>
    <hyperlink ref="A746" r:id="rId1485" display="https://finance.yahoo.com/quote/AMZN260227C00280000/" xr:uid="{377E568E-E2BB-114B-AB0C-302EADA269EA}"/>
    <hyperlink ref="F746" r:id="rId1486" display="https://finance.yahoo.com/quote/AMZN/options/?straddle=false&amp;strike=280&amp;type=all" xr:uid="{C45CA42E-6256-B047-8C8E-3E0C36E4584D}"/>
    <hyperlink ref="A747" r:id="rId1487" display="https://finance.yahoo.com/quote/AMZN260227C00285000/" xr:uid="{7E438DBF-CCE1-BF45-957B-FF26A15F4359}"/>
    <hyperlink ref="F747" r:id="rId1488" display="https://finance.yahoo.com/quote/AMZN/options/?straddle=false&amp;strike=285&amp;type=all" xr:uid="{CFA8C09C-604E-1C48-90DD-86CBBA753E7D}"/>
    <hyperlink ref="A748" r:id="rId1489" display="https://finance.yahoo.com/quote/AMZN260227C00290000/" xr:uid="{86EE0AD3-CBA8-954A-B968-801BFBA69336}"/>
    <hyperlink ref="F748" r:id="rId1490" display="https://finance.yahoo.com/quote/AMZN/options/?straddle=false&amp;strike=290&amp;type=all" xr:uid="{E21DFE5D-0E6C-0644-891E-3D8851805E9E}"/>
    <hyperlink ref="A749" r:id="rId1491" display="https://finance.yahoo.com/quote/AMZN260227C00295000/" xr:uid="{47F6BB42-599A-CD41-9D91-2CB06C619150}"/>
    <hyperlink ref="F749" r:id="rId1492" display="https://finance.yahoo.com/quote/AMZN/options/?straddle=false&amp;strike=295&amp;type=all" xr:uid="{3CC70F14-71DF-8F4A-80EC-92D8C7D4D6F5}"/>
    <hyperlink ref="A750" r:id="rId1493" display="https://finance.yahoo.com/quote/AMZN260227C00300000/" xr:uid="{83A6B3CC-79FF-6043-8A84-F32BD760C185}"/>
    <hyperlink ref="F750" r:id="rId1494" display="https://finance.yahoo.com/quote/AMZN/options/?straddle=false&amp;strike=300&amp;type=all" xr:uid="{D7CE1257-FC45-724F-A771-1C33A6DD5331}"/>
    <hyperlink ref="A751" r:id="rId1495" display="https://finance.yahoo.com/quote/AMZN260227C00305000/" xr:uid="{22C9171D-95C7-B741-8267-197A75E01975}"/>
    <hyperlink ref="F751" r:id="rId1496" display="https://finance.yahoo.com/quote/AMZN/options/?straddle=false&amp;strike=305&amp;type=all" xr:uid="{5A876A17-1D8D-204F-9CE0-6FCD56451EEA}"/>
    <hyperlink ref="A752" r:id="rId1497" display="https://finance.yahoo.com/quote/AMZN260227C00310000/" xr:uid="{5788EA68-BC83-3245-BD68-CCB85EDCBE35}"/>
    <hyperlink ref="F752" r:id="rId1498" display="https://finance.yahoo.com/quote/AMZN/options/?straddle=false&amp;strike=310&amp;type=all" xr:uid="{3594A88E-7F6C-164F-B03E-CB9C30616E0A}"/>
    <hyperlink ref="A753" r:id="rId1499" display="https://finance.yahoo.com/quote/AMZN260227C00315000/" xr:uid="{C3F73B06-2A27-F849-A245-D26BA42684EE}"/>
    <hyperlink ref="F753" r:id="rId1500" display="https://finance.yahoo.com/quote/AMZN/options/?straddle=false&amp;strike=315&amp;type=all" xr:uid="{44E7BB86-A407-EF4F-AC7F-6FD04364B07F}"/>
    <hyperlink ref="A754" r:id="rId1501" display="https://finance.yahoo.com/quote/AMZN260227C00320000/" xr:uid="{D32CC30B-5CD3-374C-86CB-1C584918AB3D}"/>
    <hyperlink ref="F754" r:id="rId1502" display="https://finance.yahoo.com/quote/AMZN/options/?straddle=false&amp;strike=320&amp;type=all" xr:uid="{024778ED-725A-5C4D-AD30-93C4A5793444}"/>
    <hyperlink ref="A755" r:id="rId1503" display="https://finance.yahoo.com/quote/AMZN260227C00325000/" xr:uid="{7C039A23-ED7A-7D43-9DCA-50340A8B3172}"/>
    <hyperlink ref="F755" r:id="rId1504" display="https://finance.yahoo.com/quote/AMZN/options/?straddle=false&amp;strike=325&amp;type=all" xr:uid="{F3819F7C-7B05-014A-A40F-0B970775EB6B}"/>
    <hyperlink ref="A756" r:id="rId1505" display="https://finance.yahoo.com/quote/AMZN260227C00330000/" xr:uid="{C4463E66-5925-1649-B963-2B26CD2F6FB3}"/>
    <hyperlink ref="F756" r:id="rId1506" display="https://finance.yahoo.com/quote/AMZN/options/?straddle=false&amp;strike=330&amp;type=all" xr:uid="{465D3746-45B3-D047-A760-9AB9F38D4AC4}"/>
    <hyperlink ref="A757" r:id="rId1507" display="https://finance.yahoo.com/quote/AMZN260227C00335000/" xr:uid="{14E06ED5-8BDD-EB49-AD64-249C893083F3}"/>
    <hyperlink ref="F757" r:id="rId1508" display="https://finance.yahoo.com/quote/AMZN/options/?straddle=false&amp;strike=335&amp;type=all" xr:uid="{A5BC0A9A-4DE6-1E42-BE98-8A3CD2A79A95}"/>
    <hyperlink ref="A758" r:id="rId1509" display="https://finance.yahoo.com/quote/AMZN260227C00340000/" xr:uid="{E5798AF8-6648-3D4E-8126-7E0B89D6AC67}"/>
    <hyperlink ref="F758" r:id="rId1510" display="https://finance.yahoo.com/quote/AMZN/options/?straddle=false&amp;strike=340&amp;type=all" xr:uid="{8C86D7FF-C7C5-E84E-99AD-190F22BE5E5C}"/>
    <hyperlink ref="A759" r:id="rId1511" display="https://finance.yahoo.com/quote/AMZN260227C00345000/" xr:uid="{0E67810C-1205-4945-9790-741248BCDD94}"/>
    <hyperlink ref="F759" r:id="rId1512" display="https://finance.yahoo.com/quote/AMZN/options/?straddle=false&amp;strike=345&amp;type=all" xr:uid="{B5BEE0FE-309D-7441-81B3-3BE30CF70882}"/>
    <hyperlink ref="A760" r:id="rId1513" display="https://finance.yahoo.com/quote/AMZN260227P00125000/" xr:uid="{20ABD927-EFFB-5E4C-A24D-0F850AA25678}"/>
    <hyperlink ref="F760" r:id="rId1514" display="https://finance.yahoo.com/quote/AMZN/options/?straddle=false&amp;strike=125&amp;type=all" xr:uid="{DDA74867-07B8-8544-8CFC-4E23F773ACF2}"/>
    <hyperlink ref="A761" r:id="rId1515" display="https://finance.yahoo.com/quote/AMZN260227P00130000/" xr:uid="{51AEF2AE-6B4D-8B44-AAB5-F77EDA24D743}"/>
    <hyperlink ref="F761" r:id="rId1516" display="https://finance.yahoo.com/quote/AMZN/options/?straddle=false&amp;strike=130&amp;type=all" xr:uid="{729B9D5D-2CA9-254A-B67A-8169EEED2EC3}"/>
    <hyperlink ref="A762" r:id="rId1517" display="https://finance.yahoo.com/quote/AMZN260227P00135000/" xr:uid="{C1A4E371-A7DA-FC4B-89D9-D045C8CBF05E}"/>
    <hyperlink ref="F762" r:id="rId1518" display="https://finance.yahoo.com/quote/AMZN/options/?straddle=false&amp;strike=135&amp;type=all" xr:uid="{FDE2ED61-8D2C-1D43-BA97-2F42D410C8C3}"/>
    <hyperlink ref="A763" r:id="rId1519" display="https://finance.yahoo.com/quote/AMZN260227P00140000/" xr:uid="{772FC1A4-16FA-8543-ADE4-9A455FB6C838}"/>
    <hyperlink ref="F763" r:id="rId1520" display="https://finance.yahoo.com/quote/AMZN/options/?straddle=false&amp;strike=140&amp;type=all" xr:uid="{6F172471-520D-D84B-A2D7-6F904E2A6F25}"/>
    <hyperlink ref="A764" r:id="rId1521" display="https://finance.yahoo.com/quote/AMZN260227P00145000/" xr:uid="{D6558E6A-7E12-6E4A-A62E-85C1784D7327}"/>
    <hyperlink ref="F764" r:id="rId1522" display="https://finance.yahoo.com/quote/AMZN/options/?straddle=false&amp;strike=145&amp;type=all" xr:uid="{30DF1815-77BF-A44A-A760-E67B5873D810}"/>
    <hyperlink ref="A765" r:id="rId1523" display="https://finance.yahoo.com/quote/AMZN260227P00150000/" xr:uid="{81DDBCE8-C023-FE4F-84F9-2D45C21C2063}"/>
    <hyperlink ref="F765" r:id="rId1524" display="https://finance.yahoo.com/quote/AMZN/options/?straddle=false&amp;strike=150&amp;type=all" xr:uid="{65B4DE4C-7733-A346-AF63-7EE0B13CDDDB}"/>
    <hyperlink ref="A766" r:id="rId1525" display="https://finance.yahoo.com/quote/AMZN260227P00155000/" xr:uid="{7084B2AB-F168-354C-8431-C69EF211B556}"/>
    <hyperlink ref="F766" r:id="rId1526" display="https://finance.yahoo.com/quote/AMZN/options/?straddle=false&amp;strike=155&amp;type=all" xr:uid="{C992A5EB-C2E5-0A43-9F34-235B9C48DD0C}"/>
    <hyperlink ref="A767" r:id="rId1527" display="https://finance.yahoo.com/quote/AMZN260227P00160000/" xr:uid="{2E0F5855-4F07-064B-89B0-E9C2B05BE17A}"/>
    <hyperlink ref="F767" r:id="rId1528" display="https://finance.yahoo.com/quote/AMZN/options/?straddle=false&amp;strike=160&amp;type=all" xr:uid="{01E9F92D-3DEC-2D49-A6A3-65F0A26FCA4F}"/>
    <hyperlink ref="A768" r:id="rId1529" display="https://finance.yahoo.com/quote/AMZN260227P00165000/" xr:uid="{484A64E0-BA50-A540-AD4D-D250A37C8F75}"/>
    <hyperlink ref="F768" r:id="rId1530" display="https://finance.yahoo.com/quote/AMZN/options/?straddle=false&amp;strike=165&amp;type=all" xr:uid="{60C0EB2B-9E32-D34A-ACCD-BF8F58529794}"/>
    <hyperlink ref="A769" r:id="rId1531" display="https://finance.yahoo.com/quote/AMZN260227P00170000/" xr:uid="{11F55214-5EE0-6C49-B30D-6B8947F77864}"/>
    <hyperlink ref="F769" r:id="rId1532" display="https://finance.yahoo.com/quote/AMZN/options/?straddle=false&amp;strike=170&amp;type=all" xr:uid="{0CD1FE96-CF83-7E40-ADA0-FD302BE1A1EE}"/>
    <hyperlink ref="A770" r:id="rId1533" display="https://finance.yahoo.com/quote/AMZN260227P00172500/" xr:uid="{28853568-666C-4640-95D2-0CF83B111780}"/>
    <hyperlink ref="F770" r:id="rId1534" display="https://finance.yahoo.com/quote/AMZN/options/?straddle=false&amp;strike=172.5&amp;type=all" xr:uid="{DF18225A-85B7-A046-BD9D-B0E7C839E1AE}"/>
    <hyperlink ref="A771" r:id="rId1535" display="https://finance.yahoo.com/quote/AMZN260227P00175000/" xr:uid="{1C787A77-94BC-7A49-8D4D-5FFB3A1A3EBE}"/>
    <hyperlink ref="F771" r:id="rId1536" display="https://finance.yahoo.com/quote/AMZN/options/?straddle=false&amp;strike=175&amp;type=all" xr:uid="{A50C968A-5C43-0B45-8365-D5AA0B1079F0}"/>
    <hyperlink ref="A772" r:id="rId1537" display="https://finance.yahoo.com/quote/AMZN260227P00177500/" xr:uid="{A455AA33-5171-C043-9401-9AFB05347D5F}"/>
    <hyperlink ref="F772" r:id="rId1538" display="https://finance.yahoo.com/quote/AMZN/options/?straddle=false&amp;strike=177.5&amp;type=all" xr:uid="{500E4AF2-3DDC-954A-AC66-93FD1C9FEE62}"/>
    <hyperlink ref="A773" r:id="rId1539" display="https://finance.yahoo.com/quote/AMZN260227P00180000/" xr:uid="{3FE62E8D-5A8C-AE42-A57D-A22DB8B1C4F3}"/>
    <hyperlink ref="F773" r:id="rId1540" display="https://finance.yahoo.com/quote/AMZN/options/?straddle=false&amp;strike=180&amp;type=all" xr:uid="{37C4455D-7132-5D40-A7B6-393A671A3B96}"/>
    <hyperlink ref="A774" r:id="rId1541" display="https://finance.yahoo.com/quote/AMZN260227P00182500/" xr:uid="{D9DD13D2-41F6-0F4A-9EEA-02FDE46E4188}"/>
    <hyperlink ref="F774" r:id="rId1542" display="https://finance.yahoo.com/quote/AMZN/options/?straddle=false&amp;strike=182.5&amp;type=all" xr:uid="{6A4DDC4D-4869-6E42-AF8B-8715075981AF}"/>
    <hyperlink ref="A775" r:id="rId1543" display="https://finance.yahoo.com/quote/AMZN260227P00185000/" xr:uid="{0BF43F90-8261-3C4E-9889-67383D42FA21}"/>
    <hyperlink ref="F775" r:id="rId1544" display="https://finance.yahoo.com/quote/AMZN/options/?straddle=false&amp;strike=185&amp;type=all" xr:uid="{93B8934F-339B-FB4E-A372-7A47C503770D}"/>
    <hyperlink ref="A776" r:id="rId1545" display="https://finance.yahoo.com/quote/AMZN260227P00187500/" xr:uid="{A946EEDF-BC69-C846-8AD7-EBA8B36FEA35}"/>
    <hyperlink ref="F776" r:id="rId1546" display="https://finance.yahoo.com/quote/AMZN/options/?straddle=false&amp;strike=187.5&amp;type=all" xr:uid="{21E90EB8-FA5E-AC4B-971E-203FAC962291}"/>
    <hyperlink ref="A777" r:id="rId1547" display="https://finance.yahoo.com/quote/AMZN260227P00190000/" xr:uid="{F15EA232-8A80-2F46-A9DB-8EC64B142117}"/>
    <hyperlink ref="F777" r:id="rId1548" display="https://finance.yahoo.com/quote/AMZN/options/?straddle=false&amp;strike=190&amp;type=all" xr:uid="{3A26C591-960A-514F-A8D9-13FB32039EDD}"/>
    <hyperlink ref="A778" r:id="rId1549" display="https://finance.yahoo.com/quote/AMZN260227P00192500/" xr:uid="{BDA228A2-BCAA-EC46-9B46-C21BDBF2A957}"/>
    <hyperlink ref="F778" r:id="rId1550" display="https://finance.yahoo.com/quote/AMZN/options/?straddle=false&amp;strike=192.5&amp;type=all" xr:uid="{A058F3D6-9721-0D49-9000-2652E091EA1F}"/>
    <hyperlink ref="A779" r:id="rId1551" display="https://finance.yahoo.com/quote/AMZN260227P00195000/" xr:uid="{117BD304-F59D-5A4E-88CC-1AA574EE1069}"/>
    <hyperlink ref="F779" r:id="rId1552" display="https://finance.yahoo.com/quote/AMZN/options/?straddle=false&amp;strike=195&amp;type=all" xr:uid="{47636E74-3131-804F-BE3D-5FD9D9F2016E}"/>
    <hyperlink ref="A780" r:id="rId1553" display="https://finance.yahoo.com/quote/AMZN260227P00197500/" xr:uid="{2B0F54C4-341E-9444-B719-6D52B5D9B30F}"/>
    <hyperlink ref="F780" r:id="rId1554" display="https://finance.yahoo.com/quote/AMZN/options/?straddle=false&amp;strike=197.5&amp;type=all" xr:uid="{155EA686-6CC4-7C4C-A636-A5668CD5A338}"/>
    <hyperlink ref="A781" r:id="rId1555" display="https://finance.yahoo.com/quote/AMZN260227P00200000/" xr:uid="{30CD724A-A07E-7448-83A7-67722C5B366A}"/>
    <hyperlink ref="F781" r:id="rId1556" display="https://finance.yahoo.com/quote/AMZN/options/?straddle=false&amp;strike=200&amp;type=all" xr:uid="{2A0CA9E2-6479-9E47-BFAD-96AAF65AEA03}"/>
    <hyperlink ref="A782" r:id="rId1557" display="https://finance.yahoo.com/quote/AMZN260227P00202500/" xr:uid="{8D6E902E-1AB1-914C-9A79-2145532BCC0D}"/>
    <hyperlink ref="F782" r:id="rId1558" display="https://finance.yahoo.com/quote/AMZN/options/?straddle=false&amp;strike=202.5&amp;type=all" xr:uid="{E6EB9E24-8C75-0B48-8B25-3439EC478778}"/>
    <hyperlink ref="A783" r:id="rId1559" display="https://finance.yahoo.com/quote/AMZN260227P00205000/" xr:uid="{68080BD5-2A4B-DD40-991C-7BEE9EDC6F98}"/>
    <hyperlink ref="F783" r:id="rId1560" display="https://finance.yahoo.com/quote/AMZN/options/?straddle=false&amp;strike=205&amp;type=all" xr:uid="{54E2C30F-8D48-7F4F-9E17-9D3E225F5537}"/>
    <hyperlink ref="A784" r:id="rId1561" display="https://finance.yahoo.com/quote/AMZN260227P00207500/" xr:uid="{B011D60E-9101-BB4B-8D4C-05DF25C75DBB}"/>
    <hyperlink ref="F784" r:id="rId1562" display="https://finance.yahoo.com/quote/AMZN/options/?straddle=false&amp;strike=207.5&amp;type=all" xr:uid="{128C53B0-7256-0B44-836C-0D6AC94BDCAD}"/>
    <hyperlink ref="A785" r:id="rId1563" display="https://finance.yahoo.com/quote/AMZN260227P00210000/" xr:uid="{B6454967-632C-BD44-AC62-038A1CCB8544}"/>
    <hyperlink ref="F785" r:id="rId1564" display="https://finance.yahoo.com/quote/AMZN/options/?straddle=false&amp;strike=210&amp;type=all" xr:uid="{28B84DDD-D23E-9F42-A1A2-20A2BF6D99A5}"/>
    <hyperlink ref="A786" r:id="rId1565" display="https://finance.yahoo.com/quote/AMZN260227P00212500/" xr:uid="{9E96E3C2-7939-9B4C-89EE-4909C2A388A8}"/>
    <hyperlink ref="F786" r:id="rId1566" display="https://finance.yahoo.com/quote/AMZN/options/?straddle=false&amp;strike=212.5&amp;type=all" xr:uid="{F7F9E6CF-F8AA-4846-8649-B57B6B10B02E}"/>
    <hyperlink ref="A787" r:id="rId1567" display="https://finance.yahoo.com/quote/AMZN260227P00215000/" xr:uid="{62BB4C93-3700-BB48-9931-1A14DD244261}"/>
    <hyperlink ref="F787" r:id="rId1568" display="https://finance.yahoo.com/quote/AMZN/options/?straddle=false&amp;strike=215&amp;type=all" xr:uid="{76FA118D-AEFD-2247-A45B-3DB6A9150A36}"/>
    <hyperlink ref="A788" r:id="rId1569" display="https://finance.yahoo.com/quote/AMZN260227P00217500/" xr:uid="{53768B5C-6E04-5F4B-A39F-F17302BAD25E}"/>
    <hyperlink ref="F788" r:id="rId1570" display="https://finance.yahoo.com/quote/AMZN/options/?straddle=false&amp;strike=217.5&amp;type=all" xr:uid="{FE011335-5461-1041-B5E2-241CDC0639AF}"/>
    <hyperlink ref="A789" r:id="rId1571" display="https://finance.yahoo.com/quote/AMZN260227P00220000/" xr:uid="{69EAA4FC-F30E-F64D-A74B-93C449D0AFE4}"/>
    <hyperlink ref="F789" r:id="rId1572" display="https://finance.yahoo.com/quote/AMZN/options/?straddle=false&amp;strike=220&amp;type=all" xr:uid="{C5995EC8-0044-AE4A-9AD5-3C154094D1A1}"/>
    <hyperlink ref="A790" r:id="rId1573" display="https://finance.yahoo.com/quote/AMZN260227P00222500/" xr:uid="{5EBEBE78-C4AB-3C45-850D-874A84181538}"/>
    <hyperlink ref="F790" r:id="rId1574" display="https://finance.yahoo.com/quote/AMZN/options/?straddle=false&amp;strike=222.5&amp;type=all" xr:uid="{27CB0744-CE4B-D947-B16A-EE2C5A1C2EEA}"/>
    <hyperlink ref="A791" r:id="rId1575" display="https://finance.yahoo.com/quote/AMZN260227P00225000/" xr:uid="{5EA9DA98-C68E-4B47-91C9-0D8446A37952}"/>
    <hyperlink ref="F791" r:id="rId1576" display="https://finance.yahoo.com/quote/AMZN/options/?straddle=false&amp;strike=225&amp;type=all" xr:uid="{CE0F8896-DE3C-7C4D-B987-8009033782E7}"/>
    <hyperlink ref="A792" r:id="rId1577" display="https://finance.yahoo.com/quote/AMZN260227P00227500/" xr:uid="{C4C6B084-3A24-1B45-8E29-2A4400AAAC51}"/>
    <hyperlink ref="F792" r:id="rId1578" display="https://finance.yahoo.com/quote/AMZN/options/?straddle=false&amp;strike=227.5&amp;type=all" xr:uid="{E0875305-6011-4B44-AF5A-9FA12C5B5912}"/>
    <hyperlink ref="A793" r:id="rId1579" display="https://finance.yahoo.com/quote/AMZN260227P00230000/" xr:uid="{31D09989-CA30-7843-873A-6E6F41CD5EBA}"/>
    <hyperlink ref="F793" r:id="rId1580" display="https://finance.yahoo.com/quote/AMZN/options/?straddle=false&amp;strike=230&amp;type=all" xr:uid="{9E48FB55-991B-774F-8291-74E16BF5BB74}"/>
    <hyperlink ref="A794" r:id="rId1581" display="https://finance.yahoo.com/quote/AMZN260227P00235000/" xr:uid="{93243731-B07A-A545-8C8C-15E25A7C76C6}"/>
    <hyperlink ref="F794" r:id="rId1582" display="https://finance.yahoo.com/quote/AMZN/options/?straddle=false&amp;strike=235&amp;type=all" xr:uid="{6E436014-C4BD-A34D-80ED-E61E5CA79C30}"/>
    <hyperlink ref="A795" r:id="rId1583" display="https://finance.yahoo.com/quote/AMZN260227P00240000/" xr:uid="{A253C333-5B58-F142-ACA7-7EBC5778A30C}"/>
    <hyperlink ref="F795" r:id="rId1584" display="https://finance.yahoo.com/quote/AMZN/options/?straddle=false&amp;strike=240&amp;type=all" xr:uid="{EEE43842-63AA-9D49-B4CC-A015AAEC18F8}"/>
    <hyperlink ref="A796" r:id="rId1585" display="https://finance.yahoo.com/quote/AMZN260227P00245000/" xr:uid="{A91890D4-A993-D24B-80E9-AE412AD03CB6}"/>
    <hyperlink ref="F796" r:id="rId1586" display="https://finance.yahoo.com/quote/AMZN/options/?straddle=false&amp;strike=245&amp;type=all" xr:uid="{A5710C1B-E97C-A542-92E3-9FF6D716272A}"/>
    <hyperlink ref="A797" r:id="rId1587" display="https://finance.yahoo.com/quote/AMZN260227P00250000/" xr:uid="{C551278D-7859-1642-99E6-5859FFB11F19}"/>
    <hyperlink ref="F797" r:id="rId1588" display="https://finance.yahoo.com/quote/AMZN/options/?straddle=false&amp;strike=250&amp;type=all" xr:uid="{86D270B1-412D-6144-A9E6-8B5BC3719808}"/>
    <hyperlink ref="A798" r:id="rId1589" display="https://finance.yahoo.com/quote/AMZN260227P00255000/" xr:uid="{7BD289B1-116E-3245-857C-09159DA3E958}"/>
    <hyperlink ref="F798" r:id="rId1590" display="https://finance.yahoo.com/quote/AMZN/options/?straddle=false&amp;strike=255&amp;type=all" xr:uid="{97B0FEEB-6795-DA4B-A989-B8148C9F1F3A}"/>
    <hyperlink ref="A799" r:id="rId1591" display="https://finance.yahoo.com/quote/AMZN260227P00260000/" xr:uid="{8AE59A1F-7F12-574B-86D0-6A6A4C6C84EB}"/>
    <hyperlink ref="F799" r:id="rId1592" display="https://finance.yahoo.com/quote/AMZN/options/?straddle=false&amp;strike=260&amp;type=all" xr:uid="{F773653C-42A7-2C41-975D-5C3263F31325}"/>
    <hyperlink ref="A800" r:id="rId1593" display="https://finance.yahoo.com/quote/AMZN260227P00265000/" xr:uid="{DCBDE779-B9F0-AA4D-9ACC-903C386849D3}"/>
    <hyperlink ref="F800" r:id="rId1594" display="https://finance.yahoo.com/quote/AMZN/options/?straddle=false&amp;strike=265&amp;type=all" xr:uid="{2C301D67-5EA8-9F49-AEEF-72C6A8FA6704}"/>
    <hyperlink ref="A801" r:id="rId1595" display="https://finance.yahoo.com/quote/AMZN260227P00270000/" xr:uid="{1F6D09A2-022B-3246-B8E5-B8FC7B115F92}"/>
    <hyperlink ref="F801" r:id="rId1596" display="https://finance.yahoo.com/quote/AMZN/options/?straddle=false&amp;strike=270&amp;type=all" xr:uid="{04D5BEA8-B379-E540-B3DD-C8F3C9C5961A}"/>
    <hyperlink ref="A802" r:id="rId1597" display="https://finance.yahoo.com/quote/AMZN260227P00275000/" xr:uid="{A5994066-AE2D-4941-AE35-5A1F7D6FFF1D}"/>
    <hyperlink ref="F802" r:id="rId1598" display="https://finance.yahoo.com/quote/AMZN/options/?straddle=false&amp;strike=275&amp;type=all" xr:uid="{1F3CAEB5-EC3D-6544-B917-B3E5489BFEDD}"/>
    <hyperlink ref="A803" r:id="rId1599" display="https://finance.yahoo.com/quote/AMZN260227P00280000/" xr:uid="{E5B36F9F-12D6-7A40-8B2D-A7010B81A55B}"/>
    <hyperlink ref="F803" r:id="rId1600" display="https://finance.yahoo.com/quote/AMZN/options/?straddle=false&amp;strike=280&amp;type=all" xr:uid="{55FFAEF2-C4EE-E44D-AFAF-86F0A6F9B4FD}"/>
    <hyperlink ref="A804" r:id="rId1601" display="https://finance.yahoo.com/quote/AMZN260227P00290000/" xr:uid="{7BEBF088-4002-0E43-869A-9BF0CA470235}"/>
    <hyperlink ref="F804" r:id="rId1602" display="https://finance.yahoo.com/quote/AMZN/options/?straddle=false&amp;strike=290&amp;type=all" xr:uid="{4FCBF88A-6387-C342-9F28-2B0C76168CD6}"/>
    <hyperlink ref="A805" r:id="rId1603" display="https://finance.yahoo.com/quote/AMZN260227P00310000/" xr:uid="{4388E892-2197-BC48-8343-9278E121FBF6}"/>
    <hyperlink ref="F805" r:id="rId1604" display="https://finance.yahoo.com/quote/AMZN/options/?straddle=false&amp;strike=310&amp;type=all" xr:uid="{09549E21-D421-BB4C-98A0-CC8C3C777005}"/>
    <hyperlink ref="A806" r:id="rId1605" display="https://finance.yahoo.com/quote/AMZN260227P00315000/" xr:uid="{E39F9D09-2742-9B43-AEE7-7677AA03D663}"/>
    <hyperlink ref="F806" r:id="rId1606" display="https://finance.yahoo.com/quote/AMZN/options/?straddle=false&amp;strike=315&amp;type=all" xr:uid="{6EAD6C0F-8F0F-BC46-899A-2503EFB92E7A}"/>
    <hyperlink ref="A807" r:id="rId1607" display="https://finance.yahoo.com/quote/AMZN260306C00125000/" xr:uid="{A58FD830-4D01-0F47-A026-298A8B2BA75A}"/>
    <hyperlink ref="F807" r:id="rId1608" display="https://finance.yahoo.com/quote/AMZN/options/?straddle=false&amp;strike=125&amp;type=all" xr:uid="{62851E85-2536-184C-8F9A-8409DA0B0B1F}"/>
    <hyperlink ref="A808" r:id="rId1609" display="https://finance.yahoo.com/quote/AMZN260306C00130000/" xr:uid="{BD13F4FE-5CA9-9148-BEB0-4A8A7C5B9EB4}"/>
    <hyperlink ref="F808" r:id="rId1610" display="https://finance.yahoo.com/quote/AMZN/options/?straddle=false&amp;strike=130&amp;type=all" xr:uid="{47B7323E-8A66-1F4A-8E72-5C6D8F145476}"/>
    <hyperlink ref="A809" r:id="rId1611" display="https://finance.yahoo.com/quote/AMZN260306C00135000/" xr:uid="{476379AB-2B55-5D4B-8BBF-D997156BB96E}"/>
    <hyperlink ref="F809" r:id="rId1612" display="https://finance.yahoo.com/quote/AMZN/options/?straddle=false&amp;strike=135&amp;type=all" xr:uid="{1A022FE7-E09F-4845-97B1-58F0522D4F7A}"/>
    <hyperlink ref="A810" r:id="rId1613" display="https://finance.yahoo.com/quote/AMZN260306C00140000/" xr:uid="{85F9754D-BDD2-4041-A10B-9AF288F889D6}"/>
    <hyperlink ref="F810" r:id="rId1614" display="https://finance.yahoo.com/quote/AMZN/options/?straddle=false&amp;strike=140&amp;type=all" xr:uid="{079D766D-D46D-604E-B1F8-84F159E781B0}"/>
    <hyperlink ref="A811" r:id="rId1615" display="https://finance.yahoo.com/quote/AMZN260306C00145000/" xr:uid="{6DBFC93C-876E-064C-841A-F206B2D4A1B1}"/>
    <hyperlink ref="F811" r:id="rId1616" display="https://finance.yahoo.com/quote/AMZN/options/?straddle=false&amp;strike=145&amp;type=all" xr:uid="{F6023288-0351-394C-9AC5-E80A1894171E}"/>
    <hyperlink ref="A812" r:id="rId1617" display="https://finance.yahoo.com/quote/AMZN260306C00150000/" xr:uid="{3A5FB7C4-71E3-C342-991C-61449FEF9249}"/>
    <hyperlink ref="F812" r:id="rId1618" display="https://finance.yahoo.com/quote/AMZN/options/?straddle=false&amp;strike=150&amp;type=all" xr:uid="{9E66B7D0-B83C-4E4E-B2EF-C7D56B583C98}"/>
    <hyperlink ref="A813" r:id="rId1619" display="https://finance.yahoo.com/quote/AMZN260306C00155000/" xr:uid="{1D7D5B3C-071C-EB46-A6DF-E19E541A50CB}"/>
    <hyperlink ref="F813" r:id="rId1620" display="https://finance.yahoo.com/quote/AMZN/options/?straddle=false&amp;strike=155&amp;type=all" xr:uid="{AC331D69-F37F-1641-9DBB-83174EC5E7C9}"/>
    <hyperlink ref="A814" r:id="rId1621" display="https://finance.yahoo.com/quote/AMZN260306C00160000/" xr:uid="{FA46BEB8-175D-A147-AE0E-56DB1EFA5CF9}"/>
    <hyperlink ref="F814" r:id="rId1622" display="https://finance.yahoo.com/quote/AMZN/options/?straddle=false&amp;strike=160&amp;type=all" xr:uid="{21B2B8B4-3724-6E48-8937-4E4E4EABF5E1}"/>
    <hyperlink ref="A815" r:id="rId1623" display="https://finance.yahoo.com/quote/AMZN260306C00165000/" xr:uid="{18364FDA-6BCB-C341-B3D2-D5075EFE4A1A}"/>
    <hyperlink ref="F815" r:id="rId1624" display="https://finance.yahoo.com/quote/AMZN/options/?straddle=false&amp;strike=165&amp;type=all" xr:uid="{1ECFD58E-430D-DD41-982C-8D1396CA77AF}"/>
    <hyperlink ref="A816" r:id="rId1625" display="https://finance.yahoo.com/quote/AMZN260306C00170000/" xr:uid="{A809217F-EC74-7D4B-B95E-F0F861E1B210}"/>
    <hyperlink ref="F816" r:id="rId1626" display="https://finance.yahoo.com/quote/AMZN/options/?straddle=false&amp;strike=170&amp;type=all" xr:uid="{C138E91D-E1AC-3240-B921-CC0338943299}"/>
    <hyperlink ref="A817" r:id="rId1627" display="https://finance.yahoo.com/quote/AMZN260306C00172500/" xr:uid="{F67F784B-6DD8-AD4B-A9F5-39B6F49EFA9F}"/>
    <hyperlink ref="F817" r:id="rId1628" display="https://finance.yahoo.com/quote/AMZN/options/?straddle=false&amp;strike=172.5&amp;type=all" xr:uid="{EB0B80C5-712F-FA42-91D6-267741797D2E}"/>
    <hyperlink ref="A818" r:id="rId1629" display="https://finance.yahoo.com/quote/AMZN260306C00175000/" xr:uid="{E20E3ECC-42EF-994E-9BF9-D201C8A93AC5}"/>
    <hyperlink ref="F818" r:id="rId1630" display="https://finance.yahoo.com/quote/AMZN/options/?straddle=false&amp;strike=175&amp;type=all" xr:uid="{A6FB668A-521C-DF48-B8AB-08B4DB74CD76}"/>
    <hyperlink ref="A819" r:id="rId1631" display="https://finance.yahoo.com/quote/AMZN260306C00177500/" xr:uid="{8B1A3334-3BA9-0944-9EE8-E4FA60E89D51}"/>
    <hyperlink ref="F819" r:id="rId1632" display="https://finance.yahoo.com/quote/AMZN/options/?straddle=false&amp;strike=177.5&amp;type=all" xr:uid="{78FAFEC9-3A28-6149-9F68-05ED73737F4A}"/>
    <hyperlink ref="A820" r:id="rId1633" display="https://finance.yahoo.com/quote/AMZN260306C00180000/" xr:uid="{81EA1EF9-7170-F945-A7D5-7166B82ACC7B}"/>
    <hyperlink ref="F820" r:id="rId1634" display="https://finance.yahoo.com/quote/AMZN/options/?straddle=false&amp;strike=180&amp;type=all" xr:uid="{2D4B0560-E3DF-5C49-86A5-5DA03E1B725C}"/>
    <hyperlink ref="A821" r:id="rId1635" display="https://finance.yahoo.com/quote/AMZN260306C00182500/" xr:uid="{9DC6097C-1463-9943-A975-6B8BC77EDD42}"/>
    <hyperlink ref="F821" r:id="rId1636" display="https://finance.yahoo.com/quote/AMZN/options/?straddle=false&amp;strike=182.5&amp;type=all" xr:uid="{125DEDB2-960D-E54D-BAE3-1A2C93061535}"/>
    <hyperlink ref="A822" r:id="rId1637" display="https://finance.yahoo.com/quote/AMZN260306C00185000/" xr:uid="{0DC6EB40-8563-5746-864D-9CBF337230DF}"/>
    <hyperlink ref="F822" r:id="rId1638" display="https://finance.yahoo.com/quote/AMZN/options/?straddle=false&amp;strike=185&amp;type=all" xr:uid="{28E4594C-362B-4540-A611-B459B1EEDFFC}"/>
    <hyperlink ref="A823" r:id="rId1639" display="https://finance.yahoo.com/quote/AMZN260306C00187500/" xr:uid="{ECA09A61-84EF-B942-896D-08F724F529F1}"/>
    <hyperlink ref="F823" r:id="rId1640" display="https://finance.yahoo.com/quote/AMZN/options/?straddle=false&amp;strike=187.5&amp;type=all" xr:uid="{E5F3C574-DFC2-394E-B82F-8E721B1CAAFA}"/>
    <hyperlink ref="A824" r:id="rId1641" display="https://finance.yahoo.com/quote/AMZN260306C00190000/" xr:uid="{7C2831C9-47A4-9340-A3E2-A4C8E975E9FB}"/>
    <hyperlink ref="F824" r:id="rId1642" display="https://finance.yahoo.com/quote/AMZN/options/?straddle=false&amp;strike=190&amp;type=all" xr:uid="{052CED15-7618-3A49-8099-72A7652258B7}"/>
    <hyperlink ref="A825" r:id="rId1643" display="https://finance.yahoo.com/quote/AMZN260306C00192500/" xr:uid="{5CA74907-4CC0-8F4F-BA05-4699E400E455}"/>
    <hyperlink ref="F825" r:id="rId1644" display="https://finance.yahoo.com/quote/AMZN/options/?straddle=false&amp;strike=192.5&amp;type=all" xr:uid="{C2499BA0-BAFC-EA47-89C9-5AC31AF346A6}"/>
    <hyperlink ref="A826" r:id="rId1645" display="https://finance.yahoo.com/quote/AMZN260306C00195000/" xr:uid="{90270EEB-2B0C-054B-AC34-51EBE3C2B41E}"/>
    <hyperlink ref="F826" r:id="rId1646" display="https://finance.yahoo.com/quote/AMZN/options/?straddle=false&amp;strike=195&amp;type=all" xr:uid="{AFAF4286-D752-4543-8B98-773048381B00}"/>
    <hyperlink ref="A827" r:id="rId1647" display="https://finance.yahoo.com/quote/AMZN260306C00197500/" xr:uid="{DCA4D913-AB38-BA48-99AC-7F00658AC781}"/>
    <hyperlink ref="F827" r:id="rId1648" display="https://finance.yahoo.com/quote/AMZN/options/?straddle=false&amp;strike=197.5&amp;type=all" xr:uid="{32028151-8288-5F45-A9C9-6129AE0D9D61}"/>
    <hyperlink ref="A828" r:id="rId1649" display="https://finance.yahoo.com/quote/AMZN260306C00200000/" xr:uid="{19EF3BC9-F20E-D34F-BFA8-04C2FD893876}"/>
    <hyperlink ref="F828" r:id="rId1650" display="https://finance.yahoo.com/quote/AMZN/options/?straddle=false&amp;strike=200&amp;type=all" xr:uid="{6B301840-69B3-B940-AA4E-2B1D95E758C3}"/>
    <hyperlink ref="A829" r:id="rId1651" display="https://finance.yahoo.com/quote/AMZN260306C00202500/" xr:uid="{599042A7-E7FB-AD41-BCA7-636D08A61435}"/>
    <hyperlink ref="F829" r:id="rId1652" display="https://finance.yahoo.com/quote/AMZN/options/?straddle=false&amp;strike=202.5&amp;type=all" xr:uid="{C2D29011-364B-BC45-AC99-99AB78FDA4ED}"/>
    <hyperlink ref="A830" r:id="rId1653" display="https://finance.yahoo.com/quote/AMZN260306C00205000/" xr:uid="{FB0A8779-AC5F-FE4B-B564-8FA656FDAB6D}"/>
    <hyperlink ref="F830" r:id="rId1654" display="https://finance.yahoo.com/quote/AMZN/options/?straddle=false&amp;strike=205&amp;type=all" xr:uid="{6537C1B3-9D8B-E94E-B3FE-6C81E94627D6}"/>
    <hyperlink ref="A831" r:id="rId1655" display="https://finance.yahoo.com/quote/AMZN260306C00207500/" xr:uid="{0B25E869-FCC9-9C4B-A327-04619B1A0C81}"/>
    <hyperlink ref="F831" r:id="rId1656" display="https://finance.yahoo.com/quote/AMZN/options/?straddle=false&amp;strike=207.5&amp;type=all" xr:uid="{3FC2D911-3911-AC41-B16D-5D5E18322B11}"/>
    <hyperlink ref="A832" r:id="rId1657" display="https://finance.yahoo.com/quote/AMZN260306C00210000/" xr:uid="{5B6697A6-E52F-8A4B-9AF5-585923DA650A}"/>
    <hyperlink ref="F832" r:id="rId1658" display="https://finance.yahoo.com/quote/AMZN/options/?straddle=false&amp;strike=210&amp;type=all" xr:uid="{C557ED8F-4C9C-0B4B-9919-3F89BE8D8272}"/>
    <hyperlink ref="A833" r:id="rId1659" display="https://finance.yahoo.com/quote/AMZN260306C00212500/" xr:uid="{445FC609-EB86-5C4F-8D8F-67F4CD0A9CAF}"/>
    <hyperlink ref="F833" r:id="rId1660" display="https://finance.yahoo.com/quote/AMZN/options/?straddle=false&amp;strike=212.5&amp;type=all" xr:uid="{5B5FC99C-DD04-2D4C-9D9B-45663C72FB6F}"/>
    <hyperlink ref="A834" r:id="rId1661" display="https://finance.yahoo.com/quote/AMZN260306C00215000/" xr:uid="{6CB0D10A-F117-4E45-9E57-46E09F003CD6}"/>
    <hyperlink ref="F834" r:id="rId1662" display="https://finance.yahoo.com/quote/AMZN/options/?straddle=false&amp;strike=215&amp;type=all" xr:uid="{78A7790F-6040-0F48-912A-EC8C7B9AC39F}"/>
    <hyperlink ref="A835" r:id="rId1663" display="https://finance.yahoo.com/quote/AMZN260306C00217500/" xr:uid="{9C7FA7F9-6B0C-7749-A11B-696587E158A8}"/>
    <hyperlink ref="F835" r:id="rId1664" display="https://finance.yahoo.com/quote/AMZN/options/?straddle=false&amp;strike=217.5&amp;type=all" xr:uid="{B8207D4F-C585-D347-B6D8-5415894A4C81}"/>
    <hyperlink ref="A836" r:id="rId1665" display="https://finance.yahoo.com/quote/AMZN260306C00220000/" xr:uid="{32FD79F3-C4F5-344F-A2D8-9B74B7E5C92D}"/>
    <hyperlink ref="F836" r:id="rId1666" display="https://finance.yahoo.com/quote/AMZN/options/?straddle=false&amp;strike=220&amp;type=all" xr:uid="{D2E23EE9-D494-1441-B15D-F1581D210C04}"/>
    <hyperlink ref="A837" r:id="rId1667" display="https://finance.yahoo.com/quote/AMZN260306C00222500/" xr:uid="{C0739F18-AB98-744A-AFE1-3EFB3A099111}"/>
    <hyperlink ref="F837" r:id="rId1668" display="https://finance.yahoo.com/quote/AMZN/options/?straddle=false&amp;strike=222.5&amp;type=all" xr:uid="{53E5BE9B-B243-3645-897E-A89046328A5C}"/>
    <hyperlink ref="A838" r:id="rId1669" display="https://finance.yahoo.com/quote/AMZN260306C00225000/" xr:uid="{AD1E35B0-2130-1F40-9E30-64B2ACE65A84}"/>
    <hyperlink ref="F838" r:id="rId1670" display="https://finance.yahoo.com/quote/AMZN/options/?straddle=false&amp;strike=225&amp;type=all" xr:uid="{B3CA83AC-3C8E-ED4C-884E-BBB6F74C587D}"/>
    <hyperlink ref="A839" r:id="rId1671" display="https://finance.yahoo.com/quote/AMZN260306C00227500/" xr:uid="{8AB46135-D690-D445-BA9A-23C16B49E187}"/>
    <hyperlink ref="F839" r:id="rId1672" display="https://finance.yahoo.com/quote/AMZN/options/?straddle=false&amp;strike=227.5&amp;type=all" xr:uid="{BE6A35AC-2634-4A43-83F6-9E454A015CF8}"/>
    <hyperlink ref="A840" r:id="rId1673" display="https://finance.yahoo.com/quote/AMZN260306C00230000/" xr:uid="{4B4A8821-A4A8-6542-8ED0-106962CF6524}"/>
    <hyperlink ref="F840" r:id="rId1674" display="https://finance.yahoo.com/quote/AMZN/options/?straddle=false&amp;strike=230&amp;type=all" xr:uid="{9CA0E319-DBCE-7B47-A6D6-BF5DC9CDF5AE}"/>
    <hyperlink ref="A841" r:id="rId1675" display="https://finance.yahoo.com/quote/AMZN260306C00232500/" xr:uid="{FDFCCD42-A0DA-BA41-A229-FCFE9D9540A2}"/>
    <hyperlink ref="F841" r:id="rId1676" display="https://finance.yahoo.com/quote/AMZN/options/?straddle=false&amp;strike=232.5&amp;type=all" xr:uid="{9CAA3557-BC85-FD49-9342-FB5F2BE649A1}"/>
    <hyperlink ref="A842" r:id="rId1677" display="https://finance.yahoo.com/quote/AMZN260306C00235000/" xr:uid="{1CF9C5CF-111F-EB4C-85DD-5B05DC318558}"/>
    <hyperlink ref="F842" r:id="rId1678" display="https://finance.yahoo.com/quote/AMZN/options/?straddle=false&amp;strike=235&amp;type=all" xr:uid="{2F9EB11B-1767-1345-A79B-3E91E60D0779}"/>
    <hyperlink ref="A843" r:id="rId1679" display="https://finance.yahoo.com/quote/AMZN260306C00240000/" xr:uid="{7990C921-6285-3440-9217-BBECF0B6C98D}"/>
    <hyperlink ref="F843" r:id="rId1680" display="https://finance.yahoo.com/quote/AMZN/options/?straddle=false&amp;strike=240&amp;type=all" xr:uid="{67754E36-91EB-594F-B2D3-1DC13E7A3883}"/>
    <hyperlink ref="A844" r:id="rId1681" display="https://finance.yahoo.com/quote/AMZN260306C00245000/" xr:uid="{4B60ABF2-1511-5649-B9A9-151F1388E757}"/>
    <hyperlink ref="F844" r:id="rId1682" display="https://finance.yahoo.com/quote/AMZN/options/?straddle=false&amp;strike=245&amp;type=all" xr:uid="{509DDB1A-2629-DE4F-AD41-4BBD14C87C14}"/>
    <hyperlink ref="A845" r:id="rId1683" display="https://finance.yahoo.com/quote/AMZN260306C00250000/" xr:uid="{E0FEA963-D403-6944-9E04-670FA5E8BC6A}"/>
    <hyperlink ref="F845" r:id="rId1684" display="https://finance.yahoo.com/quote/AMZN/options/?straddle=false&amp;strike=250&amp;type=all" xr:uid="{2147902C-C446-5445-9B30-E592355ED7CD}"/>
    <hyperlink ref="A846" r:id="rId1685" display="https://finance.yahoo.com/quote/AMZN260306C00255000/" xr:uid="{51A4F5CF-A73B-FA40-B3F8-5B3B6664E12C}"/>
    <hyperlink ref="F846" r:id="rId1686" display="https://finance.yahoo.com/quote/AMZN/options/?straddle=false&amp;strike=255&amp;type=all" xr:uid="{A3D178FB-B4F9-F948-AFC3-540F1DEB8761}"/>
    <hyperlink ref="A847" r:id="rId1687" display="https://finance.yahoo.com/quote/AMZN260306C00260000/" xr:uid="{9FFCF90A-30C6-2E4D-A7D5-6790747DA61F}"/>
    <hyperlink ref="F847" r:id="rId1688" display="https://finance.yahoo.com/quote/AMZN/options/?straddle=false&amp;strike=260&amp;type=all" xr:uid="{70FB53B0-3ED6-9B44-9B47-951BE0EA586D}"/>
    <hyperlink ref="A848" r:id="rId1689" display="https://finance.yahoo.com/quote/AMZN260306C00265000/" xr:uid="{59253E7C-94AF-F843-BCD4-2B58F0393639}"/>
    <hyperlink ref="F848" r:id="rId1690" display="https://finance.yahoo.com/quote/AMZN/options/?straddle=false&amp;strike=265&amp;type=all" xr:uid="{ED93EBBE-F5B7-414D-81B1-7551897AE526}"/>
    <hyperlink ref="A849" r:id="rId1691" display="https://finance.yahoo.com/quote/AMZN260306C00270000/" xr:uid="{E8652CE6-C70F-F34E-A087-61FC174EEFA0}"/>
    <hyperlink ref="F849" r:id="rId1692" display="https://finance.yahoo.com/quote/AMZN/options/?straddle=false&amp;strike=270&amp;type=all" xr:uid="{DC0AE789-1574-124E-829E-025245EF32DB}"/>
    <hyperlink ref="A850" r:id="rId1693" display="https://finance.yahoo.com/quote/AMZN260306C00275000/" xr:uid="{31F2EBB6-BE59-5A4E-9588-2F343B14D7FE}"/>
    <hyperlink ref="F850" r:id="rId1694" display="https://finance.yahoo.com/quote/AMZN/options/?straddle=false&amp;strike=275&amp;type=all" xr:uid="{14075E64-0AA2-C244-B54C-074D54369E7A}"/>
    <hyperlink ref="A851" r:id="rId1695" display="https://finance.yahoo.com/quote/AMZN260306C00280000/" xr:uid="{625CEB67-9E91-B14E-B8E6-392785E1350A}"/>
    <hyperlink ref="F851" r:id="rId1696" display="https://finance.yahoo.com/quote/AMZN/options/?straddle=false&amp;strike=280&amp;type=all" xr:uid="{AADB5B20-BF73-8847-BA11-AAD4559D5E27}"/>
    <hyperlink ref="A852" r:id="rId1697" display="https://finance.yahoo.com/quote/AMZN260306C00285000/" xr:uid="{A6B10366-7B55-634A-A376-DAAB13B9B446}"/>
    <hyperlink ref="F852" r:id="rId1698" display="https://finance.yahoo.com/quote/AMZN/options/?straddle=false&amp;strike=285&amp;type=all" xr:uid="{AEB679A6-A70F-554A-BADC-60793A42A03E}"/>
    <hyperlink ref="A853" r:id="rId1699" display="https://finance.yahoo.com/quote/AMZN260306C00290000/" xr:uid="{C45879E2-4BE7-4445-A7E3-2FA8B0A6AE6D}"/>
    <hyperlink ref="F853" r:id="rId1700" display="https://finance.yahoo.com/quote/AMZN/options/?straddle=false&amp;strike=290&amp;type=all" xr:uid="{E74EB6AC-E011-A440-BF82-C2302895FDF5}"/>
    <hyperlink ref="A854" r:id="rId1701" display="https://finance.yahoo.com/quote/AMZN260306C00295000/" xr:uid="{D09373C5-167A-424E-BD80-6AB22E5D0A11}"/>
    <hyperlink ref="F854" r:id="rId1702" display="https://finance.yahoo.com/quote/AMZN/options/?straddle=false&amp;strike=295&amp;type=all" xr:uid="{12193FCF-6D1F-094D-BA7D-39CC58E33B9F}"/>
    <hyperlink ref="A855" r:id="rId1703" display="https://finance.yahoo.com/quote/AMZN260306C00300000/" xr:uid="{30E09CC6-E73A-1A43-B6EE-BB5A71CD191C}"/>
    <hyperlink ref="F855" r:id="rId1704" display="https://finance.yahoo.com/quote/AMZN/options/?straddle=false&amp;strike=300&amp;type=all" xr:uid="{5F0F238A-C373-6048-A686-177A6E162481}"/>
    <hyperlink ref="A856" r:id="rId1705" display="https://finance.yahoo.com/quote/AMZN260306C00305000/" xr:uid="{6B464791-285C-5F48-8C00-1DFAA7E6A9C8}"/>
    <hyperlink ref="F856" r:id="rId1706" display="https://finance.yahoo.com/quote/AMZN/options/?straddle=false&amp;strike=305&amp;type=all" xr:uid="{98330BD9-E9D0-1546-A662-721931E79FD5}"/>
    <hyperlink ref="A857" r:id="rId1707" display="https://finance.yahoo.com/quote/AMZN260306C00310000/" xr:uid="{4B1EBFB0-60E2-9F4C-9192-CD6520681D7B}"/>
    <hyperlink ref="F857" r:id="rId1708" display="https://finance.yahoo.com/quote/AMZN/options/?straddle=false&amp;strike=310&amp;type=all" xr:uid="{68B220C4-80BF-A648-ADCD-5ED84E13835D}"/>
    <hyperlink ref="A858" r:id="rId1709" display="https://finance.yahoo.com/quote/AMZN260306C00315000/" xr:uid="{CB3F4707-9E7E-6340-988B-ABF062C776DA}"/>
    <hyperlink ref="F858" r:id="rId1710" display="https://finance.yahoo.com/quote/AMZN/options/?straddle=false&amp;strike=315&amp;type=all" xr:uid="{89C96531-6606-BA4A-9D5F-DC29E6CF9565}"/>
    <hyperlink ref="A859" r:id="rId1711" display="https://finance.yahoo.com/quote/AMZN260306C00320000/" xr:uid="{7130181B-D293-3941-B432-34DC58FCE794}"/>
    <hyperlink ref="F859" r:id="rId1712" display="https://finance.yahoo.com/quote/AMZN/options/?straddle=false&amp;strike=320&amp;type=all" xr:uid="{E301CCFD-0125-AE43-AAAB-A200CDB42953}"/>
    <hyperlink ref="A860" r:id="rId1713" display="https://finance.yahoo.com/quote/AMZN260306C00325000/" xr:uid="{11867CAA-3DFD-954A-B0CD-BE2597741422}"/>
    <hyperlink ref="F860" r:id="rId1714" display="https://finance.yahoo.com/quote/AMZN/options/?straddle=false&amp;strike=325&amp;type=all" xr:uid="{AE6FE69D-05B8-7544-8DA7-DAB244570AB4}"/>
    <hyperlink ref="A861" r:id="rId1715" display="https://finance.yahoo.com/quote/AMZN260306C00330000/" xr:uid="{CE0EF663-0800-1D4F-8A1D-38D3C86724E5}"/>
    <hyperlink ref="F861" r:id="rId1716" display="https://finance.yahoo.com/quote/AMZN/options/?straddle=false&amp;strike=330&amp;type=all" xr:uid="{3E15BECD-B689-F545-A550-017551A2F784}"/>
    <hyperlink ref="A862" r:id="rId1717" display="https://finance.yahoo.com/quote/AMZN260306C00335000/" xr:uid="{7B7F937F-A44C-5B4A-A54A-937888CCFB1F}"/>
    <hyperlink ref="F862" r:id="rId1718" display="https://finance.yahoo.com/quote/AMZN/options/?straddle=false&amp;strike=335&amp;type=all" xr:uid="{790277E6-4C50-BA44-8D88-B7B445804C46}"/>
    <hyperlink ref="A863" r:id="rId1719" display="https://finance.yahoo.com/quote/AMZN260306C00340000/" xr:uid="{DBFDFC74-2681-3C40-977B-0A0B00868C05}"/>
    <hyperlink ref="F863" r:id="rId1720" display="https://finance.yahoo.com/quote/AMZN/options/?straddle=false&amp;strike=340&amp;type=all" xr:uid="{4B44C8C2-8F27-E548-9EE2-42355B879BF9}"/>
    <hyperlink ref="A864" r:id="rId1721" display="https://finance.yahoo.com/quote/AMZN260306C00345000/" xr:uid="{C70F7A49-BA36-054F-BB5E-B1B3DD8BBD8C}"/>
    <hyperlink ref="F864" r:id="rId1722" display="https://finance.yahoo.com/quote/AMZN/options/?straddle=false&amp;strike=345&amp;type=all" xr:uid="{BC94FC7D-63D4-7046-8837-4377D786A7E6}"/>
    <hyperlink ref="A865" r:id="rId1723" display="https://finance.yahoo.com/quote/AMZN260306P00125000/" xr:uid="{63DBBE19-969E-4743-AA0A-09C34EC7C1FE}"/>
    <hyperlink ref="F865" r:id="rId1724" display="https://finance.yahoo.com/quote/AMZN/options/?straddle=false&amp;strike=125&amp;type=all" xr:uid="{1409A24D-8A47-C345-BDFF-F9F7EC54D7D1}"/>
    <hyperlink ref="A866" r:id="rId1725" display="https://finance.yahoo.com/quote/AMZN260306P00130000/" xr:uid="{BC5BE129-33CD-B742-A8C2-C244878333C7}"/>
    <hyperlink ref="F866" r:id="rId1726" display="https://finance.yahoo.com/quote/AMZN/options/?straddle=false&amp;strike=130&amp;type=all" xr:uid="{765878ED-8D62-474E-9590-4BAEA704F38E}"/>
    <hyperlink ref="A867" r:id="rId1727" display="https://finance.yahoo.com/quote/AMZN260306P00135000/" xr:uid="{E97EB3D0-3EC0-404F-922C-7C6A86733C7C}"/>
    <hyperlink ref="F867" r:id="rId1728" display="https://finance.yahoo.com/quote/AMZN/options/?straddle=false&amp;strike=135&amp;type=all" xr:uid="{72291D48-EFE6-FB48-B3EC-D19E14858A9A}"/>
    <hyperlink ref="A868" r:id="rId1729" display="https://finance.yahoo.com/quote/AMZN260306P00140000/" xr:uid="{1EA1D5ED-891E-F644-B600-81DEA5641004}"/>
    <hyperlink ref="F868" r:id="rId1730" display="https://finance.yahoo.com/quote/AMZN/options/?straddle=false&amp;strike=140&amp;type=all" xr:uid="{50537E44-318E-6647-93B0-EF513E4C44BA}"/>
    <hyperlink ref="A869" r:id="rId1731" display="https://finance.yahoo.com/quote/AMZN260306P00145000/" xr:uid="{E6E85BA4-9A1A-154B-B308-D824BBD7E4BA}"/>
    <hyperlink ref="F869" r:id="rId1732" display="https://finance.yahoo.com/quote/AMZN/options/?straddle=false&amp;strike=145&amp;type=all" xr:uid="{1F4A2BE8-1483-574F-A546-3D244A13E580}"/>
    <hyperlink ref="A870" r:id="rId1733" display="https://finance.yahoo.com/quote/AMZN260306P00150000/" xr:uid="{0B569804-3C81-D240-9446-459EFFB687B9}"/>
    <hyperlink ref="F870" r:id="rId1734" display="https://finance.yahoo.com/quote/AMZN/options/?straddle=false&amp;strike=150&amp;type=all" xr:uid="{5CCF7965-7F7F-8D43-9CDD-F074CFC8C475}"/>
    <hyperlink ref="A871" r:id="rId1735" display="https://finance.yahoo.com/quote/AMZN260306P00155000/" xr:uid="{164D3894-C5EA-D343-8DDC-7A672C97172B}"/>
    <hyperlink ref="F871" r:id="rId1736" display="https://finance.yahoo.com/quote/AMZN/options/?straddle=false&amp;strike=155&amp;type=all" xr:uid="{02E7DD1F-7A14-EB4C-9970-7C6E2A709CCD}"/>
    <hyperlink ref="A872" r:id="rId1737" display="https://finance.yahoo.com/quote/AMZN260306P00160000/" xr:uid="{A6329C39-145F-074B-804F-8B0CA5E19D85}"/>
    <hyperlink ref="F872" r:id="rId1738" display="https://finance.yahoo.com/quote/AMZN/options/?straddle=false&amp;strike=160&amp;type=all" xr:uid="{7119DD3C-D5FA-464C-8B4A-132BC26651D9}"/>
    <hyperlink ref="A873" r:id="rId1739" display="https://finance.yahoo.com/quote/AMZN260306P00165000/" xr:uid="{BC6EBF8F-FB2A-E149-80D9-32CCCD74E02C}"/>
    <hyperlink ref="F873" r:id="rId1740" display="https://finance.yahoo.com/quote/AMZN/options/?straddle=false&amp;strike=165&amp;type=all" xr:uid="{31594598-11EB-6D41-A207-E02CCDAB8BC7}"/>
    <hyperlink ref="A874" r:id="rId1741" display="https://finance.yahoo.com/quote/AMZN260306P00170000/" xr:uid="{B7EEE493-1DF3-804D-A350-DF85DE30EBC4}"/>
    <hyperlink ref="F874" r:id="rId1742" display="https://finance.yahoo.com/quote/AMZN/options/?straddle=false&amp;strike=170&amp;type=all" xr:uid="{AB7096E2-42ED-A447-B85E-95AEC647D4E8}"/>
    <hyperlink ref="A875" r:id="rId1743" display="https://finance.yahoo.com/quote/AMZN260306P00172500/" xr:uid="{8EE8D559-034C-2B4C-96AD-D0B07D94AD87}"/>
    <hyperlink ref="F875" r:id="rId1744" display="https://finance.yahoo.com/quote/AMZN/options/?straddle=false&amp;strike=172.5&amp;type=all" xr:uid="{CEC89B7B-1163-2043-8A92-815613B75AC1}"/>
    <hyperlink ref="A876" r:id="rId1745" display="https://finance.yahoo.com/quote/AMZN260306P00175000/" xr:uid="{0D39BE66-DBC6-BF4B-93CB-C28B3D781914}"/>
    <hyperlink ref="F876" r:id="rId1746" display="https://finance.yahoo.com/quote/AMZN/options/?straddle=false&amp;strike=175&amp;type=all" xr:uid="{038C667E-B281-5C4A-AE59-0B278E9C670A}"/>
    <hyperlink ref="A877" r:id="rId1747" display="https://finance.yahoo.com/quote/AMZN260306P00177500/" xr:uid="{5F0CA4FA-314D-0844-93F5-483B3FD8BB6A}"/>
    <hyperlink ref="F877" r:id="rId1748" display="https://finance.yahoo.com/quote/AMZN/options/?straddle=false&amp;strike=177.5&amp;type=all" xr:uid="{1A64E682-0DBE-D847-92E8-852245C4D7C8}"/>
    <hyperlink ref="A878" r:id="rId1749" display="https://finance.yahoo.com/quote/AMZN260306P00180000/" xr:uid="{8A073B4F-F54C-9B49-A904-AC15B8C17720}"/>
    <hyperlink ref="F878" r:id="rId1750" display="https://finance.yahoo.com/quote/AMZN/options/?straddle=false&amp;strike=180&amp;type=all" xr:uid="{BAD2CF2E-7318-2644-8400-C2BF9D0A4ED1}"/>
    <hyperlink ref="A879" r:id="rId1751" display="https://finance.yahoo.com/quote/AMZN260306P00182500/" xr:uid="{DA68EE88-97B3-2A49-B0EF-A4D38437D04E}"/>
    <hyperlink ref="F879" r:id="rId1752" display="https://finance.yahoo.com/quote/AMZN/options/?straddle=false&amp;strike=182.5&amp;type=all" xr:uid="{BFA9FE82-9E5D-3B47-ABA5-F7B67E66E4D2}"/>
    <hyperlink ref="A880" r:id="rId1753" display="https://finance.yahoo.com/quote/AMZN260306P00185000/" xr:uid="{9FBC47D5-7401-464F-89EE-8C47C8A86D16}"/>
    <hyperlink ref="F880" r:id="rId1754" display="https://finance.yahoo.com/quote/AMZN/options/?straddle=false&amp;strike=185&amp;type=all" xr:uid="{C2137017-9383-8D49-8D54-6ED3C4D23FF8}"/>
    <hyperlink ref="A881" r:id="rId1755" display="https://finance.yahoo.com/quote/AMZN260306P00187500/" xr:uid="{D4CDCE13-B851-284C-9ED4-FF7A345536CA}"/>
    <hyperlink ref="F881" r:id="rId1756" display="https://finance.yahoo.com/quote/AMZN/options/?straddle=false&amp;strike=187.5&amp;type=all" xr:uid="{F7DF2B6C-8E04-3D41-BE9E-6DC81600983A}"/>
    <hyperlink ref="A882" r:id="rId1757" display="https://finance.yahoo.com/quote/AMZN260306P00190000/" xr:uid="{5A795710-D165-8D44-95E5-35AAE8B2E409}"/>
    <hyperlink ref="F882" r:id="rId1758" display="https://finance.yahoo.com/quote/AMZN/options/?straddle=false&amp;strike=190&amp;type=all" xr:uid="{A479BF9D-DFC0-744A-BB53-78C62BA48136}"/>
    <hyperlink ref="A883" r:id="rId1759" display="https://finance.yahoo.com/quote/AMZN260306P00192500/" xr:uid="{A61165BE-EB07-E246-A618-7B8D1CC0DAF7}"/>
    <hyperlink ref="F883" r:id="rId1760" display="https://finance.yahoo.com/quote/AMZN/options/?straddle=false&amp;strike=192.5&amp;type=all" xr:uid="{63EFBEEC-6C51-1141-9786-4649D21BC939}"/>
    <hyperlink ref="A884" r:id="rId1761" display="https://finance.yahoo.com/quote/AMZN260306P00195000/" xr:uid="{E3A35639-F0A5-4248-BDB7-029E27ABBAE6}"/>
    <hyperlink ref="F884" r:id="rId1762" display="https://finance.yahoo.com/quote/AMZN/options/?straddle=false&amp;strike=195&amp;type=all" xr:uid="{6AD0A4A5-57CC-5348-B10A-D9B14FE57966}"/>
    <hyperlink ref="A885" r:id="rId1763" display="https://finance.yahoo.com/quote/AMZN260306P00197500/" xr:uid="{FA184052-28C3-804B-84E0-54642BD71C6D}"/>
    <hyperlink ref="F885" r:id="rId1764" display="https://finance.yahoo.com/quote/AMZN/options/?straddle=false&amp;strike=197.5&amp;type=all" xr:uid="{358691C3-639D-B240-B3AD-42C7AF9DEBD6}"/>
    <hyperlink ref="A886" r:id="rId1765" display="https://finance.yahoo.com/quote/AMZN260306P00200000/" xr:uid="{844A4D2F-48FE-BA41-B486-1086E8A292BA}"/>
    <hyperlink ref="F886" r:id="rId1766" display="https://finance.yahoo.com/quote/AMZN/options/?straddle=false&amp;strike=200&amp;type=all" xr:uid="{82B464AF-D7C6-1240-AFAB-62ECD909C7E9}"/>
    <hyperlink ref="A887" r:id="rId1767" display="https://finance.yahoo.com/quote/AMZN260306P00202500/" xr:uid="{706A8A87-BA0E-AD49-BCAF-602E035AD95D}"/>
    <hyperlink ref="F887" r:id="rId1768" display="https://finance.yahoo.com/quote/AMZN/options/?straddle=false&amp;strike=202.5&amp;type=all" xr:uid="{5D69617D-6DD0-2340-8C8D-6ACE9F981792}"/>
    <hyperlink ref="A888" r:id="rId1769" display="https://finance.yahoo.com/quote/AMZN260306P00205000/" xr:uid="{9E7B73F3-2D70-B24F-8948-8034CBE5D0DC}"/>
    <hyperlink ref="F888" r:id="rId1770" display="https://finance.yahoo.com/quote/AMZN/options/?straddle=false&amp;strike=205&amp;type=all" xr:uid="{000B8CDC-D923-1249-B209-03647F0DC4D7}"/>
    <hyperlink ref="A889" r:id="rId1771" display="https://finance.yahoo.com/quote/AMZN260306P00207500/" xr:uid="{9093E887-D965-5941-A183-029AAFA10AF3}"/>
    <hyperlink ref="F889" r:id="rId1772" display="https://finance.yahoo.com/quote/AMZN/options/?straddle=false&amp;strike=207.5&amp;type=all" xr:uid="{27602B7F-2774-0B48-94AB-B6C09BF45D19}"/>
    <hyperlink ref="A890" r:id="rId1773" display="https://finance.yahoo.com/quote/AMZN260306P00210000/" xr:uid="{CD4703D1-F7B1-7842-93B8-A248F3A8492F}"/>
    <hyperlink ref="F890" r:id="rId1774" display="https://finance.yahoo.com/quote/AMZN/options/?straddle=false&amp;strike=210&amp;type=all" xr:uid="{FE2498E4-C734-234D-A2C5-3104C9B53ED9}"/>
    <hyperlink ref="A891" r:id="rId1775" display="https://finance.yahoo.com/quote/AMZN260306P00212500/" xr:uid="{B38C4252-3356-8241-A31E-2CC58784EBEB}"/>
    <hyperlink ref="F891" r:id="rId1776" display="https://finance.yahoo.com/quote/AMZN/options/?straddle=false&amp;strike=212.5&amp;type=all" xr:uid="{3CFDCCE0-35DA-3C42-86B7-FABE8DB4723E}"/>
    <hyperlink ref="A892" r:id="rId1777" display="https://finance.yahoo.com/quote/AMZN260306P00215000/" xr:uid="{A74549A7-9DB0-4043-BE99-7682095E55CB}"/>
    <hyperlink ref="F892" r:id="rId1778" display="https://finance.yahoo.com/quote/AMZN/options/?straddle=false&amp;strike=215&amp;type=all" xr:uid="{600937C1-3600-B74F-A3D6-61C33E6095B5}"/>
    <hyperlink ref="A893" r:id="rId1779" display="https://finance.yahoo.com/quote/AMZN260306P00217500/" xr:uid="{C39A4595-2057-854F-8D20-982262478AA3}"/>
    <hyperlink ref="F893" r:id="rId1780" display="https://finance.yahoo.com/quote/AMZN/options/?straddle=false&amp;strike=217.5&amp;type=all" xr:uid="{CA094103-676A-EB44-B701-822A47F8BA7E}"/>
    <hyperlink ref="A894" r:id="rId1781" display="https://finance.yahoo.com/quote/AMZN260306P00220000/" xr:uid="{5ED6C98B-1E1F-D045-8081-C4DD29B01CE5}"/>
    <hyperlink ref="F894" r:id="rId1782" display="https://finance.yahoo.com/quote/AMZN/options/?straddle=false&amp;strike=220&amp;type=all" xr:uid="{C0B03E89-CA5D-F044-AADF-B48AFB6DB826}"/>
    <hyperlink ref="A895" r:id="rId1783" display="https://finance.yahoo.com/quote/AMZN260306P00222500/" xr:uid="{CDFABA6A-317C-354E-8626-36DF7C917B6A}"/>
    <hyperlink ref="F895" r:id="rId1784" display="https://finance.yahoo.com/quote/AMZN/options/?straddle=false&amp;strike=222.5&amp;type=all" xr:uid="{08AB6465-9260-E247-8884-942962576A9F}"/>
    <hyperlink ref="A896" r:id="rId1785" display="https://finance.yahoo.com/quote/AMZN260306P00225000/" xr:uid="{E4C9DD31-FBC9-6443-952C-6CD99C3CE64B}"/>
    <hyperlink ref="F896" r:id="rId1786" display="https://finance.yahoo.com/quote/AMZN/options/?straddle=false&amp;strike=225&amp;type=all" xr:uid="{24E3D39C-8C47-1A46-9760-FC18A6DD3C85}"/>
    <hyperlink ref="A897" r:id="rId1787" display="https://finance.yahoo.com/quote/AMZN260306P00227500/" xr:uid="{54627E53-7443-CD47-B909-CCCDCB3AFAE7}"/>
    <hyperlink ref="F897" r:id="rId1788" display="https://finance.yahoo.com/quote/AMZN/options/?straddle=false&amp;strike=227.5&amp;type=all" xr:uid="{17D3D178-D641-4845-A8D0-A6EB7AD9B829}"/>
    <hyperlink ref="A898" r:id="rId1789" display="https://finance.yahoo.com/quote/AMZN260306P00230000/" xr:uid="{B999CD82-8012-9444-A948-26EC8C4ED082}"/>
    <hyperlink ref="F898" r:id="rId1790" display="https://finance.yahoo.com/quote/AMZN/options/?straddle=false&amp;strike=230&amp;type=all" xr:uid="{652680D7-4DCA-AF4E-B78D-3611519D30BA}"/>
    <hyperlink ref="A899" r:id="rId1791" display="https://finance.yahoo.com/quote/AMZN260306P00235000/" xr:uid="{9DC29D29-4304-8246-997B-29B8F4539CDD}"/>
    <hyperlink ref="F899" r:id="rId1792" display="https://finance.yahoo.com/quote/AMZN/options/?straddle=false&amp;strike=235&amp;type=all" xr:uid="{B274EC2F-02DA-A043-BA0F-CEA716D6D4C7}"/>
    <hyperlink ref="A900" r:id="rId1793" display="https://finance.yahoo.com/quote/AMZN260306P00240000/" xr:uid="{04A9402E-2A56-5A45-8C77-FF77F42E6AA1}"/>
    <hyperlink ref="F900" r:id="rId1794" display="https://finance.yahoo.com/quote/AMZN/options/?straddle=false&amp;strike=240&amp;type=all" xr:uid="{A5C28963-EE74-1A41-BBC2-7DA39E8F7400}"/>
    <hyperlink ref="A901" r:id="rId1795" display="https://finance.yahoo.com/quote/AMZN260306P00245000/" xr:uid="{8768AF45-5039-4A48-9217-068023F250B5}"/>
    <hyperlink ref="F901" r:id="rId1796" display="https://finance.yahoo.com/quote/AMZN/options/?straddle=false&amp;strike=245&amp;type=all" xr:uid="{BA642D1E-0DDC-4040-B525-D563013D6CDE}"/>
    <hyperlink ref="A902" r:id="rId1797" display="https://finance.yahoo.com/quote/AMZN260306P00250000/" xr:uid="{4784C1CC-0593-B549-9579-448B4E2C5B76}"/>
    <hyperlink ref="F902" r:id="rId1798" display="https://finance.yahoo.com/quote/AMZN/options/?straddle=false&amp;strike=250&amp;type=all" xr:uid="{0072BE3C-549A-C442-B22A-8476BBF6E580}"/>
    <hyperlink ref="A903" r:id="rId1799" display="https://finance.yahoo.com/quote/AMZN260306P00255000/" xr:uid="{9D8C0719-DAB6-3F47-80E2-515E4E00C627}"/>
    <hyperlink ref="F903" r:id="rId1800" display="https://finance.yahoo.com/quote/AMZN/options/?straddle=false&amp;strike=255&amp;type=all" xr:uid="{D4AF29A1-050F-1841-ADDF-713925547B04}"/>
    <hyperlink ref="A904" r:id="rId1801" display="https://finance.yahoo.com/quote/AMZN260306P00260000/" xr:uid="{36E19184-0F24-6445-99B0-52A880F2A91B}"/>
    <hyperlink ref="F904" r:id="rId1802" display="https://finance.yahoo.com/quote/AMZN/options/?straddle=false&amp;strike=260&amp;type=all" xr:uid="{5622CE6C-698F-8C46-85F4-CE60C49981C2}"/>
    <hyperlink ref="A905" r:id="rId1803" display="https://finance.yahoo.com/quote/AMZN260306P00265000/" xr:uid="{5574DD98-D148-9945-9601-B01E2DFB4220}"/>
    <hyperlink ref="F905" r:id="rId1804" display="https://finance.yahoo.com/quote/AMZN/options/?straddle=false&amp;strike=265&amp;type=all" xr:uid="{2CE49EB8-F011-B74D-A1FB-435FFC3964C4}"/>
    <hyperlink ref="A906" r:id="rId1805" display="https://finance.yahoo.com/quote/AMZN260306P00270000/" xr:uid="{3C2FCC43-19E0-C742-A145-919E0C2A5CB5}"/>
    <hyperlink ref="F906" r:id="rId1806" display="https://finance.yahoo.com/quote/AMZN/options/?straddle=false&amp;strike=270&amp;type=all" xr:uid="{FAFA0800-8324-B144-8705-655301FD854A}"/>
    <hyperlink ref="A907" r:id="rId1807" display="https://finance.yahoo.com/quote/AMZN260306P00275000/" xr:uid="{192ABAA3-C145-2B4A-94B4-F9C6AD6AC77D}"/>
    <hyperlink ref="F907" r:id="rId1808" display="https://finance.yahoo.com/quote/AMZN/options/?straddle=false&amp;strike=275&amp;type=all" xr:uid="{CF034FF5-06B8-2649-8F4E-D3D5995A0298}"/>
    <hyperlink ref="A908" r:id="rId1809" display="https://finance.yahoo.com/quote/AMZN260306P00280000/" xr:uid="{11D7A6F1-0B9A-A94D-AC16-07AAD9FE07BE}"/>
    <hyperlink ref="F908" r:id="rId1810" display="https://finance.yahoo.com/quote/AMZN/options/?straddle=false&amp;strike=280&amp;type=all" xr:uid="{AE20406D-05A8-9D40-981D-026006444083}"/>
    <hyperlink ref="A909" r:id="rId1811" display="https://finance.yahoo.com/quote/AMZN260306P00295000/" xr:uid="{4BD00BFF-59FB-C445-A80F-33A0DD8BB580}"/>
    <hyperlink ref="F909" r:id="rId1812" display="https://finance.yahoo.com/quote/AMZN/options/?straddle=false&amp;strike=295&amp;type=all" xr:uid="{1EB3400A-FB3C-2142-87DD-D986E9536F16}"/>
    <hyperlink ref="A910" r:id="rId1813" display="https://finance.yahoo.com/quote/AMZN260306P00310000/" xr:uid="{BCCE1CC1-E808-F24C-9721-D9F8D1F7F885}"/>
    <hyperlink ref="F910" r:id="rId1814" display="https://finance.yahoo.com/quote/AMZN/options/?straddle=false&amp;strike=310&amp;type=all" xr:uid="{AD2D77CC-AC92-0043-8D75-56DFF0A798B8}"/>
    <hyperlink ref="A911" r:id="rId1815" display="https://finance.yahoo.com/quote/AMZN260318C00150000/" xr:uid="{F520AEDE-4CF0-0B4E-9736-46FBBBEF8131}"/>
    <hyperlink ref="F911" r:id="rId1816" display="https://finance.yahoo.com/quote/AMZN/options/?straddle=false&amp;strike=150&amp;type=all" xr:uid="{B862DF57-E90F-FD42-A342-C718296EF838}"/>
    <hyperlink ref="A912" r:id="rId1817" display="https://finance.yahoo.com/quote/AMZN260318C00170000/" xr:uid="{A4F6D500-E8CF-694D-BC9A-73AD84064FAB}"/>
    <hyperlink ref="F912" r:id="rId1818" display="https://finance.yahoo.com/quote/AMZN/options/?straddle=false&amp;strike=170&amp;type=all" xr:uid="{A59C2727-53FA-D243-8B3C-8E04BAB36F76}"/>
    <hyperlink ref="A913" r:id="rId1819" display="https://finance.yahoo.com/quote/AMZN260318C00175000/" xr:uid="{B5033D29-C0EC-6244-80E9-4D22D4073284}"/>
    <hyperlink ref="F913" r:id="rId1820" display="https://finance.yahoo.com/quote/AMZN/options/?straddle=false&amp;strike=175&amp;type=all" xr:uid="{41E72D11-F798-1F41-8173-BEECEE25E703}"/>
    <hyperlink ref="A914" r:id="rId1821" display="https://finance.yahoo.com/quote/AMZN260318C00180000/" xr:uid="{25C61576-5D0B-2E45-8E0D-210AC5837224}"/>
    <hyperlink ref="F914" r:id="rId1822" display="https://finance.yahoo.com/quote/AMZN/options/?straddle=false&amp;strike=180&amp;type=all" xr:uid="{6AF57A2D-551F-A449-9EF7-5A3CDE8DE27C}"/>
    <hyperlink ref="A915" r:id="rId1823" display="https://finance.yahoo.com/quote/AMZN260318C00190000/" xr:uid="{6C93E444-64CD-0C48-957B-3EFA1315E823}"/>
    <hyperlink ref="F915" r:id="rId1824" display="https://finance.yahoo.com/quote/AMZN/options/?straddle=false&amp;strike=190&amp;type=all" xr:uid="{3B5314D3-33AB-3243-8ED4-B5C2E4620AEB}"/>
    <hyperlink ref="A916" r:id="rId1825" display="https://finance.yahoo.com/quote/AMZN260318C00192500/" xr:uid="{430BC0DF-BDB2-6243-AD83-964430F2DF5F}"/>
    <hyperlink ref="F916" r:id="rId1826" display="https://finance.yahoo.com/quote/AMZN/options/?straddle=false&amp;strike=192.5&amp;type=all" xr:uid="{2544EF47-19F7-7047-959C-AF7412B1D68C}"/>
    <hyperlink ref="A917" r:id="rId1827" display="https://finance.yahoo.com/quote/AMZN260318C00195000/" xr:uid="{68ADE6E2-1BEB-ED46-A45C-E20CDF736A7A}"/>
    <hyperlink ref="F917" r:id="rId1828" display="https://finance.yahoo.com/quote/AMZN/options/?straddle=false&amp;strike=195&amp;type=all" xr:uid="{66A64CEE-3843-B442-A380-D0149BF38679}"/>
    <hyperlink ref="A918" r:id="rId1829" display="https://finance.yahoo.com/quote/AMZN260318C00197500/" xr:uid="{2472891E-0E74-EF4A-84C0-6A5C2B337FB6}"/>
    <hyperlink ref="F918" r:id="rId1830" display="https://finance.yahoo.com/quote/AMZN/options/?straddle=false&amp;strike=197.5&amp;type=all" xr:uid="{F80CAE9C-AB76-9348-A520-D57428533BB6}"/>
    <hyperlink ref="A919" r:id="rId1831" display="https://finance.yahoo.com/quote/AMZN260318C00200000/" xr:uid="{702B2F69-12C9-424F-9423-F508620D67F7}"/>
    <hyperlink ref="F919" r:id="rId1832" display="https://finance.yahoo.com/quote/AMZN/options/?straddle=false&amp;strike=200&amp;type=all" xr:uid="{16BDC566-C216-F844-8F33-5C5DE27D2086}"/>
    <hyperlink ref="A920" r:id="rId1833" display="https://finance.yahoo.com/quote/AMZN260318C00202500/" xr:uid="{B987C9D5-6B22-894A-BE22-6FB409AEFE32}"/>
    <hyperlink ref="F920" r:id="rId1834" display="https://finance.yahoo.com/quote/AMZN/options/?straddle=false&amp;strike=202.5&amp;type=all" xr:uid="{AE3761CC-A62E-C74C-B7F9-BAB9F76832F3}"/>
    <hyperlink ref="A921" r:id="rId1835" display="https://finance.yahoo.com/quote/AMZN260318C00205000/" xr:uid="{409A6555-530A-8342-9C50-556AFA18EE67}"/>
    <hyperlink ref="F921" r:id="rId1836" display="https://finance.yahoo.com/quote/AMZN/options/?straddle=false&amp;strike=205&amp;type=all" xr:uid="{73AC5BDB-A2D4-164B-B8B1-25C6C602D13F}"/>
    <hyperlink ref="A922" r:id="rId1837" display="https://finance.yahoo.com/quote/AMZN260318C00207500/" xr:uid="{B6B7CF5E-B739-9D49-B90D-E444FF794D1B}"/>
    <hyperlink ref="F922" r:id="rId1838" display="https://finance.yahoo.com/quote/AMZN/options/?straddle=false&amp;strike=207.5&amp;type=all" xr:uid="{24D18E0C-925B-AB4A-8154-632672A886B4}"/>
    <hyperlink ref="A923" r:id="rId1839" display="https://finance.yahoo.com/quote/AMZN260318C00210000/" xr:uid="{9D799EF1-8703-C24E-AA0F-3EAEF5FAFA31}"/>
    <hyperlink ref="F923" r:id="rId1840" display="https://finance.yahoo.com/quote/AMZN/options/?straddle=false&amp;strike=210&amp;type=all" xr:uid="{1F661486-7CE9-9146-AC39-3F9A39A3AC72}"/>
    <hyperlink ref="A924" r:id="rId1841" display="https://finance.yahoo.com/quote/AMZN260318C00212500/" xr:uid="{C4061ADA-8C5A-854B-98F4-59E2AF6927B4}"/>
    <hyperlink ref="F924" r:id="rId1842" display="https://finance.yahoo.com/quote/AMZN/options/?straddle=false&amp;strike=212.5&amp;type=all" xr:uid="{68720A37-A25C-8743-A1F6-4B87CBD8A899}"/>
    <hyperlink ref="A925" r:id="rId1843" display="https://finance.yahoo.com/quote/AMZN260318C00215000/" xr:uid="{6B142473-44A3-D246-B6EC-A740EB16C82C}"/>
    <hyperlink ref="F925" r:id="rId1844" display="https://finance.yahoo.com/quote/AMZN/options/?straddle=false&amp;strike=215&amp;type=all" xr:uid="{538F34CC-7B2E-BC47-B47C-6288CC61FFBF}"/>
    <hyperlink ref="A926" r:id="rId1845" display="https://finance.yahoo.com/quote/AMZN260318C00217500/" xr:uid="{B41B719E-1D79-3B4F-88D9-7154DA8F17BC}"/>
    <hyperlink ref="F926" r:id="rId1846" display="https://finance.yahoo.com/quote/AMZN/options/?straddle=false&amp;strike=217.5&amp;type=all" xr:uid="{D92CA657-CD8E-3F43-B422-FFD5EFA48FB2}"/>
    <hyperlink ref="A927" r:id="rId1847" display="https://finance.yahoo.com/quote/AMZN260318C00220000/" xr:uid="{CA07F13E-44C0-F945-B6C3-B3AC2F917037}"/>
    <hyperlink ref="F927" r:id="rId1848" display="https://finance.yahoo.com/quote/AMZN/options/?straddle=false&amp;strike=220&amp;type=all" xr:uid="{519D2842-D360-6D4F-B9CE-7C03F43143A6}"/>
    <hyperlink ref="A928" r:id="rId1849" display="https://finance.yahoo.com/quote/AMZN260318C00222500/" xr:uid="{5B716233-28C3-7C40-9D2B-EA9F4029FBB3}"/>
    <hyperlink ref="F928" r:id="rId1850" display="https://finance.yahoo.com/quote/AMZN/options/?straddle=false&amp;strike=222.5&amp;type=all" xr:uid="{28F40805-A63C-2B46-8160-A5B1C7250E62}"/>
    <hyperlink ref="A929" r:id="rId1851" display="https://finance.yahoo.com/quote/AMZN260318C00225000/" xr:uid="{14006BE4-F6FA-4E4C-8019-839DA58939F3}"/>
    <hyperlink ref="F929" r:id="rId1852" display="https://finance.yahoo.com/quote/AMZN/options/?straddle=false&amp;strike=225&amp;type=all" xr:uid="{D16FDDBD-AB09-874F-91D2-2BA797C6841F}"/>
    <hyperlink ref="A930" r:id="rId1853" display="https://finance.yahoo.com/quote/AMZN260318C00227500/" xr:uid="{C8DDDC13-8871-A847-A8A3-29BFB6EBE567}"/>
    <hyperlink ref="F930" r:id="rId1854" display="https://finance.yahoo.com/quote/AMZN/options/?straddle=false&amp;strike=227.5&amp;type=all" xr:uid="{A24BF891-E0FF-464B-A47C-D1012816D558}"/>
    <hyperlink ref="A931" r:id="rId1855" display="https://finance.yahoo.com/quote/AMZN260318C00230000/" xr:uid="{1040C2D5-271A-014F-B603-93239413291B}"/>
    <hyperlink ref="F931" r:id="rId1856" display="https://finance.yahoo.com/quote/AMZN/options/?straddle=false&amp;strike=230&amp;type=all" xr:uid="{94F8DE50-782B-B344-9886-36874FADBB16}"/>
    <hyperlink ref="A932" r:id="rId1857" display="https://finance.yahoo.com/quote/AMZN260318C00232500/" xr:uid="{36CFCC96-ECA1-FA41-8005-3F04C4CC5C12}"/>
    <hyperlink ref="F932" r:id="rId1858" display="https://finance.yahoo.com/quote/AMZN/options/?straddle=false&amp;strike=232.5&amp;type=all" xr:uid="{0F89BAFB-C02E-BE42-B438-50B785BD3DD9}"/>
    <hyperlink ref="A933" r:id="rId1859" display="https://finance.yahoo.com/quote/AMZN260318C00235000/" xr:uid="{6B5311E9-EFB0-6F4E-9C2D-5ED01108E8E2}"/>
    <hyperlink ref="F933" r:id="rId1860" display="https://finance.yahoo.com/quote/AMZN/options/?straddle=false&amp;strike=235&amp;type=all" xr:uid="{2C1B212A-C84A-694C-9758-6241B0BF1990}"/>
    <hyperlink ref="A934" r:id="rId1861" display="https://finance.yahoo.com/quote/AMZN260318C00240000/" xr:uid="{4A076F7E-A180-AB41-B9A1-B7CBCDD2223E}"/>
    <hyperlink ref="F934" r:id="rId1862" display="https://finance.yahoo.com/quote/AMZN/options/?straddle=false&amp;strike=240&amp;type=all" xr:uid="{A7BEB763-0C71-E74C-B12D-2CA8D0DF74A4}"/>
    <hyperlink ref="A935" r:id="rId1863" display="https://finance.yahoo.com/quote/AMZN260318C00245000/" xr:uid="{F834C244-7226-1C42-A369-080227547BD6}"/>
    <hyperlink ref="F935" r:id="rId1864" display="https://finance.yahoo.com/quote/AMZN/options/?straddle=false&amp;strike=245&amp;type=all" xr:uid="{468F351E-69B7-8F43-B154-74EBBF470503}"/>
    <hyperlink ref="A936" r:id="rId1865" display="https://finance.yahoo.com/quote/AMZN260318C00250000/" xr:uid="{0764152E-D461-F945-9D5D-C335572F3B5B}"/>
    <hyperlink ref="F936" r:id="rId1866" display="https://finance.yahoo.com/quote/AMZN/options/?straddle=false&amp;strike=250&amp;type=all" xr:uid="{24ECA00F-415C-0847-9AF3-8771A620EC58}"/>
    <hyperlink ref="A937" r:id="rId1867" display="https://finance.yahoo.com/quote/AMZN260318C00260000/" xr:uid="{021A026E-6EF7-8D4E-AED4-40A1D6156549}"/>
    <hyperlink ref="F937" r:id="rId1868" display="https://finance.yahoo.com/quote/AMZN/options/?straddle=false&amp;strike=260&amp;type=all" xr:uid="{BED7F9B3-1868-4549-BE76-DC56702AE192}"/>
    <hyperlink ref="A938" r:id="rId1869" display="https://finance.yahoo.com/quote/AMZN260318C00265000/" xr:uid="{BC84654C-1759-5A41-AD9D-FC0A3CC35A67}"/>
    <hyperlink ref="F938" r:id="rId1870" display="https://finance.yahoo.com/quote/AMZN/options/?straddle=false&amp;strike=265&amp;type=all" xr:uid="{7CC6E314-08E9-ED41-BC8D-2A2FC19B67F6}"/>
    <hyperlink ref="A939" r:id="rId1871" display="https://finance.yahoo.com/quote/AMZN260318C00270000/" xr:uid="{4E7F735D-134E-6041-9724-B61D869144B1}"/>
    <hyperlink ref="F939" r:id="rId1872" display="https://finance.yahoo.com/quote/AMZN/options/?straddle=false&amp;strike=270&amp;type=all" xr:uid="{DE3647C3-DCB4-7946-A08D-3ED6E45B23A2}"/>
    <hyperlink ref="A940" r:id="rId1873" display="https://finance.yahoo.com/quote/AMZN260318C00275000/" xr:uid="{D3F95197-1373-0446-BCE6-ABC7E01A4822}"/>
    <hyperlink ref="F940" r:id="rId1874" display="https://finance.yahoo.com/quote/AMZN/options/?straddle=false&amp;strike=275&amp;type=all" xr:uid="{69923DD9-5C43-0D4D-B453-15D5E3FFA52C}"/>
    <hyperlink ref="A941" r:id="rId1875" display="https://finance.yahoo.com/quote/AMZN260318C00280000/" xr:uid="{119DFEDF-C05D-CF45-A8CE-5BE526051D76}"/>
    <hyperlink ref="F941" r:id="rId1876" display="https://finance.yahoo.com/quote/AMZN/options/?straddle=false&amp;strike=280&amp;type=all" xr:uid="{AF4962E1-0290-E049-8295-25C0DB17D108}"/>
    <hyperlink ref="A942" r:id="rId1877" display="https://finance.yahoo.com/quote/AMZN260318C00285000/" xr:uid="{F61BF9FA-60B8-D048-A847-03FAF76FAFDD}"/>
    <hyperlink ref="F942" r:id="rId1878" display="https://finance.yahoo.com/quote/AMZN/options/?straddle=false&amp;strike=285&amp;type=all" xr:uid="{D391EF1E-FCAB-2945-AF4F-67DC32348A22}"/>
    <hyperlink ref="A943" r:id="rId1879" display="https://finance.yahoo.com/quote/AMZN260318P00145000/" xr:uid="{96CBB9C4-63FD-A24D-B492-BE1DECD50FD4}"/>
    <hyperlink ref="F943" r:id="rId1880" display="https://finance.yahoo.com/quote/AMZN/options/?straddle=false&amp;strike=145&amp;type=all" xr:uid="{BEB79198-78AE-8143-9298-C96035BF0323}"/>
    <hyperlink ref="A944" r:id="rId1881" display="https://finance.yahoo.com/quote/AMZN260318P00150000/" xr:uid="{D1B9649F-BB1B-ED4D-AC49-B3BA3E329D3B}"/>
    <hyperlink ref="F944" r:id="rId1882" display="https://finance.yahoo.com/quote/AMZN/options/?straddle=false&amp;strike=150&amp;type=all" xr:uid="{8B3A9050-3269-6043-9EB3-C7A5BCB7BBB3}"/>
    <hyperlink ref="A945" r:id="rId1883" display="https://finance.yahoo.com/quote/AMZN260318P00155000/" xr:uid="{6430C732-476F-B34B-B0C6-BE5BEA255B85}"/>
    <hyperlink ref="F945" r:id="rId1884" display="https://finance.yahoo.com/quote/AMZN/options/?straddle=false&amp;strike=155&amp;type=all" xr:uid="{482A0989-5CD4-FA47-895B-D2322FBB3946}"/>
    <hyperlink ref="A946" r:id="rId1885" display="https://finance.yahoo.com/quote/AMZN260318P00160000/" xr:uid="{F5411C69-3A4F-E047-AFAC-A57872845DE1}"/>
    <hyperlink ref="F946" r:id="rId1886" display="https://finance.yahoo.com/quote/AMZN/options/?straddle=false&amp;strike=160&amp;type=all" xr:uid="{5D14EB53-3A6A-0A4C-ADA2-A66A1751FBF6}"/>
    <hyperlink ref="A947" r:id="rId1887" display="https://finance.yahoo.com/quote/AMZN260318P00165000/" xr:uid="{4D280223-A4DA-8643-9E35-03E7621FD635}"/>
    <hyperlink ref="F947" r:id="rId1888" display="https://finance.yahoo.com/quote/AMZN/options/?straddle=false&amp;strike=165&amp;type=all" xr:uid="{CC345B2D-21FC-A449-AA83-0C73C3008CC8}"/>
    <hyperlink ref="A948" r:id="rId1889" display="https://finance.yahoo.com/quote/AMZN260318P00167500/" xr:uid="{2669FBA4-4D02-684B-ADE4-26387637F25B}"/>
    <hyperlink ref="F948" r:id="rId1890" display="https://finance.yahoo.com/quote/AMZN/options/?straddle=false&amp;strike=167.5&amp;type=all" xr:uid="{096A33E5-B678-9845-A6AA-1F21048E6839}"/>
    <hyperlink ref="A949" r:id="rId1891" display="https://finance.yahoo.com/quote/AMZN260318P00170000/" xr:uid="{C3707119-E066-D843-832E-57AD82D87F52}"/>
    <hyperlink ref="F949" r:id="rId1892" display="https://finance.yahoo.com/quote/AMZN/options/?straddle=false&amp;strike=170&amp;type=all" xr:uid="{ECA9EA44-EFA2-1C4A-AEC8-DA7BC9B135FA}"/>
    <hyperlink ref="A950" r:id="rId1893" display="https://finance.yahoo.com/quote/AMZN260318P00172500/" xr:uid="{EB45965E-07BE-A545-B041-0BA846A2A72C}"/>
    <hyperlink ref="F950" r:id="rId1894" display="https://finance.yahoo.com/quote/AMZN/options/?straddle=false&amp;strike=172.5&amp;type=all" xr:uid="{FAA8E18D-ADBC-7146-A8A9-DAB37409C546}"/>
    <hyperlink ref="A951" r:id="rId1895" display="https://finance.yahoo.com/quote/AMZN260318P00175000/" xr:uid="{8A8D403E-A9FF-314F-B242-B02F6B712AEA}"/>
    <hyperlink ref="F951" r:id="rId1896" display="https://finance.yahoo.com/quote/AMZN/options/?straddle=false&amp;strike=175&amp;type=all" xr:uid="{4C630C50-BD8D-9442-AE49-130077CDAD88}"/>
    <hyperlink ref="A952" r:id="rId1897" display="https://finance.yahoo.com/quote/AMZN260318P00177500/" xr:uid="{5F44AD18-253B-3744-9097-C6596876B65B}"/>
    <hyperlink ref="F952" r:id="rId1898" display="https://finance.yahoo.com/quote/AMZN/options/?straddle=false&amp;strike=177.5&amp;type=all" xr:uid="{0DF9F87F-1D9A-364D-90E7-2F1BC38D644C}"/>
    <hyperlink ref="A953" r:id="rId1899" display="https://finance.yahoo.com/quote/AMZN260318P00180000/" xr:uid="{12B7BA27-5D1B-8740-B2EF-4D7B75EFEA48}"/>
    <hyperlink ref="F953" r:id="rId1900" display="https://finance.yahoo.com/quote/AMZN/options/?straddle=false&amp;strike=180&amp;type=all" xr:uid="{35A337AF-9A63-404A-AA3C-F77691CDA9E7}"/>
    <hyperlink ref="A954" r:id="rId1901" display="https://finance.yahoo.com/quote/AMZN260318P00182500/" xr:uid="{BD1530D2-E814-1946-BAB1-F69F76CF70C0}"/>
    <hyperlink ref="F954" r:id="rId1902" display="https://finance.yahoo.com/quote/AMZN/options/?straddle=false&amp;strike=182.5&amp;type=all" xr:uid="{4B7849DC-6665-4645-A6A8-148845282AEF}"/>
    <hyperlink ref="A955" r:id="rId1903" display="https://finance.yahoo.com/quote/AMZN260318P00185000/" xr:uid="{46AB203C-A6FB-A947-BE86-5C232F0536C4}"/>
    <hyperlink ref="F955" r:id="rId1904" display="https://finance.yahoo.com/quote/AMZN/options/?straddle=false&amp;strike=185&amp;type=all" xr:uid="{5AD6D1CD-30F2-BC44-9A46-AC2000F6573C}"/>
    <hyperlink ref="A956" r:id="rId1905" display="https://finance.yahoo.com/quote/AMZN260318P00187500/" xr:uid="{8B7C4FB1-CC16-744E-BE9F-71E404C51004}"/>
    <hyperlink ref="F956" r:id="rId1906" display="https://finance.yahoo.com/quote/AMZN/options/?straddle=false&amp;strike=187.5&amp;type=all" xr:uid="{5F5489C6-2B15-9C48-8095-1B92EBB65156}"/>
    <hyperlink ref="A957" r:id="rId1907" display="https://finance.yahoo.com/quote/AMZN260318P00190000/" xr:uid="{302D0B8E-6B81-1C45-96FA-AB7667B38DE9}"/>
    <hyperlink ref="F957" r:id="rId1908" display="https://finance.yahoo.com/quote/AMZN/options/?straddle=false&amp;strike=190&amp;type=all" xr:uid="{77E58131-1C4D-F240-B231-86D775A3B109}"/>
    <hyperlink ref="A958" r:id="rId1909" display="https://finance.yahoo.com/quote/AMZN260318P00192500/" xr:uid="{C4FAD6E9-452A-1146-912B-E6808ED175CE}"/>
    <hyperlink ref="F958" r:id="rId1910" display="https://finance.yahoo.com/quote/AMZN/options/?straddle=false&amp;strike=192.5&amp;type=all" xr:uid="{3D33C0B8-3BD6-134C-A95E-43C1D11AC564}"/>
    <hyperlink ref="A959" r:id="rId1911" display="https://finance.yahoo.com/quote/AMZN260318P00195000/" xr:uid="{D06B6A90-9643-B046-B971-87A33A6A6343}"/>
    <hyperlink ref="F959" r:id="rId1912" display="https://finance.yahoo.com/quote/AMZN/options/?straddle=false&amp;strike=195&amp;type=all" xr:uid="{7F42CC29-8CE6-4448-B27C-5BA3091C9598}"/>
    <hyperlink ref="A960" r:id="rId1913" display="https://finance.yahoo.com/quote/AMZN260318P00197500/" xr:uid="{740B57B8-D56A-A647-BEE3-974B3FF83EAC}"/>
    <hyperlink ref="F960" r:id="rId1914" display="https://finance.yahoo.com/quote/AMZN/options/?straddle=false&amp;strike=197.5&amp;type=all" xr:uid="{AC11885F-7D5C-BF46-9441-9F33465827B5}"/>
    <hyperlink ref="A961" r:id="rId1915" display="https://finance.yahoo.com/quote/AMZN260318P00200000/" xr:uid="{17E00EE5-B6AD-2640-9DA5-D43E12993F3A}"/>
    <hyperlink ref="F961" r:id="rId1916" display="https://finance.yahoo.com/quote/AMZN/options/?straddle=false&amp;strike=200&amp;type=all" xr:uid="{D7486857-2A31-9045-AC1C-392A10C8A483}"/>
    <hyperlink ref="A962" r:id="rId1917" display="https://finance.yahoo.com/quote/AMZN260318P00202500/" xr:uid="{73DE01CF-014D-484B-91AC-831CB7F6E902}"/>
    <hyperlink ref="F962" r:id="rId1918" display="https://finance.yahoo.com/quote/AMZN/options/?straddle=false&amp;strike=202.5&amp;type=all" xr:uid="{F04E1B36-EA1C-0846-AB89-327A2B8B7216}"/>
    <hyperlink ref="A963" r:id="rId1919" display="https://finance.yahoo.com/quote/AMZN260318P00205000/" xr:uid="{393C0238-D3DB-BE42-B625-8518D17C202A}"/>
    <hyperlink ref="F963" r:id="rId1920" display="https://finance.yahoo.com/quote/AMZN/options/?straddle=false&amp;strike=205&amp;type=all" xr:uid="{6817FB6F-5B99-6F4B-850D-0B2EFC7A1903}"/>
    <hyperlink ref="A964" r:id="rId1921" display="https://finance.yahoo.com/quote/AMZN260318P00207500/" xr:uid="{67213A1C-6C0C-1549-95A6-9DC94E8AF1BA}"/>
    <hyperlink ref="F964" r:id="rId1922" display="https://finance.yahoo.com/quote/AMZN/options/?straddle=false&amp;strike=207.5&amp;type=all" xr:uid="{E2686247-6504-8B49-9D87-BD9A8B3DDE2D}"/>
    <hyperlink ref="A965" r:id="rId1923" display="https://finance.yahoo.com/quote/AMZN260318P00210000/" xr:uid="{F7C4DF4D-2457-7848-B265-B15F506A033D}"/>
    <hyperlink ref="F965" r:id="rId1924" display="https://finance.yahoo.com/quote/AMZN/options/?straddle=false&amp;strike=210&amp;type=all" xr:uid="{17E9EEDB-EA16-AF40-84FA-9378CF080AC5}"/>
    <hyperlink ref="A966" r:id="rId1925" display="https://finance.yahoo.com/quote/AMZN260318P00212500/" xr:uid="{C7888383-E057-2449-9238-D74D33862C76}"/>
    <hyperlink ref="F966" r:id="rId1926" display="https://finance.yahoo.com/quote/AMZN/options/?straddle=false&amp;strike=212.5&amp;type=all" xr:uid="{691E1696-E2DE-3D44-A70C-2DB55E8BD78A}"/>
    <hyperlink ref="A967" r:id="rId1927" display="https://finance.yahoo.com/quote/AMZN260318P00215000/" xr:uid="{84951A97-5A66-4040-9CD2-ADD7227FC26B}"/>
    <hyperlink ref="F967" r:id="rId1928" display="https://finance.yahoo.com/quote/AMZN/options/?straddle=false&amp;strike=215&amp;type=all" xr:uid="{9AA411BB-4478-DE43-B55A-1C2CA7489C08}"/>
    <hyperlink ref="A968" r:id="rId1929" display="https://finance.yahoo.com/quote/AMZN260318P00217500/" xr:uid="{5645EF3C-7503-F74E-81DC-DC05769489F7}"/>
    <hyperlink ref="F968" r:id="rId1930" display="https://finance.yahoo.com/quote/AMZN/options/?straddle=false&amp;strike=217.5&amp;type=all" xr:uid="{2F650E82-A1BE-F746-BA02-2DD3BB897CAC}"/>
    <hyperlink ref="A969" r:id="rId1931" display="https://finance.yahoo.com/quote/AMZN260318P00220000/" xr:uid="{F6850A5F-EEFD-6E4E-8037-1CE899803D0D}"/>
    <hyperlink ref="F969" r:id="rId1932" display="https://finance.yahoo.com/quote/AMZN/options/?straddle=false&amp;strike=220&amp;type=all" xr:uid="{5AC10F46-E07D-824B-83CE-E6856F0D1F7D}"/>
    <hyperlink ref="A970" r:id="rId1933" display="https://finance.yahoo.com/quote/AMZN260318P00222500/" xr:uid="{4A26552C-C12E-6746-8F4E-1DD980C59C52}"/>
    <hyperlink ref="F970" r:id="rId1934" display="https://finance.yahoo.com/quote/AMZN/options/?straddle=false&amp;strike=222.5&amp;type=all" xr:uid="{9E6D0BF6-B149-B244-8050-EACD6B70D080}"/>
    <hyperlink ref="A971" r:id="rId1935" display="https://finance.yahoo.com/quote/AMZN260318P00225000/" xr:uid="{C6B587D7-F310-1248-B989-E4D8BE5C24B4}"/>
    <hyperlink ref="F971" r:id="rId1936" display="https://finance.yahoo.com/quote/AMZN/options/?straddle=false&amp;strike=225&amp;type=all" xr:uid="{C2B96997-A09D-6E4F-856F-15C07C288211}"/>
    <hyperlink ref="A972" r:id="rId1937" display="https://finance.yahoo.com/quote/AMZN260318P00227500/" xr:uid="{DCF965FD-C8C6-E146-9FCE-93638564689E}"/>
    <hyperlink ref="F972" r:id="rId1938" display="https://finance.yahoo.com/quote/AMZN/options/?straddle=false&amp;strike=227.5&amp;type=all" xr:uid="{694638CB-2261-9545-9816-C38DF55D230E}"/>
    <hyperlink ref="A973" r:id="rId1939" display="https://finance.yahoo.com/quote/AMZN260318P00230000/" xr:uid="{BB668122-B98D-8447-BA05-12A31B104A90}"/>
    <hyperlink ref="F973" r:id="rId1940" display="https://finance.yahoo.com/quote/AMZN/options/?straddle=false&amp;strike=230&amp;type=all" xr:uid="{9EB84403-8F6E-0345-8157-C36DB55D73D6}"/>
    <hyperlink ref="A974" r:id="rId1941" display="https://finance.yahoo.com/quote/AMZN260318P00235000/" xr:uid="{CFBDD91E-E18C-BD4D-96FF-58F11F6AAED7}"/>
    <hyperlink ref="F974" r:id="rId1942" display="https://finance.yahoo.com/quote/AMZN/options/?straddle=false&amp;strike=235&amp;type=all" xr:uid="{C09D5241-EA2B-5249-A7CF-D843816D741E}"/>
    <hyperlink ref="A975" r:id="rId1943" display="https://finance.yahoo.com/quote/AMZN260318P00245000/" xr:uid="{97418196-0B51-614A-8A79-67D600DB0DA1}"/>
    <hyperlink ref="F975" r:id="rId1944" display="https://finance.yahoo.com/quote/AMZN/options/?straddle=false&amp;strike=245&amp;type=all" xr:uid="{7E0DED72-60F6-E248-953C-F1C4330C3833}"/>
    <hyperlink ref="A976" r:id="rId1945" display="https://finance.yahoo.com/quote/AMZN260318P00260000/" xr:uid="{0BEE522F-2021-D947-B6B9-EE4A8099EB38}"/>
    <hyperlink ref="F976" r:id="rId1946" display="https://finance.yahoo.com/quote/AMZN/options/?straddle=false&amp;strike=260&amp;type=all" xr:uid="{8D78768F-FBCF-4E47-901B-BFB0B15B72AC}"/>
    <hyperlink ref="A1045" r:id="rId1947" display="https://finance.yahoo.com/quote/AMZN260320P00085000/" xr:uid="{E64F03BE-B43F-464A-9F36-9373C2AC34B4}"/>
    <hyperlink ref="F1045" r:id="rId1948" display="https://finance.yahoo.com/quote/AMZN/options/?straddle=false&amp;strike=85&amp;type=all" xr:uid="{0D8A8F1D-B387-41B9-961F-96B8001B4A3D}"/>
    <hyperlink ref="A1046" r:id="rId1949" display="https://finance.yahoo.com/quote/AMZN260320P00090000/" xr:uid="{5B6F34BE-C510-4811-8452-90CE5FC14B69}"/>
    <hyperlink ref="F1046" r:id="rId1950" display="https://finance.yahoo.com/quote/AMZN/options/?straddle=false&amp;strike=90&amp;type=all" xr:uid="{EFCFFCA4-3571-4BCE-BE9B-4C586FFCB654}"/>
    <hyperlink ref="A1047" r:id="rId1951" display="https://finance.yahoo.com/quote/AMZN260320P00095000/" xr:uid="{232736B7-ECCD-4760-AAEB-871AB4520E65}"/>
    <hyperlink ref="F1047" r:id="rId1952" display="https://finance.yahoo.com/quote/AMZN/options/?straddle=false&amp;strike=95&amp;type=all" xr:uid="{0033BAB3-B188-4282-8BC7-39FA1E6B596F}"/>
    <hyperlink ref="A1048" r:id="rId1953" display="https://finance.yahoo.com/quote/AMZN260320P00100000/" xr:uid="{8C814095-49AE-4EB7-9612-CE8BF387F26B}"/>
    <hyperlink ref="F1048" r:id="rId1954" display="https://finance.yahoo.com/quote/AMZN/options/?straddle=false&amp;strike=100&amp;type=all" xr:uid="{BA8F2171-C0CA-42CF-AE3C-D12C00CA31A6}"/>
    <hyperlink ref="A1049" r:id="rId1955" display="https://finance.yahoo.com/quote/AMZN260320P00105000/" xr:uid="{7EF506C5-AB37-44E1-99F9-A49510556E02}"/>
    <hyperlink ref="F1049" r:id="rId1956" display="https://finance.yahoo.com/quote/AMZN/options/?straddle=false&amp;strike=105&amp;type=all" xr:uid="{8D7D1592-8F0F-4439-91C7-D7288A9C63C7}"/>
    <hyperlink ref="A1050" r:id="rId1957" display="https://finance.yahoo.com/quote/AMZN260320P00110000/" xr:uid="{4A2D5B4D-1CF0-45F9-BF5A-F69E98FF42BE}"/>
    <hyperlink ref="F1050" r:id="rId1958" display="https://finance.yahoo.com/quote/AMZN/options/?straddle=false&amp;strike=110&amp;type=all" xr:uid="{D7ECC26C-7225-465D-97B7-BE4BF55CE371}"/>
    <hyperlink ref="A1051" r:id="rId1959" display="https://finance.yahoo.com/quote/AMZN260320P00115000/" xr:uid="{1A26408B-E33E-40A0-BDA9-146F6E242F20}"/>
    <hyperlink ref="F1051" r:id="rId1960" display="https://finance.yahoo.com/quote/AMZN/options/?straddle=false&amp;strike=115&amp;type=all" xr:uid="{598226FA-DCD7-494F-9264-DAB2F4016394}"/>
    <hyperlink ref="A1052" r:id="rId1961" display="https://finance.yahoo.com/quote/AMZN260320P00120000/" xr:uid="{F9527FB3-766D-4031-8592-4CD3A9B52B17}"/>
    <hyperlink ref="F1052" r:id="rId1962" display="https://finance.yahoo.com/quote/AMZN/options/?straddle=false&amp;strike=120&amp;type=all" xr:uid="{446F367B-B393-4F34-A349-FF7A7B852097}"/>
    <hyperlink ref="A1053" r:id="rId1963" display="https://finance.yahoo.com/quote/AMZN260320P00125000/" xr:uid="{06D90B1C-49AC-443D-B020-CBF3758C55F7}"/>
    <hyperlink ref="F1053" r:id="rId1964" display="https://finance.yahoo.com/quote/AMZN/options/?straddle=false&amp;strike=125&amp;type=all" xr:uid="{4ED4B13B-8294-4D9F-A84E-73C0C2604F30}"/>
    <hyperlink ref="A1054" r:id="rId1965" display="https://finance.yahoo.com/quote/AMZN260320P00130000/" xr:uid="{07E8A0EE-D1EF-47B9-9455-27539C1659D1}"/>
    <hyperlink ref="F1054" r:id="rId1966" display="https://finance.yahoo.com/quote/AMZN/options/?straddle=false&amp;strike=130&amp;type=all" xr:uid="{D901AAB6-C79A-4B1D-BB99-DF787A01BF17}"/>
    <hyperlink ref="A1055" r:id="rId1967" display="https://finance.yahoo.com/quote/AMZN260320P00135000/" xr:uid="{44519F5B-729A-4714-AB87-398C9DC33D68}"/>
    <hyperlink ref="F1055" r:id="rId1968" display="https://finance.yahoo.com/quote/AMZN/options/?straddle=false&amp;strike=135&amp;type=all" xr:uid="{44516E93-918D-428E-857D-541189D3811A}"/>
    <hyperlink ref="A1056" r:id="rId1969" display="https://finance.yahoo.com/quote/AMZN260320P00140000/" xr:uid="{A8E27486-3353-4F19-9BF8-C55F556CC50E}"/>
    <hyperlink ref="F1056" r:id="rId1970" display="https://finance.yahoo.com/quote/AMZN/options/?straddle=false&amp;strike=140&amp;type=all" xr:uid="{804A69BE-03AA-4E04-9896-94F36D626AF3}"/>
    <hyperlink ref="A1057" r:id="rId1971" display="https://finance.yahoo.com/quote/AMZN260320P00145000/" xr:uid="{3AED124D-4A01-405C-AB2C-E57E11BED943}"/>
    <hyperlink ref="F1057" r:id="rId1972" display="https://finance.yahoo.com/quote/AMZN/options/?straddle=false&amp;strike=145&amp;type=all" xr:uid="{D8C69B11-B830-46C0-AF73-43333C65B87B}"/>
    <hyperlink ref="A1058" r:id="rId1973" display="https://finance.yahoo.com/quote/AMZN260320P00150000/" xr:uid="{505DCA8B-7E25-4EA0-930F-A8A340361E03}"/>
    <hyperlink ref="F1058" r:id="rId1974" display="https://finance.yahoo.com/quote/AMZN/options/?straddle=false&amp;strike=150&amp;type=all" xr:uid="{8FE36E86-6FE9-4B46-B499-A57BD0226325}"/>
    <hyperlink ref="A1059" r:id="rId1975" display="https://finance.yahoo.com/quote/AMZN260320P00155000/" xr:uid="{D86175E0-4C08-43A8-920A-6534B4BCD66B}"/>
    <hyperlink ref="F1059" r:id="rId1976" display="https://finance.yahoo.com/quote/AMZN/options/?straddle=false&amp;strike=155&amp;type=all" xr:uid="{329E71F4-ACD5-4DB5-BE70-919C1DC260E4}"/>
    <hyperlink ref="A1060" r:id="rId1977" display="https://finance.yahoo.com/quote/AMZN260320P00160000/" xr:uid="{DA033E18-AB90-4C6E-AA15-F7D3F1779D72}"/>
    <hyperlink ref="F1060" r:id="rId1978" display="https://finance.yahoo.com/quote/AMZN/options/?straddle=false&amp;strike=160&amp;type=all" xr:uid="{0351E9AA-C187-43FC-97E2-63C59E97F161}"/>
    <hyperlink ref="A1061" r:id="rId1979" display="https://finance.yahoo.com/quote/AMZN260320P00165000/" xr:uid="{23E5A0B2-4266-4CE6-9839-765A252DC2E3}"/>
    <hyperlink ref="F1061" r:id="rId1980" display="https://finance.yahoo.com/quote/AMZN/options/?straddle=false&amp;strike=165&amp;type=all" xr:uid="{EE6E973E-AE7F-4D3B-8B62-F3A118519414}"/>
    <hyperlink ref="A1062" r:id="rId1981" display="https://finance.yahoo.com/quote/AMZN260320P00170000/" xr:uid="{7CB8AFEB-537A-4C35-9BEB-519639CC6099}"/>
    <hyperlink ref="F1062" r:id="rId1982" display="https://finance.yahoo.com/quote/AMZN/options/?straddle=false&amp;strike=170&amp;type=all" xr:uid="{8BF212D4-204A-4CE2-B1E7-8796349B94C1}"/>
    <hyperlink ref="A1063" r:id="rId1983" display="https://finance.yahoo.com/quote/AMZN260320P00175000/" xr:uid="{A19E340B-1506-4093-93B6-932AE1AFA6F8}"/>
    <hyperlink ref="F1063" r:id="rId1984" display="https://finance.yahoo.com/quote/AMZN/options/?straddle=false&amp;strike=175&amp;type=all" xr:uid="{1ECEA994-6E43-4016-9D93-6D496D188CA7}"/>
    <hyperlink ref="A1064" r:id="rId1985" display="https://finance.yahoo.com/quote/AMZN260320P00180000/" xr:uid="{8AE7B4B3-C618-401C-9D9F-F645D0806016}"/>
    <hyperlink ref="F1064" r:id="rId1986" display="https://finance.yahoo.com/quote/AMZN/options/?straddle=false&amp;strike=180&amp;type=all" xr:uid="{2ACCB482-B48F-4AC4-9D75-86595D412B22}"/>
    <hyperlink ref="A1065" r:id="rId1987" display="https://finance.yahoo.com/quote/AMZN260320P00185000/" xr:uid="{CC30AD10-DD19-493E-8584-1B610F047A2C}"/>
    <hyperlink ref="F1065" r:id="rId1988" display="https://finance.yahoo.com/quote/AMZN/options/?straddle=false&amp;strike=185&amp;type=all" xr:uid="{A8EAE8BC-0C56-42B1-816B-0C9EEFE3351A}"/>
    <hyperlink ref="A1066" r:id="rId1989" display="https://finance.yahoo.com/quote/AMZN260320P00187500/" xr:uid="{C32135AB-0277-4D80-9AD2-F22CDAE6D9A0}"/>
    <hyperlink ref="F1066" r:id="rId1990" display="https://finance.yahoo.com/quote/AMZN/options/?straddle=false&amp;strike=187.5&amp;type=all" xr:uid="{BFCD6C68-897F-496C-B3D9-8D93EE13B7A7}"/>
    <hyperlink ref="A1067" r:id="rId1991" display="https://finance.yahoo.com/quote/AMZN260320P00190000/" xr:uid="{F1E3A506-A3FB-406A-8A64-3634E9F3A6F2}"/>
    <hyperlink ref="F1067" r:id="rId1992" display="https://finance.yahoo.com/quote/AMZN/options/?straddle=false&amp;strike=190&amp;type=all" xr:uid="{63D06E87-150D-45CE-A0A5-846426C26C4A}"/>
    <hyperlink ref="A1068" r:id="rId1993" display="https://finance.yahoo.com/quote/AMZN260320P00192500/" xr:uid="{574CE424-7DE9-446F-97B1-B9E5339167FA}"/>
    <hyperlink ref="F1068" r:id="rId1994" display="https://finance.yahoo.com/quote/AMZN/options/?straddle=false&amp;strike=192.5&amp;type=all" xr:uid="{42229F74-1BD5-47F1-A9BB-0309F92258C4}"/>
    <hyperlink ref="A1069" r:id="rId1995" display="https://finance.yahoo.com/quote/AMZN260320P00195000/" xr:uid="{BEF98F07-3D89-42D6-93DB-0357D6317C82}"/>
    <hyperlink ref="F1069" r:id="rId1996" display="https://finance.yahoo.com/quote/AMZN/options/?straddle=false&amp;strike=195&amp;type=all" xr:uid="{36A1EC7E-18DD-4DA1-BFF4-8AFAE2BEC0B9}"/>
    <hyperlink ref="A1070" r:id="rId1997" display="https://finance.yahoo.com/quote/AMZN260320P00197500/" xr:uid="{0EA96178-5B54-4F38-BA93-5458E6E36592}"/>
    <hyperlink ref="F1070" r:id="rId1998" display="https://finance.yahoo.com/quote/AMZN/options/?straddle=false&amp;strike=197.5&amp;type=all" xr:uid="{3CDD3B8A-BF75-4D74-903B-FC51B38F3459}"/>
    <hyperlink ref="A1071" r:id="rId1999" display="https://finance.yahoo.com/quote/AMZN260320P00200000/" xr:uid="{B90A2CB6-E524-4690-AF8C-412F6A4DE660}"/>
    <hyperlink ref="F1071" r:id="rId2000" display="https://finance.yahoo.com/quote/AMZN/options/?straddle=false&amp;strike=200&amp;type=all" xr:uid="{CED47208-FEEE-4444-86CB-B22BEC3BFBBA}"/>
    <hyperlink ref="A1072" r:id="rId2001" display="https://finance.yahoo.com/quote/AMZN260320P00202500/" xr:uid="{8C4DE561-A5CF-498F-BBAF-D081537289F0}"/>
    <hyperlink ref="F1072" r:id="rId2002" display="https://finance.yahoo.com/quote/AMZN/options/?straddle=false&amp;strike=202.5&amp;type=all" xr:uid="{7B02ECD9-76C6-440B-A8C5-01ABBCAD7982}"/>
    <hyperlink ref="A1073" r:id="rId2003" display="https://finance.yahoo.com/quote/AMZN260320P00205000/" xr:uid="{41DBE693-644A-4E7F-AFED-7E62C7EA8B47}"/>
    <hyperlink ref="F1073" r:id="rId2004" display="https://finance.yahoo.com/quote/AMZN/options/?straddle=false&amp;strike=205&amp;type=all" xr:uid="{E3601739-B2B5-48DA-8CB2-52399F3C8C55}"/>
    <hyperlink ref="A1074" r:id="rId2005" display="https://finance.yahoo.com/quote/AMZN260320P00207500/" xr:uid="{5129DC8F-FAD9-46E2-AE4F-AA89907B2CB3}"/>
    <hyperlink ref="F1074" r:id="rId2006" display="https://finance.yahoo.com/quote/AMZN/options/?straddle=false&amp;strike=207.5&amp;type=all" xr:uid="{EDE54FCB-338D-46FB-8891-583129BEFE01}"/>
    <hyperlink ref="A1075" r:id="rId2007" display="https://finance.yahoo.com/quote/AMZN260320P00210000/" xr:uid="{453B7AA5-4AD9-4AE5-BDFE-8B3881BB6CF5}"/>
    <hyperlink ref="F1075" r:id="rId2008" display="https://finance.yahoo.com/quote/AMZN/options/?straddle=false&amp;strike=210&amp;type=all" xr:uid="{7A4C5DD2-2B4C-4F99-867E-728079E57F98}"/>
    <hyperlink ref="A1076" r:id="rId2009" display="https://finance.yahoo.com/quote/AMZN260320P00212500/" xr:uid="{78D11C17-C26B-4CCC-8F03-8DE0533D6927}"/>
    <hyperlink ref="F1076" r:id="rId2010" display="https://finance.yahoo.com/quote/AMZN/options/?straddle=false&amp;strike=212.5&amp;type=all" xr:uid="{74AA2632-B405-466F-A5C9-5BA042C84304}"/>
    <hyperlink ref="A1077" r:id="rId2011" display="https://finance.yahoo.com/quote/AMZN260320P00215000/" xr:uid="{E34B499C-DD82-46AB-BB4D-4D643B3AC497}"/>
    <hyperlink ref="F1077" r:id="rId2012" display="https://finance.yahoo.com/quote/AMZN/options/?straddle=false&amp;strike=215&amp;type=all" xr:uid="{29F7E5D7-CED5-432B-8BE5-314853A85A21}"/>
    <hyperlink ref="A1078" r:id="rId2013" display="https://finance.yahoo.com/quote/AMZN260320P00217500/" xr:uid="{E953ED19-4D6F-43CF-A4F2-7072BE1A3538}"/>
    <hyperlink ref="F1078" r:id="rId2014" display="https://finance.yahoo.com/quote/AMZN/options/?straddle=false&amp;strike=217.5&amp;type=all" xr:uid="{F2248337-A07F-4063-975E-62F11AE22AB0}"/>
    <hyperlink ref="A1079" r:id="rId2015" display="https://finance.yahoo.com/quote/AMZN260320P00220000/" xr:uid="{690EDC57-3BD7-4544-BF34-277266075D12}"/>
    <hyperlink ref="F1079" r:id="rId2016" display="https://finance.yahoo.com/quote/AMZN/options/?straddle=false&amp;strike=220&amp;type=all" xr:uid="{0BD3EB2E-3799-45F2-BC92-5812B198BBF3}"/>
    <hyperlink ref="A1080" r:id="rId2017" display="https://finance.yahoo.com/quote/AMZN260320P00222500/" xr:uid="{8AC766B9-BF3E-44BA-8BE2-086168722E1D}"/>
    <hyperlink ref="F1080" r:id="rId2018" display="https://finance.yahoo.com/quote/AMZN/options/?straddle=false&amp;strike=222.5&amp;type=all" xr:uid="{8A12BF7D-41EC-4D8F-9F70-64E025444030}"/>
    <hyperlink ref="A1081" r:id="rId2019" display="https://finance.yahoo.com/quote/AMZN260320P00225000/" xr:uid="{13271EC4-D762-4EFE-B7F1-3F220F678E8A}"/>
    <hyperlink ref="F1081" r:id="rId2020" display="https://finance.yahoo.com/quote/AMZN/options/?straddle=false&amp;strike=225&amp;type=all" xr:uid="{D65A04EA-D051-4AD1-8FA2-2D28E5F0FEAE}"/>
    <hyperlink ref="A1082" r:id="rId2021" display="https://finance.yahoo.com/quote/AMZN260320P00227500/" xr:uid="{4D58CF42-AE3D-4A81-A0A7-81A287007DD2}"/>
    <hyperlink ref="F1082" r:id="rId2022" display="https://finance.yahoo.com/quote/AMZN/options/?straddle=false&amp;strike=227.5&amp;type=all" xr:uid="{AD9D3384-3FF2-42FC-B8C7-D70FADA677FF}"/>
    <hyperlink ref="A1083" r:id="rId2023" display="https://finance.yahoo.com/quote/AMZN260320P00230000/" xr:uid="{8BEE062A-3057-4271-8E46-83A8E6009197}"/>
    <hyperlink ref="F1083" r:id="rId2024" display="https://finance.yahoo.com/quote/AMZN/options/?straddle=false&amp;strike=230&amp;type=all" xr:uid="{7B29B037-F081-42C6-9AE8-A58E88BC6111}"/>
    <hyperlink ref="A1084" r:id="rId2025" display="https://finance.yahoo.com/quote/AMZN260320P00232500/" xr:uid="{D6BF6273-F7F3-4B9D-BFA9-2AB241CB7AB5}"/>
    <hyperlink ref="F1084" r:id="rId2026" display="https://finance.yahoo.com/quote/AMZN/options/?straddle=false&amp;strike=232.5&amp;type=all" xr:uid="{63E9ADBA-837B-4449-B61D-E09B4543C1EC}"/>
    <hyperlink ref="A1085" r:id="rId2027" display="https://finance.yahoo.com/quote/AMZN260320P00235000/" xr:uid="{DE1DC893-4061-44C1-8FE3-BDFC46D6B0E1}"/>
    <hyperlink ref="F1085" r:id="rId2028" display="https://finance.yahoo.com/quote/AMZN/options/?straddle=false&amp;strike=235&amp;type=all" xr:uid="{53150AD8-2081-41FB-A0C7-3CE1654670D4}"/>
    <hyperlink ref="A1086" r:id="rId2029" display="https://finance.yahoo.com/quote/AMZN260320P00240000/" xr:uid="{1756FFD4-5996-448B-99AE-38600C3AF5C6}"/>
    <hyperlink ref="F1086" r:id="rId2030" display="https://finance.yahoo.com/quote/AMZN/options/?straddle=false&amp;strike=240&amp;type=all" xr:uid="{A15170CB-9A8F-48EE-9918-E35B110A3360}"/>
    <hyperlink ref="A1087" r:id="rId2031" display="https://finance.yahoo.com/quote/AMZN260320P00245000/" xr:uid="{849DE2C7-F9C4-41F4-AE13-71617CDE1004}"/>
    <hyperlink ref="F1087" r:id="rId2032" display="https://finance.yahoo.com/quote/AMZN/options/?straddle=false&amp;strike=245&amp;type=all" xr:uid="{CE33FA45-E91C-4635-83FE-58DA822EDFBA}"/>
    <hyperlink ref="A1088" r:id="rId2033" display="https://finance.yahoo.com/quote/AMZN260320P00250000/" xr:uid="{61429203-C164-40D0-A84D-8D8E4F9BEC90}"/>
    <hyperlink ref="F1088" r:id="rId2034" display="https://finance.yahoo.com/quote/AMZN/options/?straddle=false&amp;strike=250&amp;type=all" xr:uid="{6EFEA78E-2E0A-4220-8C5D-DF6A224DF71D}"/>
    <hyperlink ref="A1089" r:id="rId2035" display="https://finance.yahoo.com/quote/AMZN260320P00255000/" xr:uid="{D848A312-7F3A-47F7-81F1-123619C6B049}"/>
    <hyperlink ref="F1089" r:id="rId2036" display="https://finance.yahoo.com/quote/AMZN/options/?straddle=false&amp;strike=255&amp;type=all" xr:uid="{3586A3C8-AEB7-4073-A931-01C74F528995}"/>
    <hyperlink ref="A1090" r:id="rId2037" display="https://finance.yahoo.com/quote/AMZN260320P00260000/" xr:uid="{761E40BB-9162-4D4B-ACB6-F7D502EB275B}"/>
    <hyperlink ref="F1090" r:id="rId2038" display="https://finance.yahoo.com/quote/AMZN/options/?straddle=false&amp;strike=260&amp;type=all" xr:uid="{5490BECF-62F6-462B-A81C-8B71309A8BC9}"/>
    <hyperlink ref="A1091" r:id="rId2039" display="https://finance.yahoo.com/quote/AMZN260320P00265000/" xr:uid="{A292F630-6186-41CB-B060-96CB4C409533}"/>
    <hyperlink ref="F1091" r:id="rId2040" display="https://finance.yahoo.com/quote/AMZN/options/?straddle=false&amp;strike=265&amp;type=all" xr:uid="{8C5181BC-DA48-4CB7-83CF-4AC378CA0506}"/>
    <hyperlink ref="A1092" r:id="rId2041" display="https://finance.yahoo.com/quote/AMZN260320P00270000/" xr:uid="{E70E601E-70FF-4DE1-887F-697129DEFA30}"/>
    <hyperlink ref="F1092" r:id="rId2042" display="https://finance.yahoo.com/quote/AMZN/options/?straddle=false&amp;strike=270&amp;type=all" xr:uid="{DC2A10CC-0D18-447D-A5AB-E799484A3383}"/>
    <hyperlink ref="A1093" r:id="rId2043" display="https://finance.yahoo.com/quote/AMZN260320P00275000/" xr:uid="{804EEC42-FA23-463B-A2B1-4DB05F993C14}"/>
    <hyperlink ref="F1093" r:id="rId2044" display="https://finance.yahoo.com/quote/AMZN/options/?straddle=false&amp;strike=275&amp;type=all" xr:uid="{679FFA6F-C21C-4E82-8238-59F8352ED72B}"/>
    <hyperlink ref="A1094" r:id="rId2045" display="https://finance.yahoo.com/quote/AMZN260320P00280000/" xr:uid="{96B4EEBA-8EA3-44E6-BA17-C6A17468E0B1}"/>
    <hyperlink ref="F1094" r:id="rId2046" display="https://finance.yahoo.com/quote/AMZN/options/?straddle=false&amp;strike=280&amp;type=all" xr:uid="{63375055-091F-465D-A23E-9A8C4AE8068B}"/>
    <hyperlink ref="A1095" r:id="rId2047" display="https://finance.yahoo.com/quote/AMZN260320P00285000/" xr:uid="{253774BF-75DB-4764-8905-518EEB3D35D2}"/>
    <hyperlink ref="F1095" r:id="rId2048" display="https://finance.yahoo.com/quote/AMZN/options/?straddle=false&amp;strike=285&amp;type=all" xr:uid="{8A0BC4E8-B916-449B-8B3D-1B4FDABBD94F}"/>
    <hyperlink ref="A1096" r:id="rId2049" display="https://finance.yahoo.com/quote/AMZN260320P00290000/" xr:uid="{E09D7388-D2B3-4B1D-BF1B-2EBF5BACAA63}"/>
    <hyperlink ref="F1096" r:id="rId2050" display="https://finance.yahoo.com/quote/AMZN/options/?straddle=false&amp;strike=290&amp;type=all" xr:uid="{ED52F508-D57D-4669-AA07-E030E499F183}"/>
    <hyperlink ref="A1097" r:id="rId2051" display="https://finance.yahoo.com/quote/AMZN260320P00295000/" xr:uid="{23DE4A1B-4B2D-4131-8D06-990884E63E37}"/>
    <hyperlink ref="F1097" r:id="rId2052" display="https://finance.yahoo.com/quote/AMZN/options/?straddle=false&amp;strike=295&amp;type=all" xr:uid="{A0D42AFE-27A0-402F-A2BF-6D5C90144086}"/>
    <hyperlink ref="A1098" r:id="rId2053" display="https://finance.yahoo.com/quote/AMZN260320P00300000/" xr:uid="{F623C62B-665E-426C-8820-7A2641524185}"/>
    <hyperlink ref="F1098" r:id="rId2054" display="https://finance.yahoo.com/quote/AMZN/options/?straddle=false&amp;strike=300&amp;type=all" xr:uid="{4405EEB1-DB29-414D-9126-88E0F4E9646D}"/>
    <hyperlink ref="A1099" r:id="rId2055" display="https://finance.yahoo.com/quote/AMZN260320P00305000/" xr:uid="{694BF7B7-EFFD-4E65-9838-4AEEEC6C41F2}"/>
    <hyperlink ref="F1099" r:id="rId2056" display="https://finance.yahoo.com/quote/AMZN/options/?straddle=false&amp;strike=305&amp;type=all" xr:uid="{3710091B-20C6-4BB3-8B94-DF4168A00062}"/>
    <hyperlink ref="A1100" r:id="rId2057" display="https://finance.yahoo.com/quote/AMZN260320P00310000/" xr:uid="{2164743D-50D5-4FD6-9F0B-0F77A22C924F}"/>
    <hyperlink ref="F1100" r:id="rId2058" display="https://finance.yahoo.com/quote/AMZN/options/?straddle=false&amp;strike=310&amp;type=all" xr:uid="{D9B1B581-6F74-43B7-A3D9-90D699F585A1}"/>
    <hyperlink ref="A1101" r:id="rId2059" display="https://finance.yahoo.com/quote/AMZN260320P00315000/" xr:uid="{C5EDC277-D379-406A-9098-AFF52DA79629}"/>
    <hyperlink ref="F1101" r:id="rId2060" display="https://finance.yahoo.com/quote/AMZN/options/?straddle=false&amp;strike=315&amp;type=all" xr:uid="{F7158DB3-F62B-41B8-8B07-149C7BD17B46}"/>
    <hyperlink ref="A1102" r:id="rId2061" display="https://finance.yahoo.com/quote/AMZN260320P00320000/" xr:uid="{994B88D2-C776-487A-9E1D-7F1D415A4EB2}"/>
    <hyperlink ref="F1102" r:id="rId2062" display="https://finance.yahoo.com/quote/AMZN/options/?straddle=false&amp;strike=320&amp;type=all" xr:uid="{1394518F-00C4-4E1F-8468-226BDBAD3B98}"/>
    <hyperlink ref="A1103" r:id="rId2063" display="https://finance.yahoo.com/quote/AMZN260320P00325000/" xr:uid="{A59B9D4E-3ED1-479A-AEAD-5D18CAACD49A}"/>
    <hyperlink ref="F1103" r:id="rId2064" display="https://finance.yahoo.com/quote/AMZN/options/?straddle=false&amp;strike=325&amp;type=all" xr:uid="{0D8D3D7F-9CCE-49C1-A81D-A5A32FEF6418}"/>
    <hyperlink ref="A1104" r:id="rId2065" display="https://finance.yahoo.com/quote/AMZN260320P00330000/" xr:uid="{4B6F5D7A-9EEE-4448-98D9-FBA3C0C86E4C}"/>
    <hyperlink ref="F1104" r:id="rId2066" display="https://finance.yahoo.com/quote/AMZN/options/?straddle=false&amp;strike=330&amp;type=all" xr:uid="{FD4D63FE-F057-4C67-B624-8E0F78FE7909}"/>
    <hyperlink ref="A1105" r:id="rId2067" display="https://finance.yahoo.com/quote/AMZN260320P00335000/" xr:uid="{BC32C808-5EEB-44DB-867F-D1357DFE527A}"/>
    <hyperlink ref="F1105" r:id="rId2068" display="https://finance.yahoo.com/quote/AMZN/options/?straddle=false&amp;strike=335&amp;type=all" xr:uid="{F56BD4F2-F4C5-4C1A-BF06-85A4AD16B0D1}"/>
    <hyperlink ref="A1106" r:id="rId2069" display="https://finance.yahoo.com/quote/AMZN260320P00340000/" xr:uid="{E2FB85CB-4874-4C7A-8FDE-BF52D5B3CC86}"/>
    <hyperlink ref="F1106" r:id="rId2070" display="https://finance.yahoo.com/quote/AMZN/options/?straddle=false&amp;strike=340&amp;type=all" xr:uid="{C4F4DE33-BB9A-4F95-903D-DB2E49A8B2D0}"/>
    <hyperlink ref="A1107" r:id="rId2071" display="https://finance.yahoo.com/quote/AMZN260320P00345000/" xr:uid="{69549418-5205-4719-84DC-C5016B4CAEDC}"/>
    <hyperlink ref="F1107" r:id="rId2072" display="https://finance.yahoo.com/quote/AMZN/options/?straddle=false&amp;strike=345&amp;type=all" xr:uid="{E87C9B4C-06B4-4BE5-9BCB-6F815CC04C45}"/>
    <hyperlink ref="A1108" r:id="rId2073" display="https://finance.yahoo.com/quote/AMZN260320P00350000/" xr:uid="{9579D96C-C2AB-4451-923C-2E9F86F133CF}"/>
    <hyperlink ref="F1108" r:id="rId2074" display="https://finance.yahoo.com/quote/AMZN/options/?straddle=false&amp;strike=350&amp;type=all" xr:uid="{1F54B0B4-7548-44B7-A143-A378352A5624}"/>
    <hyperlink ref="A1109" r:id="rId2075" display="https://finance.yahoo.com/quote/AMZN260320P00355000/" xr:uid="{D969DC45-B7D1-4497-96D8-CE2AC047F6C2}"/>
    <hyperlink ref="F1109" r:id="rId2076" display="https://finance.yahoo.com/quote/AMZN/options/?straddle=false&amp;strike=355&amp;type=all" xr:uid="{377A2787-B3D5-4D84-B337-960FEDB8D6D9}"/>
    <hyperlink ref="A1110" r:id="rId2077" display="https://finance.yahoo.com/quote/AMZN260320P00360000/" xr:uid="{2E096995-0E0C-4678-9D54-4C4023DB3FA2}"/>
    <hyperlink ref="F1110" r:id="rId2078" display="https://finance.yahoo.com/quote/AMZN/options/?straddle=false&amp;strike=360&amp;type=all" xr:uid="{07F63A92-98C1-4648-9665-C413AA5DF406}"/>
    <hyperlink ref="A1111" r:id="rId2079" display="https://finance.yahoo.com/quote/AMZN260320P00370000/" xr:uid="{4E2FE4CB-4561-41C4-8B7E-34A2D58B55A2}"/>
    <hyperlink ref="F1111" r:id="rId2080" display="https://finance.yahoo.com/quote/AMZN/options/?straddle=false&amp;strike=370&amp;type=all" xr:uid="{22129081-ADE7-49EB-BA06-4BBCE2B7D46C}"/>
    <hyperlink ref="A1112" r:id="rId2081" display="https://finance.yahoo.com/quote/AMZN260327C00125000/" xr:uid="{C435F5DC-B23E-4CE6-BA90-CFC6B8E2EF4A}"/>
    <hyperlink ref="F1112" r:id="rId2082" display="https://finance.yahoo.com/quote/AMZN/options/?straddle=false&amp;strike=125&amp;type=all" xr:uid="{6A645DE1-1F57-4C98-800D-4F3C79135D2D}"/>
    <hyperlink ref="A1113" r:id="rId2083" display="https://finance.yahoo.com/quote/AMZN260327C00130000/" xr:uid="{A35E5FEE-D1E7-49CA-A764-55437D6C74D7}"/>
    <hyperlink ref="F1113" r:id="rId2084" display="https://finance.yahoo.com/quote/AMZN/options/?straddle=false&amp;strike=130&amp;type=all" xr:uid="{A69EF6C4-5CCD-4A49-927B-A397132204AC}"/>
    <hyperlink ref="A1114" r:id="rId2085" display="https://finance.yahoo.com/quote/AMZN260327C00135000/" xr:uid="{CF940797-DF7C-40C4-AC0C-58B95445889C}"/>
    <hyperlink ref="F1114" r:id="rId2086" display="https://finance.yahoo.com/quote/AMZN/options/?straddle=false&amp;strike=135&amp;type=all" xr:uid="{D561C047-202C-4EE8-BE63-D17F0C4A33A3}"/>
    <hyperlink ref="A1115" r:id="rId2087" display="https://finance.yahoo.com/quote/AMZN260327C00140000/" xr:uid="{6298F3B4-A492-4FD5-B932-29ADD35B4981}"/>
    <hyperlink ref="F1115" r:id="rId2088" display="https://finance.yahoo.com/quote/AMZN/options/?straddle=false&amp;strike=140&amp;type=all" xr:uid="{3845B670-F90D-430C-8F9A-4C267823DE02}"/>
    <hyperlink ref="A1116" r:id="rId2089" display="https://finance.yahoo.com/quote/AMZN260327C00145000/" xr:uid="{8483D998-6C5D-4370-A4C2-CAEA19F26B24}"/>
    <hyperlink ref="F1116" r:id="rId2090" display="https://finance.yahoo.com/quote/AMZN/options/?straddle=false&amp;strike=145&amp;type=all" xr:uid="{865A4919-AE49-4BBE-8DAB-344D7961FCD3}"/>
    <hyperlink ref="A1117" r:id="rId2091" display="https://finance.yahoo.com/quote/AMZN260327C00150000/" xr:uid="{ABAAD206-44EE-4522-B11C-DF94B27F20A8}"/>
    <hyperlink ref="F1117" r:id="rId2092" display="https://finance.yahoo.com/quote/AMZN/options/?straddle=false&amp;strike=150&amp;type=all" xr:uid="{D34A3F8D-0CC5-4985-BA2D-67B4DBCC3E35}"/>
    <hyperlink ref="A1118" r:id="rId2093" display="https://finance.yahoo.com/quote/AMZN260327C00155000/" xr:uid="{FC8D8691-12C6-42C4-8BEB-A05FBF588467}"/>
    <hyperlink ref="F1118" r:id="rId2094" display="https://finance.yahoo.com/quote/AMZN/options/?straddle=false&amp;strike=155&amp;type=all" xr:uid="{E26FD0EE-EB2B-419A-9314-A52BE1457173}"/>
    <hyperlink ref="A1119" r:id="rId2095" display="https://finance.yahoo.com/quote/AMZN260327C00160000/" xr:uid="{511DA8CE-FC46-4CBA-8502-3E02F22C335D}"/>
    <hyperlink ref="F1119" r:id="rId2096" display="https://finance.yahoo.com/quote/AMZN/options/?straddle=false&amp;strike=160&amp;type=all" xr:uid="{76FD525C-4C60-4015-B361-D215D2EA32FC}"/>
    <hyperlink ref="A1120" r:id="rId2097" display="https://finance.yahoo.com/quote/AMZN260327C00165000/" xr:uid="{D38CA69D-8915-4C8E-A39F-9B84B9F8B972}"/>
    <hyperlink ref="F1120" r:id="rId2098" display="https://finance.yahoo.com/quote/AMZN/options/?straddle=false&amp;strike=165&amp;type=all" xr:uid="{843DE9A6-1B14-46FA-963B-364534891B4B}"/>
    <hyperlink ref="A1121" r:id="rId2099" display="https://finance.yahoo.com/quote/AMZN260327C00170000/" xr:uid="{09947FD6-AC85-4A87-B94A-74F43C46B6CE}"/>
    <hyperlink ref="F1121" r:id="rId2100" display="https://finance.yahoo.com/quote/AMZN/options/?straddle=false&amp;strike=170&amp;type=all" xr:uid="{28B75AA5-F540-457B-86A4-BC90C88F31A1}"/>
    <hyperlink ref="A1122" r:id="rId2101" display="https://finance.yahoo.com/quote/AMZN260327C00175000/" xr:uid="{BF73CD42-3194-4DBB-BF46-D0DDDD5662DC}"/>
    <hyperlink ref="F1122" r:id="rId2102" display="https://finance.yahoo.com/quote/AMZN/options/?straddle=false&amp;strike=175&amp;type=all" xr:uid="{9851C819-E76B-4359-82C9-994A622EBEBA}"/>
    <hyperlink ref="A1123" r:id="rId2103" display="https://finance.yahoo.com/quote/AMZN260327C00177500/" xr:uid="{FE276B73-4378-46BA-A232-AD1C90B1B700}"/>
    <hyperlink ref="F1123" r:id="rId2104" display="https://finance.yahoo.com/quote/AMZN/options/?straddle=false&amp;strike=177.5&amp;type=all" xr:uid="{8C2738ED-9D7D-4518-A70F-82B3435B3CBC}"/>
    <hyperlink ref="A1124" r:id="rId2105" display="https://finance.yahoo.com/quote/AMZN260327C00180000/" xr:uid="{D78B9FB4-FE50-4C05-8B47-8A841B6B8230}"/>
    <hyperlink ref="F1124" r:id="rId2106" display="https://finance.yahoo.com/quote/AMZN/options/?straddle=false&amp;strike=180&amp;type=all" xr:uid="{09F3AF49-092C-4520-8070-D21B699CAB42}"/>
    <hyperlink ref="A1125" r:id="rId2107" display="https://finance.yahoo.com/quote/AMZN260327C00182500/" xr:uid="{50CE8CC8-610F-412A-935E-0DA809D8337A}"/>
    <hyperlink ref="F1125" r:id="rId2108" display="https://finance.yahoo.com/quote/AMZN/options/?straddle=false&amp;strike=182.5&amp;type=all" xr:uid="{9D4476BB-4592-49DC-93FB-607AFCE867B0}"/>
    <hyperlink ref="A1126" r:id="rId2109" display="https://finance.yahoo.com/quote/AMZN260327C00185000/" xr:uid="{848C00EB-858C-4E71-BFA0-5140054A351E}"/>
    <hyperlink ref="F1126" r:id="rId2110" display="https://finance.yahoo.com/quote/AMZN/options/?straddle=false&amp;strike=185&amp;type=all" xr:uid="{615F63E1-F544-43F4-9B18-FCEA8070ED95}"/>
    <hyperlink ref="A1127" r:id="rId2111" display="https://finance.yahoo.com/quote/AMZN260327C00187500/" xr:uid="{A9A34775-323F-4B94-B891-EDDA7392AFE6}"/>
    <hyperlink ref="F1127" r:id="rId2112" display="https://finance.yahoo.com/quote/AMZN/options/?straddle=false&amp;strike=187.5&amp;type=all" xr:uid="{D883B727-C831-4631-A1CB-6FE1155F8A07}"/>
    <hyperlink ref="A1128" r:id="rId2113" display="https://finance.yahoo.com/quote/AMZN260327C00190000/" xr:uid="{6FDED864-198F-457C-8EDE-D461F28D28DE}"/>
    <hyperlink ref="F1128" r:id="rId2114" display="https://finance.yahoo.com/quote/AMZN/options/?straddle=false&amp;strike=190&amp;type=all" xr:uid="{A2191324-CE20-4FBA-BD3F-9F5A03D7E9AE}"/>
    <hyperlink ref="A1129" r:id="rId2115" display="https://finance.yahoo.com/quote/AMZN260327C00192500/" xr:uid="{EDDDA200-CA15-4CC1-B007-3A39E6AB99DE}"/>
    <hyperlink ref="F1129" r:id="rId2116" display="https://finance.yahoo.com/quote/AMZN/options/?straddle=false&amp;strike=192.5&amp;type=all" xr:uid="{ADC18C4F-2B49-460B-915F-3ABAD095BB9C}"/>
    <hyperlink ref="A1130" r:id="rId2117" display="https://finance.yahoo.com/quote/AMZN260327C00195000/" xr:uid="{703F9291-DF1D-4B5D-9DB4-D619A026E6A6}"/>
    <hyperlink ref="F1130" r:id="rId2118" display="https://finance.yahoo.com/quote/AMZN/options/?straddle=false&amp;strike=195&amp;type=all" xr:uid="{101F1E31-33D3-4EF1-B66E-141A87044AF7}"/>
    <hyperlink ref="A1131" r:id="rId2119" display="https://finance.yahoo.com/quote/AMZN260327C00197500/" xr:uid="{247D3632-C9D9-4965-9BA2-C01CB02A121C}"/>
    <hyperlink ref="F1131" r:id="rId2120" display="https://finance.yahoo.com/quote/AMZN/options/?straddle=false&amp;strike=197.5&amp;type=all" xr:uid="{0622A262-A827-4CBF-96E8-AFC94FD9CE3D}"/>
    <hyperlink ref="A1132" r:id="rId2121" display="https://finance.yahoo.com/quote/AMZN260327C00200000/" xr:uid="{7EAD27BE-87CC-4823-B69A-4B9D3AED0EFD}"/>
    <hyperlink ref="F1132" r:id="rId2122" display="https://finance.yahoo.com/quote/AMZN/options/?straddle=false&amp;strike=200&amp;type=all" xr:uid="{1EA6027E-39BF-4B9C-982F-0C1E111CD500}"/>
    <hyperlink ref="A1133" r:id="rId2123" display="https://finance.yahoo.com/quote/AMZN260327C00202500/" xr:uid="{E0F32793-701A-48C7-9728-986313F3CCA3}"/>
    <hyperlink ref="F1133" r:id="rId2124" display="https://finance.yahoo.com/quote/AMZN/options/?straddle=false&amp;strike=202.5&amp;type=all" xr:uid="{B7E6BBC4-A801-4CB2-8AEE-81D90B103DF4}"/>
    <hyperlink ref="A1134" r:id="rId2125" display="https://finance.yahoo.com/quote/AMZN260327C00205000/" xr:uid="{766BEDB1-5064-4342-AEB2-AC17851D10DF}"/>
    <hyperlink ref="F1134" r:id="rId2126" display="https://finance.yahoo.com/quote/AMZN/options/?straddle=false&amp;strike=205&amp;type=all" xr:uid="{1DBAD801-541B-44C2-87A2-B74D57B416B9}"/>
    <hyperlink ref="A1135" r:id="rId2127" display="https://finance.yahoo.com/quote/AMZN260327C00207500/" xr:uid="{FF0366A6-2AAD-4988-A048-11A5E7CECA0E}"/>
    <hyperlink ref="F1135" r:id="rId2128" display="https://finance.yahoo.com/quote/AMZN/options/?straddle=false&amp;strike=207.5&amp;type=all" xr:uid="{CAA2801D-6DC2-464B-A3A7-93AB7233870A}"/>
    <hyperlink ref="A1136" r:id="rId2129" display="https://finance.yahoo.com/quote/AMZN260327C00210000/" xr:uid="{FCEC0378-1D1E-4CAC-AC9B-1D2401436078}"/>
    <hyperlink ref="F1136" r:id="rId2130" display="https://finance.yahoo.com/quote/AMZN/options/?straddle=false&amp;strike=210&amp;type=all" xr:uid="{A2E2300D-B791-4F20-8733-2F67C8C00695}"/>
    <hyperlink ref="A1137" r:id="rId2131" display="https://finance.yahoo.com/quote/AMZN260327C00212500/" xr:uid="{3F09C645-04A2-4629-AC56-6FC4AD7755DB}"/>
    <hyperlink ref="F1137" r:id="rId2132" display="https://finance.yahoo.com/quote/AMZN/options/?straddle=false&amp;strike=212.5&amp;type=all" xr:uid="{4DE4AD23-E2D1-4AAD-96C4-FC774426C2DF}"/>
    <hyperlink ref="A1138" r:id="rId2133" display="https://finance.yahoo.com/quote/AMZN260327C00215000/" xr:uid="{9929AE1C-531E-46AD-8935-487C4BE6C3D1}"/>
    <hyperlink ref="F1138" r:id="rId2134" display="https://finance.yahoo.com/quote/AMZN/options/?straddle=false&amp;strike=215&amp;type=all" xr:uid="{096C5A4E-1054-4E1F-A7D3-3F1FBEA4F43A}"/>
    <hyperlink ref="A1139" r:id="rId2135" display="https://finance.yahoo.com/quote/AMZN260327C00217500/" xr:uid="{2B55ACBA-C632-4C22-91B2-AD1613658618}"/>
    <hyperlink ref="F1139" r:id="rId2136" display="https://finance.yahoo.com/quote/AMZN/options/?straddle=false&amp;strike=217.5&amp;type=all" xr:uid="{3F3BB2A1-0F60-4AE5-B128-BC9040B2DC8A}"/>
    <hyperlink ref="A1140" r:id="rId2137" display="https://finance.yahoo.com/quote/AMZN260327C00220000/" xr:uid="{DD860D96-DC59-4432-AB81-E79B5770BE1B}"/>
    <hyperlink ref="F1140" r:id="rId2138" display="https://finance.yahoo.com/quote/AMZN/options/?straddle=false&amp;strike=220&amp;type=all" xr:uid="{28883F99-B0EF-4AE9-9F70-E7F3CFA416B0}"/>
    <hyperlink ref="A1141" r:id="rId2139" display="https://finance.yahoo.com/quote/AMZN260327C00222500/" xr:uid="{2C644044-A68D-4CB8-9DD7-0B97163B140C}"/>
    <hyperlink ref="F1141" r:id="rId2140" display="https://finance.yahoo.com/quote/AMZN/options/?straddle=false&amp;strike=222.5&amp;type=all" xr:uid="{7D97ED69-B3CF-43F3-BB25-05B25AA7165D}"/>
    <hyperlink ref="A1142" r:id="rId2141" display="https://finance.yahoo.com/quote/AMZN260327C00225000/" xr:uid="{D7E6140F-8A32-4601-98EB-D4C27F2C49BB}"/>
    <hyperlink ref="F1142" r:id="rId2142" display="https://finance.yahoo.com/quote/AMZN/options/?straddle=false&amp;strike=225&amp;type=all" xr:uid="{361A61A4-9F7D-48B0-A9E5-90B48E4F7D60}"/>
    <hyperlink ref="A1143" r:id="rId2143" display="https://finance.yahoo.com/quote/AMZN260327C00227500/" xr:uid="{51244FD1-5645-4610-B564-6B99515040A8}"/>
    <hyperlink ref="F1143" r:id="rId2144" display="https://finance.yahoo.com/quote/AMZN/options/?straddle=false&amp;strike=227.5&amp;type=all" xr:uid="{CC9A6ACF-4E06-4C5E-9855-A60E81256018}"/>
    <hyperlink ref="A1144" r:id="rId2145" display="https://finance.yahoo.com/quote/AMZN260327C00230000/" xr:uid="{40A2224F-A3F3-4092-9E77-E644631C4C54}"/>
    <hyperlink ref="F1144" r:id="rId2146" display="https://finance.yahoo.com/quote/AMZN/options/?straddle=false&amp;strike=230&amp;type=all" xr:uid="{B03A36A1-AACA-42E8-AA09-995787A9814A}"/>
    <hyperlink ref="A1145" r:id="rId2147" display="https://finance.yahoo.com/quote/AMZN260327C00232500/" xr:uid="{F12DD9FC-B05D-4F3A-81BF-27F6ED4AE1EF}"/>
    <hyperlink ref="F1145" r:id="rId2148" display="https://finance.yahoo.com/quote/AMZN/options/?straddle=false&amp;strike=232.5&amp;type=all" xr:uid="{8B836DB4-80F8-48E5-9321-B2886B7B1717}"/>
    <hyperlink ref="A1146" r:id="rId2149" display="https://finance.yahoo.com/quote/AMZN260327C00235000/" xr:uid="{2D107869-89DE-4919-AD76-08665DCBDF67}"/>
    <hyperlink ref="F1146" r:id="rId2150" display="https://finance.yahoo.com/quote/AMZN/options/?straddle=false&amp;strike=235&amp;type=all" xr:uid="{C187B854-F127-4B0B-9156-62A0F12FE5E4}"/>
    <hyperlink ref="A1147" r:id="rId2151" display="https://finance.yahoo.com/quote/AMZN260327C00237500/" xr:uid="{785BDFFB-A515-4C95-93FE-F82FB91D1D37}"/>
    <hyperlink ref="F1147" r:id="rId2152" display="https://finance.yahoo.com/quote/AMZN/options/?straddle=false&amp;strike=237.5&amp;type=all" xr:uid="{5A4F693C-4BE0-46F4-8467-53F8792BD9FA}"/>
    <hyperlink ref="A1148" r:id="rId2153" display="https://finance.yahoo.com/quote/AMZN260327C00240000/" xr:uid="{9F21A3A7-DA7B-4E61-A913-19050DE301CF}"/>
    <hyperlink ref="F1148" r:id="rId2154" display="https://finance.yahoo.com/quote/AMZN/options/?straddle=false&amp;strike=240&amp;type=all" xr:uid="{BDF4C49C-DB6D-47B5-99D9-FFF11273E01C}"/>
    <hyperlink ref="A1149" r:id="rId2155" display="https://finance.yahoo.com/quote/AMZN260327C00245000/" xr:uid="{362B2318-5A84-48DC-B7D4-E6E46128DBA8}"/>
    <hyperlink ref="F1149" r:id="rId2156" display="https://finance.yahoo.com/quote/AMZN/options/?straddle=false&amp;strike=245&amp;type=all" xr:uid="{5DC988D2-C5F1-4477-9F53-C0D9CB0F978B}"/>
    <hyperlink ref="A1150" r:id="rId2157" display="https://finance.yahoo.com/quote/AMZN260327C00250000/" xr:uid="{8140AA4C-0F2E-454E-A42E-1EF5AE6CDD4A}"/>
    <hyperlink ref="F1150" r:id="rId2158" display="https://finance.yahoo.com/quote/AMZN/options/?straddle=false&amp;strike=250&amp;type=all" xr:uid="{025346E7-1F68-4149-8172-C1B5BC3525D2}"/>
    <hyperlink ref="A1151" r:id="rId2159" display="https://finance.yahoo.com/quote/AMZN260327C00255000/" xr:uid="{CD6EF15D-3CF3-4579-B241-614F8958F68F}"/>
    <hyperlink ref="F1151" r:id="rId2160" display="https://finance.yahoo.com/quote/AMZN/options/?straddle=false&amp;strike=255&amp;type=all" xr:uid="{A4454C74-512F-4377-B49D-699BD0794CF8}"/>
    <hyperlink ref="A1152" r:id="rId2161" display="https://finance.yahoo.com/quote/AMZN260327C00260000/" xr:uid="{06C1B653-A80E-4371-9343-188562E65CCF}"/>
    <hyperlink ref="F1152" r:id="rId2162" display="https://finance.yahoo.com/quote/AMZN/options/?straddle=false&amp;strike=260&amp;type=all" xr:uid="{F6F8A130-A2A6-4032-9C0A-C94E16BC9F68}"/>
    <hyperlink ref="A1153" r:id="rId2163" display="https://finance.yahoo.com/quote/AMZN260327C00265000/" xr:uid="{79A2968E-A0F4-4F27-AE99-6078813636F9}"/>
    <hyperlink ref="F1153" r:id="rId2164" display="https://finance.yahoo.com/quote/AMZN/options/?straddle=false&amp;strike=265&amp;type=all" xr:uid="{2FD61188-800C-4762-B6D8-6CBB10B62604}"/>
    <hyperlink ref="A1154" r:id="rId2165" display="https://finance.yahoo.com/quote/AMZN260327C00270000/" xr:uid="{DF7F9AD3-7C97-40AB-BF56-997661D44B45}"/>
    <hyperlink ref="F1154" r:id="rId2166" display="https://finance.yahoo.com/quote/AMZN/options/?straddle=false&amp;strike=270&amp;type=all" xr:uid="{366B3852-E1E0-4B79-80FF-713D48FEB598}"/>
    <hyperlink ref="A1155" r:id="rId2167" display="https://finance.yahoo.com/quote/AMZN260327C00275000/" xr:uid="{58C2BE90-99BA-410B-81A5-E77A2177F134}"/>
    <hyperlink ref="F1155" r:id="rId2168" display="https://finance.yahoo.com/quote/AMZN/options/?straddle=false&amp;strike=275&amp;type=all" xr:uid="{1B651EFD-899D-4021-B620-654B812D4B3A}"/>
    <hyperlink ref="A1156" r:id="rId2169" display="https://finance.yahoo.com/quote/AMZN260327C00280000/" xr:uid="{00765DB8-FE84-4851-B64F-DA015D6EEB00}"/>
    <hyperlink ref="F1156" r:id="rId2170" display="https://finance.yahoo.com/quote/AMZN/options/?straddle=false&amp;strike=280&amp;type=all" xr:uid="{C251734F-D60F-4EEB-9BBD-2300D3A90D73}"/>
    <hyperlink ref="A1157" r:id="rId2171" display="https://finance.yahoo.com/quote/AMZN260327C00285000/" xr:uid="{AEE86986-1D30-4B81-BFEB-69D7137F671E}"/>
    <hyperlink ref="F1157" r:id="rId2172" display="https://finance.yahoo.com/quote/AMZN/options/?straddle=false&amp;strike=285&amp;type=all" xr:uid="{B5EE04CC-7495-4D61-9017-B275701513EF}"/>
    <hyperlink ref="A1158" r:id="rId2173" display="https://finance.yahoo.com/quote/AMZN260327C00290000/" xr:uid="{B49A8CAA-2402-4734-9588-32E7BB5DD29E}"/>
    <hyperlink ref="F1158" r:id="rId2174" display="https://finance.yahoo.com/quote/AMZN/options/?straddle=false&amp;strike=290&amp;type=all" xr:uid="{42E27A81-511C-4A09-9985-17DF8B37C2CC}"/>
    <hyperlink ref="A1159" r:id="rId2175" display="https://finance.yahoo.com/quote/AMZN260327C00295000/" xr:uid="{320CFD43-E71B-4DBC-83E8-142A67F053EF}"/>
    <hyperlink ref="F1159" r:id="rId2176" display="https://finance.yahoo.com/quote/AMZN/options/?straddle=false&amp;strike=295&amp;type=all" xr:uid="{3C90CF11-D356-4BC8-9EDA-B517A8CF1397}"/>
    <hyperlink ref="A1160" r:id="rId2177" display="https://finance.yahoo.com/quote/AMZN260327C00300000/" xr:uid="{DF9B1272-5BA9-4A1A-B806-1C16CF96A709}"/>
    <hyperlink ref="F1160" r:id="rId2178" display="https://finance.yahoo.com/quote/AMZN/options/?straddle=false&amp;strike=300&amp;type=all" xr:uid="{B62C0C48-E110-4537-95A7-6426E311892C}"/>
    <hyperlink ref="A1161" r:id="rId2179" display="https://finance.yahoo.com/quote/AMZN260327C00305000/" xr:uid="{62BAE484-9731-4FE5-A93F-BFFC451D76AA}"/>
    <hyperlink ref="F1161" r:id="rId2180" display="https://finance.yahoo.com/quote/AMZN/options/?straddle=false&amp;strike=305&amp;type=all" xr:uid="{CBE7F3A0-CAC3-4B54-AA05-3A9D1EC709D5}"/>
    <hyperlink ref="A1162" r:id="rId2181" display="https://finance.yahoo.com/quote/AMZN260327C00310000/" xr:uid="{19DBD783-5CAA-4D38-8C9F-4EAD08E81841}"/>
    <hyperlink ref="F1162" r:id="rId2182" display="https://finance.yahoo.com/quote/AMZN/options/?straddle=false&amp;strike=310&amp;type=all" xr:uid="{D4F8EFFF-76C7-4385-B615-DD61CE646407}"/>
    <hyperlink ref="A1163" r:id="rId2183" display="https://finance.yahoo.com/quote/AMZN260327C00315000/" xr:uid="{2C481AAE-7D9F-4C60-AC3D-80CACBB56017}"/>
    <hyperlink ref="F1163" r:id="rId2184" display="https://finance.yahoo.com/quote/AMZN/options/?straddle=false&amp;strike=315&amp;type=all" xr:uid="{6088CFDD-2E04-4BCF-B4E7-5C70156A47AA}"/>
    <hyperlink ref="A1164" r:id="rId2185" display="https://finance.yahoo.com/quote/AMZN260327C00320000/" xr:uid="{C3A71741-1700-4A7D-A7BB-200A25C5F2F2}"/>
    <hyperlink ref="F1164" r:id="rId2186" display="https://finance.yahoo.com/quote/AMZN/options/?straddle=false&amp;strike=320&amp;type=all" xr:uid="{FE5DA426-B8A4-4961-8CA9-03ADE491B395}"/>
    <hyperlink ref="A1165" r:id="rId2187" display="https://finance.yahoo.com/quote/AMZN260327C00325000/" xr:uid="{3839B9F9-626D-49FC-8EA1-374BFAA95727}"/>
    <hyperlink ref="F1165" r:id="rId2188" display="https://finance.yahoo.com/quote/AMZN/options/?straddle=false&amp;strike=325&amp;type=all" xr:uid="{AB232915-35AD-4423-92BB-C4C04B5C7A71}"/>
    <hyperlink ref="A1166" r:id="rId2189" display="https://finance.yahoo.com/quote/AMZN260327C00330000/" xr:uid="{F36C0163-C2B3-4A35-B74C-A75A6FCA0696}"/>
    <hyperlink ref="F1166" r:id="rId2190" display="https://finance.yahoo.com/quote/AMZN/options/?straddle=false&amp;strike=330&amp;type=all" xr:uid="{ADAE5D7B-32C9-4014-954F-C5CF52DFD873}"/>
    <hyperlink ref="A1167" r:id="rId2191" display="https://finance.yahoo.com/quote/AMZN260327C00335000/" xr:uid="{49362C95-B22E-422F-A4A5-766275881C50}"/>
    <hyperlink ref="F1167" r:id="rId2192" display="https://finance.yahoo.com/quote/AMZN/options/?straddle=false&amp;strike=335&amp;type=all" xr:uid="{A63B0657-11DF-4B3C-881A-3B56A9783DC3}"/>
    <hyperlink ref="A1168" r:id="rId2193" display="https://finance.yahoo.com/quote/AMZN260327P00125000/" xr:uid="{E79C0A28-5ED7-458D-ACFE-4E2C26F01F31}"/>
    <hyperlink ref="F1168" r:id="rId2194" display="https://finance.yahoo.com/quote/AMZN/options/?straddle=false&amp;strike=125&amp;type=all" xr:uid="{1538C84B-BA83-46E5-BBBF-4FED353B8D72}"/>
    <hyperlink ref="A1169" r:id="rId2195" display="https://finance.yahoo.com/quote/AMZN260327P00130000/" xr:uid="{56A0F030-7A52-4BE5-A28F-273495ED7045}"/>
    <hyperlink ref="F1169" r:id="rId2196" display="https://finance.yahoo.com/quote/AMZN/options/?straddle=false&amp;strike=130&amp;type=all" xr:uid="{AA6C8CE3-B484-4382-8A65-7D39C223FBE3}"/>
    <hyperlink ref="A1170" r:id="rId2197" display="https://finance.yahoo.com/quote/AMZN260327P00135000/" xr:uid="{8EC0640B-5A63-4A32-9144-35C43885CAAB}"/>
    <hyperlink ref="F1170" r:id="rId2198" display="https://finance.yahoo.com/quote/AMZN/options/?straddle=false&amp;strike=135&amp;type=all" xr:uid="{6A01D400-DCC4-45A4-B9FE-5090B6045406}"/>
    <hyperlink ref="A1171" r:id="rId2199" display="https://finance.yahoo.com/quote/AMZN260327P00140000/" xr:uid="{D71A9893-822A-42D3-9347-0ED77EDB221D}"/>
    <hyperlink ref="F1171" r:id="rId2200" display="https://finance.yahoo.com/quote/AMZN/options/?straddle=false&amp;strike=140&amp;type=all" xr:uid="{6D0D72CC-E2EC-4909-8BDC-94EE2FE0E17C}"/>
    <hyperlink ref="A1172" r:id="rId2201" display="https://finance.yahoo.com/quote/AMZN260327P00145000/" xr:uid="{E910FD5B-5F8E-4241-8143-8984BFAD330C}"/>
    <hyperlink ref="F1172" r:id="rId2202" display="https://finance.yahoo.com/quote/AMZN/options/?straddle=false&amp;strike=145&amp;type=all" xr:uid="{19205371-F5C4-41AD-9195-5E4B9EC4953A}"/>
    <hyperlink ref="A1173" r:id="rId2203" display="https://finance.yahoo.com/quote/AMZN260327P00150000/" xr:uid="{26A4A3B3-0AAF-4A2D-926A-F664C0272052}"/>
    <hyperlink ref="F1173" r:id="rId2204" display="https://finance.yahoo.com/quote/AMZN/options/?straddle=false&amp;strike=150&amp;type=all" xr:uid="{C0DF47B4-47EE-4EF3-A975-7C77B882EEDB}"/>
    <hyperlink ref="A1174" r:id="rId2205" display="https://finance.yahoo.com/quote/AMZN260327P00155000/" xr:uid="{20E561AA-C106-4F18-892D-5D723012B087}"/>
    <hyperlink ref="F1174" r:id="rId2206" display="https://finance.yahoo.com/quote/AMZN/options/?straddle=false&amp;strike=155&amp;type=all" xr:uid="{CFE6EE5F-F7AE-43EB-815B-42E08CBCE740}"/>
    <hyperlink ref="A1175" r:id="rId2207" display="https://finance.yahoo.com/quote/AMZN260327P00160000/" xr:uid="{9FDB8B80-1562-463A-B442-5202953BFDEB}"/>
    <hyperlink ref="F1175" r:id="rId2208" display="https://finance.yahoo.com/quote/AMZN/options/?straddle=false&amp;strike=160&amp;type=all" xr:uid="{341C4B49-DAAD-4F1C-A02A-3F2BE622455F}"/>
    <hyperlink ref="A1176" r:id="rId2209" display="https://finance.yahoo.com/quote/AMZN260327P00165000/" xr:uid="{690FB3DF-E99D-44DB-B446-215B64193820}"/>
    <hyperlink ref="F1176" r:id="rId2210" display="https://finance.yahoo.com/quote/AMZN/options/?straddle=false&amp;strike=165&amp;type=all" xr:uid="{17954CED-7A2B-45F3-A9E0-2343C5D05E55}"/>
    <hyperlink ref="A1177" r:id="rId2211" display="https://finance.yahoo.com/quote/AMZN260327P00170000/" xr:uid="{169CE69F-A9ED-473F-8FC4-9759C144327D}"/>
    <hyperlink ref="F1177" r:id="rId2212" display="https://finance.yahoo.com/quote/AMZN/options/?straddle=false&amp;strike=170&amp;type=all" xr:uid="{92C5ED5E-F45F-413B-858E-0AD9C8237A58}"/>
    <hyperlink ref="A1178" r:id="rId2213" display="https://finance.yahoo.com/quote/AMZN260327P00175000/" xr:uid="{187E1F30-048C-4A1A-8F87-5933A4FF3D16}"/>
    <hyperlink ref="F1178" r:id="rId2214" display="https://finance.yahoo.com/quote/AMZN/options/?straddle=false&amp;strike=175&amp;type=all" xr:uid="{1774A2C3-6C93-471C-9A65-480F5B8FD3D0}"/>
    <hyperlink ref="A1179" r:id="rId2215" display="https://finance.yahoo.com/quote/AMZN260327P00177500/" xr:uid="{6C68AAC0-704B-4114-95E3-5EFB0BBF8B2A}"/>
    <hyperlink ref="F1179" r:id="rId2216" display="https://finance.yahoo.com/quote/AMZN/options/?straddle=false&amp;strike=177.5&amp;type=all" xr:uid="{2BC7CFBC-4981-4850-8A0A-D9245905FBEF}"/>
    <hyperlink ref="A1180" r:id="rId2217" display="https://finance.yahoo.com/quote/AMZN260327P00180000/" xr:uid="{8203548E-03CB-434C-987F-3FF133092FF3}"/>
    <hyperlink ref="F1180" r:id="rId2218" display="https://finance.yahoo.com/quote/AMZN/options/?straddle=false&amp;strike=180&amp;type=all" xr:uid="{446D8858-4C6C-4F58-9432-66651A1FF2C2}"/>
    <hyperlink ref="A1181" r:id="rId2219" display="https://finance.yahoo.com/quote/AMZN260327P00182500/" xr:uid="{DEF40DE1-1A0B-43EE-88B2-C103BBB87B06}"/>
    <hyperlink ref="F1181" r:id="rId2220" display="https://finance.yahoo.com/quote/AMZN/options/?straddle=false&amp;strike=182.5&amp;type=all" xr:uid="{970BE559-B6EB-4065-BE1A-A58A537FAB17}"/>
    <hyperlink ref="A1182" r:id="rId2221" display="https://finance.yahoo.com/quote/AMZN260327P00185000/" xr:uid="{3BC10B93-2048-480A-9B46-49B01D682D4A}"/>
    <hyperlink ref="F1182" r:id="rId2222" display="https://finance.yahoo.com/quote/AMZN/options/?straddle=false&amp;strike=185&amp;type=all" xr:uid="{3D2D8132-AA39-4990-B405-CF81C571992F}"/>
    <hyperlink ref="A1183" r:id="rId2223" display="https://finance.yahoo.com/quote/AMZN260327P00187500/" xr:uid="{2CE794A9-9457-49D9-BCD8-191B8EBC6C02}"/>
    <hyperlink ref="F1183" r:id="rId2224" display="https://finance.yahoo.com/quote/AMZN/options/?straddle=false&amp;strike=187.5&amp;type=all" xr:uid="{1AD21905-A743-4448-AA9C-F0E3C039AEEB}"/>
    <hyperlink ref="A1184" r:id="rId2225" display="https://finance.yahoo.com/quote/AMZN260327P00190000/" xr:uid="{E1DB9E94-62A8-4AD3-84FA-7E24DDCC595A}"/>
    <hyperlink ref="F1184" r:id="rId2226" display="https://finance.yahoo.com/quote/AMZN/options/?straddle=false&amp;strike=190&amp;type=all" xr:uid="{7D1E959B-6AAB-4E06-8F02-14D02DAC80D2}"/>
    <hyperlink ref="A1185" r:id="rId2227" display="https://finance.yahoo.com/quote/AMZN260327P00192500/" xr:uid="{35107140-D7D8-4845-B276-FC010D4B0F2A}"/>
    <hyperlink ref="F1185" r:id="rId2228" display="https://finance.yahoo.com/quote/AMZN/options/?straddle=false&amp;strike=192.5&amp;type=all" xr:uid="{F2EEF704-34B8-43D1-AEA8-8BF80D15E5A8}"/>
    <hyperlink ref="A1186" r:id="rId2229" display="https://finance.yahoo.com/quote/AMZN260327P00195000/" xr:uid="{20A6DA17-07AC-4E1C-AACC-B13E115A0D7B}"/>
    <hyperlink ref="F1186" r:id="rId2230" display="https://finance.yahoo.com/quote/AMZN/options/?straddle=false&amp;strike=195&amp;type=all" xr:uid="{57EC5EB9-0C05-4042-BE83-489B92D0086C}"/>
    <hyperlink ref="A1187" r:id="rId2231" display="https://finance.yahoo.com/quote/AMZN260327P00197500/" xr:uid="{97327C7D-9E1A-4E8A-BB38-402093D1423E}"/>
    <hyperlink ref="F1187" r:id="rId2232" display="https://finance.yahoo.com/quote/AMZN/options/?straddle=false&amp;strike=197.5&amp;type=all" xr:uid="{0D78F449-5697-41E1-A8D1-2BC5F2951C5B}"/>
    <hyperlink ref="A1188" r:id="rId2233" display="https://finance.yahoo.com/quote/AMZN260327P00200000/" xr:uid="{5F12EFD8-CF1F-4C26-AEC3-2515C4A77D12}"/>
    <hyperlink ref="F1188" r:id="rId2234" display="https://finance.yahoo.com/quote/AMZN/options/?straddle=false&amp;strike=200&amp;type=all" xr:uid="{B8E7D508-1ABF-40D2-9692-13C4432251F5}"/>
    <hyperlink ref="A1189" r:id="rId2235" display="https://finance.yahoo.com/quote/AMZN260327P00202500/" xr:uid="{66710FD0-BCE9-43D6-A005-86F15B76F5FF}"/>
    <hyperlink ref="F1189" r:id="rId2236" display="https://finance.yahoo.com/quote/AMZN/options/?straddle=false&amp;strike=202.5&amp;type=all" xr:uid="{0F8916AB-359F-4251-9167-7500F26AD400}"/>
    <hyperlink ref="A1190" r:id="rId2237" display="https://finance.yahoo.com/quote/AMZN260327P00205000/" xr:uid="{9DB69762-132B-473F-8CDE-9FACCD2C351C}"/>
    <hyperlink ref="F1190" r:id="rId2238" display="https://finance.yahoo.com/quote/AMZN/options/?straddle=false&amp;strike=205&amp;type=all" xr:uid="{B7A54FAD-29D5-445E-AA65-BAB896CA65EB}"/>
    <hyperlink ref="A1191" r:id="rId2239" display="https://finance.yahoo.com/quote/AMZN260327P00207500/" xr:uid="{CB7B477E-254E-464F-A388-B30D1EF38F7F}"/>
    <hyperlink ref="F1191" r:id="rId2240" display="https://finance.yahoo.com/quote/AMZN/options/?straddle=false&amp;strike=207.5&amp;type=all" xr:uid="{F96A2EE1-FCB9-4EA8-ACF3-D5A2145E8DF5}"/>
    <hyperlink ref="A1192" r:id="rId2241" display="https://finance.yahoo.com/quote/AMZN260327P00210000/" xr:uid="{C0341C7D-E7AC-48CC-BF3D-D55774B76A59}"/>
    <hyperlink ref="F1192" r:id="rId2242" display="https://finance.yahoo.com/quote/AMZN/options/?straddle=false&amp;strike=210&amp;type=all" xr:uid="{055ACC78-F3E4-42ED-BA3D-E4CD2B9A21C1}"/>
    <hyperlink ref="A1193" r:id="rId2243" display="https://finance.yahoo.com/quote/AMZN260327P00212500/" xr:uid="{827DE851-83C2-4AFD-BCC7-E94A445EDD05}"/>
    <hyperlink ref="F1193" r:id="rId2244" display="https://finance.yahoo.com/quote/AMZN/options/?straddle=false&amp;strike=212.5&amp;type=all" xr:uid="{943AF43E-A344-4828-8D7A-E8EC96BBB08F}"/>
    <hyperlink ref="A1194" r:id="rId2245" display="https://finance.yahoo.com/quote/AMZN260327P00215000/" xr:uid="{828E191C-E903-48A7-8DED-58C445D725E1}"/>
    <hyperlink ref="F1194" r:id="rId2246" display="https://finance.yahoo.com/quote/AMZN/options/?straddle=false&amp;strike=215&amp;type=all" xr:uid="{802A43EC-A76B-4766-ABAE-8ABAB04C459C}"/>
    <hyperlink ref="A1195" r:id="rId2247" display="https://finance.yahoo.com/quote/AMZN260327P00217500/" xr:uid="{E4A52D36-9F39-4FCB-A586-43A139447363}"/>
    <hyperlink ref="F1195" r:id="rId2248" display="https://finance.yahoo.com/quote/AMZN/options/?straddle=false&amp;strike=217.5&amp;type=all" xr:uid="{77589371-8740-41CD-AD92-5A85E8BF421B}"/>
    <hyperlink ref="A1196" r:id="rId2249" display="https://finance.yahoo.com/quote/AMZN260327P00220000/" xr:uid="{FE9A3A8F-2D78-4776-89F4-0EC687CA1C7D}"/>
    <hyperlink ref="F1196" r:id="rId2250" display="https://finance.yahoo.com/quote/AMZN/options/?straddle=false&amp;strike=220&amp;type=all" xr:uid="{79B32B96-213F-4B87-A67A-0AC183AAE11F}"/>
    <hyperlink ref="A1197" r:id="rId2251" display="https://finance.yahoo.com/quote/AMZN260327P00222500/" xr:uid="{E061469B-3349-4D74-9872-8537C86EB481}"/>
    <hyperlink ref="F1197" r:id="rId2252" display="https://finance.yahoo.com/quote/AMZN/options/?straddle=false&amp;strike=222.5&amp;type=all" xr:uid="{C5257384-53D7-4007-970D-6D726087E038}"/>
    <hyperlink ref="A1198" r:id="rId2253" display="https://finance.yahoo.com/quote/AMZN260327P00225000/" xr:uid="{F3EACFE7-24AF-4603-9B86-52CFA989958B}"/>
    <hyperlink ref="F1198" r:id="rId2254" display="https://finance.yahoo.com/quote/AMZN/options/?straddle=false&amp;strike=225&amp;type=all" xr:uid="{FD8650B8-C5E1-48D6-AB70-94A5792ADFA6}"/>
    <hyperlink ref="A1199" r:id="rId2255" display="https://finance.yahoo.com/quote/AMZN260327P00227500/" xr:uid="{5B622719-8BA5-4141-94D5-7FA5D1918424}"/>
    <hyperlink ref="F1199" r:id="rId2256" display="https://finance.yahoo.com/quote/AMZN/options/?straddle=false&amp;strike=227.5&amp;type=all" xr:uid="{F8650099-1207-42BA-A3AC-76F80C62B4D9}"/>
    <hyperlink ref="A1200" r:id="rId2257" display="https://finance.yahoo.com/quote/AMZN260327P00230000/" xr:uid="{A1FE7723-A9DB-40D7-87D6-C1E56D68731D}"/>
    <hyperlink ref="F1200" r:id="rId2258" display="https://finance.yahoo.com/quote/AMZN/options/?straddle=false&amp;strike=230&amp;type=all" xr:uid="{AB816A44-47B9-43B7-AD32-F00329B2F00B}"/>
    <hyperlink ref="A1201" r:id="rId2259" display="https://finance.yahoo.com/quote/AMZN260327P00232500/" xr:uid="{E155B254-0583-42B6-820A-9A7053B132BC}"/>
    <hyperlink ref="F1201" r:id="rId2260" display="https://finance.yahoo.com/quote/AMZN/options/?straddle=false&amp;strike=232.5&amp;type=all" xr:uid="{4CE0CDD8-172E-464B-8243-E95AE375F4E8}"/>
    <hyperlink ref="A1202" r:id="rId2261" display="https://finance.yahoo.com/quote/AMZN260327P00235000/" xr:uid="{35260780-E039-4997-A83A-EC74AEC29001}"/>
    <hyperlink ref="F1202" r:id="rId2262" display="https://finance.yahoo.com/quote/AMZN/options/?straddle=false&amp;strike=235&amp;type=all" xr:uid="{7BD795A5-1468-4480-B5C9-4A301194F54C}"/>
    <hyperlink ref="A1203" r:id="rId2263" display="https://finance.yahoo.com/quote/AMZN260327P00237500/" xr:uid="{D23134BD-FAD3-4929-A677-1C9C5FA518E6}"/>
    <hyperlink ref="F1203" r:id="rId2264" display="https://finance.yahoo.com/quote/AMZN/options/?straddle=false&amp;strike=237.5&amp;type=all" xr:uid="{F5F4F8F6-87AD-4A96-BEC9-9028241311F7}"/>
    <hyperlink ref="A1204" r:id="rId2265" display="https://finance.yahoo.com/quote/AMZN260327P00240000/" xr:uid="{8EAA636C-36B0-4DCD-A114-3EEA66BDCA61}"/>
    <hyperlink ref="F1204" r:id="rId2266" display="https://finance.yahoo.com/quote/AMZN/options/?straddle=false&amp;strike=240&amp;type=all" xr:uid="{46DE5044-425E-4126-A1FC-45D14689EE7B}"/>
    <hyperlink ref="A1205" r:id="rId2267" display="https://finance.yahoo.com/quote/AMZN260327P00245000/" xr:uid="{43BBC7E6-339A-4D01-906D-429A7B0F26E4}"/>
    <hyperlink ref="F1205" r:id="rId2268" display="https://finance.yahoo.com/quote/AMZN/options/?straddle=false&amp;strike=245&amp;type=all" xr:uid="{9CF87207-E191-49D5-A064-AF1A90067DDD}"/>
    <hyperlink ref="A1206" r:id="rId2269" display="https://finance.yahoo.com/quote/AMZN260327P00250000/" xr:uid="{8095F444-5E15-49B2-8908-DC7D250C695E}"/>
    <hyperlink ref="F1206" r:id="rId2270" display="https://finance.yahoo.com/quote/AMZN/options/?straddle=false&amp;strike=250&amp;type=all" xr:uid="{D15B3D04-A9B7-41AE-B408-966D19B13E69}"/>
    <hyperlink ref="A1207" r:id="rId2271" display="https://finance.yahoo.com/quote/AMZN260327P00255000/" xr:uid="{4ADAABD7-16A5-4CE8-926D-DFB876036635}"/>
    <hyperlink ref="F1207" r:id="rId2272" display="https://finance.yahoo.com/quote/AMZN/options/?straddle=false&amp;strike=255&amp;type=all" xr:uid="{84DEF1A1-9115-437E-84A6-1B9C75709ECC}"/>
    <hyperlink ref="A1208" r:id="rId2273" display="https://finance.yahoo.com/quote/AMZN260327P00260000/" xr:uid="{54F98EAB-300F-4029-81BF-19CFECFBA5C6}"/>
    <hyperlink ref="F1208" r:id="rId2274" display="https://finance.yahoo.com/quote/AMZN/options/?straddle=false&amp;strike=260&amp;type=all" xr:uid="{2343A210-A650-47E6-9990-0A192C3549FC}"/>
    <hyperlink ref="A1209" r:id="rId2275" display="https://finance.yahoo.com/quote/AMZN260327P00265000/" xr:uid="{2C8C5905-87A5-42E9-8D14-FBBEA781F9A5}"/>
    <hyperlink ref="F1209" r:id="rId2276" display="https://finance.yahoo.com/quote/AMZN/options/?straddle=false&amp;strike=265&amp;type=all" xr:uid="{58E2C1B6-4F64-4878-90AC-F3B15820ACB2}"/>
    <hyperlink ref="A1210" r:id="rId2277" display="https://finance.yahoo.com/quote/AMZN260327C00125000/" xr:uid="{B13BEC17-EEE2-4434-A44D-430A7BFDC44C}"/>
    <hyperlink ref="F1210" r:id="rId2278" display="https://finance.yahoo.com/quote/AMZN/options/?straddle=false&amp;strike=125&amp;type=all" xr:uid="{AAF1FACB-5925-4400-8EE5-365A12D0F88D}"/>
    <hyperlink ref="A1211" r:id="rId2279" display="https://finance.yahoo.com/quote/AMZN260327C00130000/" xr:uid="{0E6CD2B1-C0ED-4DBF-8582-B8774044B966}"/>
    <hyperlink ref="F1211" r:id="rId2280" display="https://finance.yahoo.com/quote/AMZN/options/?straddle=false&amp;strike=130&amp;type=all" xr:uid="{580D25FE-23A3-44B0-9E5B-5FA829800717}"/>
    <hyperlink ref="A1212" r:id="rId2281" display="https://finance.yahoo.com/quote/AMZN260327C00135000/" xr:uid="{13EB5C4B-5987-42F0-BE7E-27935983FA2E}"/>
    <hyperlink ref="F1212" r:id="rId2282" display="https://finance.yahoo.com/quote/AMZN/options/?straddle=false&amp;strike=135&amp;type=all" xr:uid="{6B7E2D03-5E48-4BEA-947B-2AD99C4FB223}"/>
    <hyperlink ref="A1213" r:id="rId2283" display="https://finance.yahoo.com/quote/AMZN260327C00140000/" xr:uid="{B23AAE9D-EA93-4F2D-9302-3985EDDD485D}"/>
    <hyperlink ref="F1213" r:id="rId2284" display="https://finance.yahoo.com/quote/AMZN/options/?straddle=false&amp;strike=140&amp;type=all" xr:uid="{6D33667A-F025-429E-A5D7-A2F07CD78448}"/>
    <hyperlink ref="A1214" r:id="rId2285" display="https://finance.yahoo.com/quote/AMZN260327C00145000/" xr:uid="{16755BB1-36D1-4898-9863-815E63FE22B2}"/>
    <hyperlink ref="F1214" r:id="rId2286" display="https://finance.yahoo.com/quote/AMZN/options/?straddle=false&amp;strike=145&amp;type=all" xr:uid="{86C2795A-254A-4204-AF8A-9C90DF699D02}"/>
    <hyperlink ref="A1215" r:id="rId2287" display="https://finance.yahoo.com/quote/AMZN260327C00150000/" xr:uid="{425927BB-FCC0-408D-A798-33CA121210E4}"/>
    <hyperlink ref="F1215" r:id="rId2288" display="https://finance.yahoo.com/quote/AMZN/options/?straddle=false&amp;strike=150&amp;type=all" xr:uid="{21F2EC93-733C-4300-86D5-34FD14BA96F3}"/>
    <hyperlink ref="A1216" r:id="rId2289" display="https://finance.yahoo.com/quote/AMZN260327C00155000/" xr:uid="{53F0C90D-F399-4238-9B0B-84F7FF67735C}"/>
    <hyperlink ref="F1216" r:id="rId2290" display="https://finance.yahoo.com/quote/AMZN/options/?straddle=false&amp;strike=155&amp;type=all" xr:uid="{1CEB0E7A-5515-40F0-8278-3E40F4142CC1}"/>
    <hyperlink ref="A1217" r:id="rId2291" display="https://finance.yahoo.com/quote/AMZN260327C00160000/" xr:uid="{11F32D5C-CE7A-4DB1-9155-F5338156380F}"/>
    <hyperlink ref="F1217" r:id="rId2292" display="https://finance.yahoo.com/quote/AMZN/options/?straddle=false&amp;strike=160&amp;type=all" xr:uid="{52A7302A-3F20-40C3-AC98-139E67E1F318}"/>
    <hyperlink ref="A1218" r:id="rId2293" display="https://finance.yahoo.com/quote/AMZN260327C00165000/" xr:uid="{137F602A-4442-4AED-8F2B-CB61800430F6}"/>
    <hyperlink ref="F1218" r:id="rId2294" display="https://finance.yahoo.com/quote/AMZN/options/?straddle=false&amp;strike=165&amp;type=all" xr:uid="{1DB8E8D2-B725-4990-A8C7-1B1F39754918}"/>
    <hyperlink ref="A1219" r:id="rId2295" display="https://finance.yahoo.com/quote/AMZN260327C00170000/" xr:uid="{9EE3D9C6-7A25-407B-AF6F-8B5E2585C758}"/>
    <hyperlink ref="F1219" r:id="rId2296" display="https://finance.yahoo.com/quote/AMZN/options/?straddle=false&amp;strike=170&amp;type=all" xr:uid="{9A7C5C6E-FA94-4C03-BF18-A645B61CE39C}"/>
    <hyperlink ref="A1220" r:id="rId2297" display="https://finance.yahoo.com/quote/AMZN260327C00175000/" xr:uid="{798C8883-5030-4C3A-AC34-17C0E252E853}"/>
    <hyperlink ref="F1220" r:id="rId2298" display="https://finance.yahoo.com/quote/AMZN/options/?straddle=false&amp;strike=175&amp;type=all" xr:uid="{6B24F1DB-8F42-4634-85E0-28F981BDB794}"/>
    <hyperlink ref="A1221" r:id="rId2299" display="https://finance.yahoo.com/quote/AMZN260327C00177500/" xr:uid="{4BC080FC-D7D7-4EFD-987B-3FA15D132CF0}"/>
    <hyperlink ref="F1221" r:id="rId2300" display="https://finance.yahoo.com/quote/AMZN/options/?straddle=false&amp;strike=177.5&amp;type=all" xr:uid="{412B376B-487E-4D70-A253-3F2F34A97C43}"/>
    <hyperlink ref="A1222" r:id="rId2301" display="https://finance.yahoo.com/quote/AMZN260327C00180000/" xr:uid="{5624F786-D786-43F7-9C86-2FF7952BCB29}"/>
    <hyperlink ref="F1222" r:id="rId2302" display="https://finance.yahoo.com/quote/AMZN/options/?straddle=false&amp;strike=180&amp;type=all" xr:uid="{30DED8B5-C884-49E1-A960-E550A48A74CE}"/>
    <hyperlink ref="A1223" r:id="rId2303" display="https://finance.yahoo.com/quote/AMZN260327C00182500/" xr:uid="{5E4F98A8-E9F1-4B39-B874-3FBBC56E4879}"/>
    <hyperlink ref="F1223" r:id="rId2304" display="https://finance.yahoo.com/quote/AMZN/options/?straddle=false&amp;strike=182.5&amp;type=all" xr:uid="{06419767-5EFF-48A9-9B64-336F5CDABA44}"/>
    <hyperlink ref="A1224" r:id="rId2305" display="https://finance.yahoo.com/quote/AMZN260327C00185000/" xr:uid="{7CABAAD9-542B-4E4F-8319-6DD43F6E2588}"/>
    <hyperlink ref="F1224" r:id="rId2306" display="https://finance.yahoo.com/quote/AMZN/options/?straddle=false&amp;strike=185&amp;type=all" xr:uid="{A9007C36-868C-4A93-9686-7FA181F0004D}"/>
    <hyperlink ref="A1225" r:id="rId2307" display="https://finance.yahoo.com/quote/AMZN260327C00187500/" xr:uid="{14251025-DD87-414E-81D5-EC6A637B2164}"/>
    <hyperlink ref="F1225" r:id="rId2308" display="https://finance.yahoo.com/quote/AMZN/options/?straddle=false&amp;strike=187.5&amp;type=all" xr:uid="{A73226E5-2646-4265-B640-32DE3B917E05}"/>
    <hyperlink ref="A1226" r:id="rId2309" display="https://finance.yahoo.com/quote/AMZN260327C00190000/" xr:uid="{780BFED5-D54D-4539-8DFB-6D63962F25AF}"/>
    <hyperlink ref="F1226" r:id="rId2310" display="https://finance.yahoo.com/quote/AMZN/options/?straddle=false&amp;strike=190&amp;type=all" xr:uid="{2FF74CE6-2A66-406F-A7CA-3BCA121A7793}"/>
    <hyperlink ref="A1227" r:id="rId2311" display="https://finance.yahoo.com/quote/AMZN260327C00192500/" xr:uid="{62A49E99-B11C-412F-9F06-9AF1BFEE67B7}"/>
    <hyperlink ref="F1227" r:id="rId2312" display="https://finance.yahoo.com/quote/AMZN/options/?straddle=false&amp;strike=192.5&amp;type=all" xr:uid="{F3B1DC91-487D-4867-91B5-3BF63A884D72}"/>
    <hyperlink ref="A1228" r:id="rId2313" display="https://finance.yahoo.com/quote/AMZN260327C00195000/" xr:uid="{EDC4366D-8AF6-4BE7-ACF5-E0EAE240E212}"/>
    <hyperlink ref="F1228" r:id="rId2314" display="https://finance.yahoo.com/quote/AMZN/options/?straddle=false&amp;strike=195&amp;type=all" xr:uid="{2FA139C7-FE2B-4FDC-9177-91557D4F3AAF}"/>
    <hyperlink ref="A1229" r:id="rId2315" display="https://finance.yahoo.com/quote/AMZN260327C00197500/" xr:uid="{86F73342-B918-4718-9B05-9318D00D08CE}"/>
    <hyperlink ref="F1229" r:id="rId2316" display="https://finance.yahoo.com/quote/AMZN/options/?straddle=false&amp;strike=197.5&amp;type=all" xr:uid="{95F3A785-987B-4BC4-9F6F-2DC477A1105E}"/>
    <hyperlink ref="A1230" r:id="rId2317" display="https://finance.yahoo.com/quote/AMZN260327C00200000/" xr:uid="{929902A3-407C-4D8D-B2DB-EC2A139FCD50}"/>
    <hyperlink ref="F1230" r:id="rId2318" display="https://finance.yahoo.com/quote/AMZN/options/?straddle=false&amp;strike=200&amp;type=all" xr:uid="{7F23FA93-06E1-4077-AC53-34AE154039D3}"/>
    <hyperlink ref="A1231" r:id="rId2319" display="https://finance.yahoo.com/quote/AMZN260327C00202500/" xr:uid="{2D76AADF-9BC0-40B9-9571-63631900BF2A}"/>
    <hyperlink ref="F1231" r:id="rId2320" display="https://finance.yahoo.com/quote/AMZN/options/?straddle=false&amp;strike=202.5&amp;type=all" xr:uid="{A60B687E-94E4-413D-A5D8-4E50DD56970A}"/>
    <hyperlink ref="A1232" r:id="rId2321" display="https://finance.yahoo.com/quote/AMZN260327C00205000/" xr:uid="{824A7D77-F9B2-4A44-AA7A-0C23934D70F6}"/>
    <hyperlink ref="F1232" r:id="rId2322" display="https://finance.yahoo.com/quote/AMZN/options/?straddle=false&amp;strike=205&amp;type=all" xr:uid="{533C03C4-B953-407F-9DB1-C7D46FB7D0A1}"/>
    <hyperlink ref="A1233" r:id="rId2323" display="https://finance.yahoo.com/quote/AMZN260327C00207500/" xr:uid="{7CDD3D31-5876-4791-9239-7ABF741A7C85}"/>
    <hyperlink ref="F1233" r:id="rId2324" display="https://finance.yahoo.com/quote/AMZN/options/?straddle=false&amp;strike=207.5&amp;type=all" xr:uid="{56AE8BA5-6219-41DD-B8F5-B622F9EA9CFB}"/>
    <hyperlink ref="A1234" r:id="rId2325" display="https://finance.yahoo.com/quote/AMZN260327C00210000/" xr:uid="{01C64720-B86A-41DE-B584-AF807D6C2623}"/>
    <hyperlink ref="F1234" r:id="rId2326" display="https://finance.yahoo.com/quote/AMZN/options/?straddle=false&amp;strike=210&amp;type=all" xr:uid="{BCDF5189-30AC-479B-BA35-0EC9B2672FA9}"/>
    <hyperlink ref="A1235" r:id="rId2327" display="https://finance.yahoo.com/quote/AMZN260327C00212500/" xr:uid="{3906D8E7-B9A6-452A-8637-E3EF4115B5CF}"/>
    <hyperlink ref="F1235" r:id="rId2328" display="https://finance.yahoo.com/quote/AMZN/options/?straddle=false&amp;strike=212.5&amp;type=all" xr:uid="{65680729-95C8-43F9-A561-2822918BE540}"/>
    <hyperlink ref="A1236" r:id="rId2329" display="https://finance.yahoo.com/quote/AMZN260327C00215000/" xr:uid="{C138B11C-03FF-4295-86FD-2D7068C5CCED}"/>
    <hyperlink ref="F1236" r:id="rId2330" display="https://finance.yahoo.com/quote/AMZN/options/?straddle=false&amp;strike=215&amp;type=all" xr:uid="{68506AC6-11EC-4C44-B0D1-590E9BC7B1BA}"/>
    <hyperlink ref="A1237" r:id="rId2331" display="https://finance.yahoo.com/quote/AMZN260327C00217500/" xr:uid="{4DA32B12-EB22-4849-BA27-326632D283FD}"/>
    <hyperlink ref="F1237" r:id="rId2332" display="https://finance.yahoo.com/quote/AMZN/options/?straddle=false&amp;strike=217.5&amp;type=all" xr:uid="{A6D46803-A72C-4334-8875-44AAB24CFEA7}"/>
    <hyperlink ref="A1238" r:id="rId2333" display="https://finance.yahoo.com/quote/AMZN260327C00220000/" xr:uid="{EFA9FBB8-B90D-42A2-8B4F-7F60F041A3BE}"/>
    <hyperlink ref="F1238" r:id="rId2334" display="https://finance.yahoo.com/quote/AMZN/options/?straddle=false&amp;strike=220&amp;type=all" xr:uid="{946A73CB-EC3E-4891-94FD-0942716FC1C3}"/>
    <hyperlink ref="A1239" r:id="rId2335" display="https://finance.yahoo.com/quote/AMZN260327C00222500/" xr:uid="{537F6CE8-640C-43C4-980F-39AD23BE05E2}"/>
    <hyperlink ref="F1239" r:id="rId2336" display="https://finance.yahoo.com/quote/AMZN/options/?straddle=false&amp;strike=222.5&amp;type=all" xr:uid="{6A7C912F-94C9-4D0C-9C59-23004C6237E4}"/>
    <hyperlink ref="A1240" r:id="rId2337" display="https://finance.yahoo.com/quote/AMZN260327C00225000/" xr:uid="{9A19D303-32B8-46C9-81BD-07F54F130981}"/>
    <hyperlink ref="F1240" r:id="rId2338" display="https://finance.yahoo.com/quote/AMZN/options/?straddle=false&amp;strike=225&amp;type=all" xr:uid="{DB94D274-7119-4D93-A7F2-EEEC826C6E70}"/>
    <hyperlink ref="A1241" r:id="rId2339" display="https://finance.yahoo.com/quote/AMZN260327C00227500/" xr:uid="{7C27EBA4-B2B4-483C-A4B0-D5D90144312C}"/>
    <hyperlink ref="F1241" r:id="rId2340" display="https://finance.yahoo.com/quote/AMZN/options/?straddle=false&amp;strike=227.5&amp;type=all" xr:uid="{4A14BF51-4CF3-405E-AFA2-455E81DFC09D}"/>
    <hyperlink ref="A1242" r:id="rId2341" display="https://finance.yahoo.com/quote/AMZN260327C00230000/" xr:uid="{4693BCB1-56F1-420A-8F0F-AB723FE2804C}"/>
    <hyperlink ref="F1242" r:id="rId2342" display="https://finance.yahoo.com/quote/AMZN/options/?straddle=false&amp;strike=230&amp;type=all" xr:uid="{302C38DA-D51A-4992-8AA0-293B397C77BA}"/>
    <hyperlink ref="A1243" r:id="rId2343" display="https://finance.yahoo.com/quote/AMZN260327C00232500/" xr:uid="{5DE7D08B-739D-4199-B345-9DAF0B96DA5B}"/>
    <hyperlink ref="F1243" r:id="rId2344" display="https://finance.yahoo.com/quote/AMZN/options/?straddle=false&amp;strike=232.5&amp;type=all" xr:uid="{FA7C6F48-B920-4146-A8F2-6D016F7BFD99}"/>
    <hyperlink ref="A1244" r:id="rId2345" display="https://finance.yahoo.com/quote/AMZN260327C00235000/" xr:uid="{92E3A6D3-AB73-4DCF-B6C0-C19BAA2086F5}"/>
    <hyperlink ref="F1244" r:id="rId2346" display="https://finance.yahoo.com/quote/AMZN/options/?straddle=false&amp;strike=235&amp;type=all" xr:uid="{79C605CD-99E0-4BD3-8ADD-49694A603C0F}"/>
    <hyperlink ref="A1245" r:id="rId2347" display="https://finance.yahoo.com/quote/AMZN260327C00237500/" xr:uid="{82DA116B-D57A-4AF0-8EA2-03094B07F7F5}"/>
    <hyperlink ref="F1245" r:id="rId2348" display="https://finance.yahoo.com/quote/AMZN/options/?straddle=false&amp;strike=237.5&amp;type=all" xr:uid="{999AAB17-A2B0-4672-A614-64FC60E03CD2}"/>
    <hyperlink ref="A1246" r:id="rId2349" display="https://finance.yahoo.com/quote/AMZN260327C00240000/" xr:uid="{4CDFAB37-14A8-4020-9D9F-60CAB5EF289A}"/>
    <hyperlink ref="F1246" r:id="rId2350" display="https://finance.yahoo.com/quote/AMZN/options/?straddle=false&amp;strike=240&amp;type=all" xr:uid="{5AD52A67-6CF9-473B-9065-B65CAEF164E1}"/>
    <hyperlink ref="A1247" r:id="rId2351" display="https://finance.yahoo.com/quote/AMZN260327C00245000/" xr:uid="{3B76144E-9C1E-4B73-88EB-B98CF0CA0AA6}"/>
    <hyperlink ref="F1247" r:id="rId2352" display="https://finance.yahoo.com/quote/AMZN/options/?straddle=false&amp;strike=245&amp;type=all" xr:uid="{689F7C95-DFEA-4B50-B5BF-652AC9E3EA01}"/>
    <hyperlink ref="A1248" r:id="rId2353" display="https://finance.yahoo.com/quote/AMZN260327C00250000/" xr:uid="{6371E1DE-BFCC-429D-8084-99D4E67ED767}"/>
    <hyperlink ref="F1248" r:id="rId2354" display="https://finance.yahoo.com/quote/AMZN/options/?straddle=false&amp;strike=250&amp;type=all" xr:uid="{38DB3237-CCB9-4AB1-AD99-91A9D3445791}"/>
    <hyperlink ref="A1249" r:id="rId2355" display="https://finance.yahoo.com/quote/AMZN260327C00255000/" xr:uid="{C7E1DE68-D7F2-481A-AF85-C65589AA50D1}"/>
    <hyperlink ref="F1249" r:id="rId2356" display="https://finance.yahoo.com/quote/AMZN/options/?straddle=false&amp;strike=255&amp;type=all" xr:uid="{1F360E02-0314-4736-8301-4C7029E7F470}"/>
    <hyperlink ref="A1250" r:id="rId2357" display="https://finance.yahoo.com/quote/AMZN260327C00260000/" xr:uid="{44EBD18A-C88C-4142-B2F2-FB1054D4D088}"/>
    <hyperlink ref="F1250" r:id="rId2358" display="https://finance.yahoo.com/quote/AMZN/options/?straddle=false&amp;strike=260&amp;type=all" xr:uid="{D0FCB780-F801-493D-BB30-26EC8351E53C}"/>
    <hyperlink ref="A1251" r:id="rId2359" display="https://finance.yahoo.com/quote/AMZN260327C00265000/" xr:uid="{B1897A3B-09C8-4506-942F-429229C163F6}"/>
    <hyperlink ref="F1251" r:id="rId2360" display="https://finance.yahoo.com/quote/AMZN/options/?straddle=false&amp;strike=265&amp;type=all" xr:uid="{3578AE41-75CE-4A5F-9499-94A99CEF8A16}"/>
    <hyperlink ref="A1252" r:id="rId2361" display="https://finance.yahoo.com/quote/AMZN260327C00270000/" xr:uid="{F79A43BC-DACB-4D2A-B5A0-27E61E9317B1}"/>
    <hyperlink ref="F1252" r:id="rId2362" display="https://finance.yahoo.com/quote/AMZN/options/?straddle=false&amp;strike=270&amp;type=all" xr:uid="{F6826F14-2752-41C1-B633-20303B5EF79E}"/>
    <hyperlink ref="A1253" r:id="rId2363" display="https://finance.yahoo.com/quote/AMZN260327C00275000/" xr:uid="{BE182E11-044E-4C03-B6A6-D3825FBE8FE2}"/>
    <hyperlink ref="F1253" r:id="rId2364" display="https://finance.yahoo.com/quote/AMZN/options/?straddle=false&amp;strike=275&amp;type=all" xr:uid="{7FBC2F31-9047-4D94-9266-1A52009E4CD4}"/>
    <hyperlink ref="A1254" r:id="rId2365" display="https://finance.yahoo.com/quote/AMZN260327C00280000/" xr:uid="{DD8854CC-826F-496C-B262-AA757FE8D886}"/>
    <hyperlink ref="F1254" r:id="rId2366" display="https://finance.yahoo.com/quote/AMZN/options/?straddle=false&amp;strike=280&amp;type=all" xr:uid="{DA3E31F4-4A1F-4589-B356-862295F3BF4D}"/>
    <hyperlink ref="A1255" r:id="rId2367" display="https://finance.yahoo.com/quote/AMZN260327C00285000/" xr:uid="{B067AB00-E441-41A0-9D6E-4FC005368EE0}"/>
    <hyperlink ref="F1255" r:id="rId2368" display="https://finance.yahoo.com/quote/AMZN/options/?straddle=false&amp;strike=285&amp;type=all" xr:uid="{CC7DC67B-7558-4DAA-BDE4-17E67AE364B3}"/>
    <hyperlink ref="A1256" r:id="rId2369" display="https://finance.yahoo.com/quote/AMZN260327C00290000/" xr:uid="{FC968700-D95A-4B8E-8B6E-9B7258A2E686}"/>
    <hyperlink ref="F1256" r:id="rId2370" display="https://finance.yahoo.com/quote/AMZN/options/?straddle=false&amp;strike=290&amp;type=all" xr:uid="{1F208F97-1A08-4DCA-8D94-A00CF629BCEC}"/>
    <hyperlink ref="A1257" r:id="rId2371" display="https://finance.yahoo.com/quote/AMZN260327C00295000/" xr:uid="{A36162C9-65C4-4F43-925D-B98E43F87AA1}"/>
    <hyperlink ref="F1257" r:id="rId2372" display="https://finance.yahoo.com/quote/AMZN/options/?straddle=false&amp;strike=295&amp;type=all" xr:uid="{CC977493-4556-4107-AE0D-0F97BFFEDE28}"/>
    <hyperlink ref="A1258" r:id="rId2373" display="https://finance.yahoo.com/quote/AMZN260327C00300000/" xr:uid="{B38D77A1-804E-4157-AA8F-E0D9EEBC49A5}"/>
    <hyperlink ref="F1258" r:id="rId2374" display="https://finance.yahoo.com/quote/AMZN/options/?straddle=false&amp;strike=300&amp;type=all" xr:uid="{AD008DDB-793F-4F17-B7CD-86FE7DD43E54}"/>
    <hyperlink ref="A1259" r:id="rId2375" display="https://finance.yahoo.com/quote/AMZN260327C00305000/" xr:uid="{FE77F636-1428-4647-9CE4-F0D60DC76389}"/>
    <hyperlink ref="F1259" r:id="rId2376" display="https://finance.yahoo.com/quote/AMZN/options/?straddle=false&amp;strike=305&amp;type=all" xr:uid="{E4C4895F-9348-418E-B5C1-225DAE5550F6}"/>
    <hyperlink ref="A1260" r:id="rId2377" display="https://finance.yahoo.com/quote/AMZN260327C00310000/" xr:uid="{C807CBF7-842F-4333-AADA-57DA131E8918}"/>
    <hyperlink ref="F1260" r:id="rId2378" display="https://finance.yahoo.com/quote/AMZN/options/?straddle=false&amp;strike=310&amp;type=all" xr:uid="{7779E67B-8A8D-48C7-92EA-67F211E6BBDD}"/>
    <hyperlink ref="A1261" r:id="rId2379" display="https://finance.yahoo.com/quote/AMZN260327C00315000/" xr:uid="{15584901-B40E-4C58-B81E-6ADE67D59F18}"/>
    <hyperlink ref="F1261" r:id="rId2380" display="https://finance.yahoo.com/quote/AMZN/options/?straddle=false&amp;strike=315&amp;type=all" xr:uid="{426290B4-5E5E-4FF9-B09C-69F421090D2D}"/>
    <hyperlink ref="A1262" r:id="rId2381" display="https://finance.yahoo.com/quote/AMZN260327C00320000/" xr:uid="{1C278B1F-DE9A-4D65-8109-272C71ADF293}"/>
    <hyperlink ref="F1262" r:id="rId2382" display="https://finance.yahoo.com/quote/AMZN/options/?straddle=false&amp;strike=320&amp;type=all" xr:uid="{16E7B129-B55A-4C5E-9993-B32E9AD36EE8}"/>
    <hyperlink ref="A1263" r:id="rId2383" display="https://finance.yahoo.com/quote/AMZN260327C00325000/" xr:uid="{7D7450CC-5707-45EC-A169-92E47A8F039F}"/>
    <hyperlink ref="F1263" r:id="rId2384" display="https://finance.yahoo.com/quote/AMZN/options/?straddle=false&amp;strike=325&amp;type=all" xr:uid="{ECF04767-6C7F-4FF7-B924-7AA1ACD73A40}"/>
    <hyperlink ref="A1264" r:id="rId2385" display="https://finance.yahoo.com/quote/AMZN260327C00330000/" xr:uid="{C5660627-333D-42DE-A6A2-05A16742E039}"/>
    <hyperlink ref="F1264" r:id="rId2386" display="https://finance.yahoo.com/quote/AMZN/options/?straddle=false&amp;strike=330&amp;type=all" xr:uid="{C36196C6-A7AB-439D-AE70-E543798C87F0}"/>
    <hyperlink ref="A1265" r:id="rId2387" display="https://finance.yahoo.com/quote/AMZN260327C00335000/" xr:uid="{071F009F-82C8-4ADF-B79A-CE340DA0A996}"/>
    <hyperlink ref="F1265" r:id="rId2388" display="https://finance.yahoo.com/quote/AMZN/options/?straddle=false&amp;strike=335&amp;type=all" xr:uid="{BA772803-991E-49AF-99BC-FA39BB0E6D7E}"/>
    <hyperlink ref="A1266" r:id="rId2389" display="https://finance.yahoo.com/quote/AMZN260327P00125000/" xr:uid="{A7F203F3-B67C-4752-A756-4D0AF0A80576}"/>
    <hyperlink ref="F1266" r:id="rId2390" display="https://finance.yahoo.com/quote/AMZN/options/?straddle=false&amp;strike=125&amp;type=all" xr:uid="{31C46C0B-83BF-4493-9943-22BE1838F249}"/>
    <hyperlink ref="A1267" r:id="rId2391" display="https://finance.yahoo.com/quote/AMZN260327P00130000/" xr:uid="{15391D51-56AC-44B0-9FD0-2FEFD9222579}"/>
    <hyperlink ref="F1267" r:id="rId2392" display="https://finance.yahoo.com/quote/AMZN/options/?straddle=false&amp;strike=130&amp;type=all" xr:uid="{9E6A48AB-9206-417F-9819-BE07ABD2B955}"/>
    <hyperlink ref="A1268" r:id="rId2393" display="https://finance.yahoo.com/quote/AMZN260327P00135000/" xr:uid="{91132E79-4567-42F4-BD2E-CB5DBB482760}"/>
    <hyperlink ref="F1268" r:id="rId2394" display="https://finance.yahoo.com/quote/AMZN/options/?straddle=false&amp;strike=135&amp;type=all" xr:uid="{1E9218A9-D947-4064-AA38-D4BD71BF7F5F}"/>
    <hyperlink ref="A1269" r:id="rId2395" display="https://finance.yahoo.com/quote/AMZN260327P00140000/" xr:uid="{E458E5A1-0877-46B1-AEC4-E120D35E2F9F}"/>
    <hyperlink ref="F1269" r:id="rId2396" display="https://finance.yahoo.com/quote/AMZN/options/?straddle=false&amp;strike=140&amp;type=all" xr:uid="{8C97B7CF-7476-4535-A18A-D014B5CE2A6A}"/>
    <hyperlink ref="A1270" r:id="rId2397" display="https://finance.yahoo.com/quote/AMZN260327P00145000/" xr:uid="{C1EC67D8-FABD-47BE-B2BD-0FE2F415E6BF}"/>
    <hyperlink ref="F1270" r:id="rId2398" display="https://finance.yahoo.com/quote/AMZN/options/?straddle=false&amp;strike=145&amp;type=all" xr:uid="{891A92B5-CE8E-418A-BE03-17EC2AF72BA4}"/>
    <hyperlink ref="A1271" r:id="rId2399" display="https://finance.yahoo.com/quote/AMZN260327P00150000/" xr:uid="{006D3166-511A-4B90-A3C0-5D6148DA87C5}"/>
    <hyperlink ref="F1271" r:id="rId2400" display="https://finance.yahoo.com/quote/AMZN/options/?straddle=false&amp;strike=150&amp;type=all" xr:uid="{ED1948F7-3279-499B-8CD1-C3FD269E1600}"/>
    <hyperlink ref="A1272" r:id="rId2401" display="https://finance.yahoo.com/quote/AMZN260327P00155000/" xr:uid="{579444D3-7C36-47C1-8FC1-F0DE75575CFF}"/>
    <hyperlink ref="F1272" r:id="rId2402" display="https://finance.yahoo.com/quote/AMZN/options/?straddle=false&amp;strike=155&amp;type=all" xr:uid="{88CBC63E-4646-4127-8D10-3ED63D9915EE}"/>
    <hyperlink ref="A1273" r:id="rId2403" display="https://finance.yahoo.com/quote/AMZN260327P00160000/" xr:uid="{D0FC93C5-EA7A-45E6-9403-12F2FA138436}"/>
    <hyperlink ref="F1273" r:id="rId2404" display="https://finance.yahoo.com/quote/AMZN/options/?straddle=false&amp;strike=160&amp;type=all" xr:uid="{18CAFDA6-91E8-4373-B08C-C2C11AAAAE23}"/>
    <hyperlink ref="A1274" r:id="rId2405" display="https://finance.yahoo.com/quote/AMZN260327P00165000/" xr:uid="{488A2784-9B8C-441C-87DE-1687E9FE45B8}"/>
    <hyperlink ref="F1274" r:id="rId2406" display="https://finance.yahoo.com/quote/AMZN/options/?straddle=false&amp;strike=165&amp;type=all" xr:uid="{5C9C87D3-C0C4-43B6-A6C7-607D7C6ADBBE}"/>
    <hyperlink ref="A1275" r:id="rId2407" display="https://finance.yahoo.com/quote/AMZN260327P00170000/" xr:uid="{7FAE5B45-6030-49B2-A290-8526E1860AD6}"/>
    <hyperlink ref="F1275" r:id="rId2408" display="https://finance.yahoo.com/quote/AMZN/options/?straddle=false&amp;strike=170&amp;type=all" xr:uid="{56C82D7D-2BEE-41FF-B671-0FFDCB99ACA7}"/>
    <hyperlink ref="A1276" r:id="rId2409" display="https://finance.yahoo.com/quote/AMZN260327P00175000/" xr:uid="{97424E8C-6071-4CA3-A455-C1FB760314BB}"/>
    <hyperlink ref="F1276" r:id="rId2410" display="https://finance.yahoo.com/quote/AMZN/options/?straddle=false&amp;strike=175&amp;type=all" xr:uid="{817C9204-C635-4959-9E3B-89E396D788C1}"/>
    <hyperlink ref="A1277" r:id="rId2411" display="https://finance.yahoo.com/quote/AMZN260327P00177500/" xr:uid="{83CD6DA2-24F0-484A-B221-552B854DD5F5}"/>
    <hyperlink ref="F1277" r:id="rId2412" display="https://finance.yahoo.com/quote/AMZN/options/?straddle=false&amp;strike=177.5&amp;type=all" xr:uid="{EB24D609-5A0C-4FC3-8B59-0961246F14FE}"/>
    <hyperlink ref="A1278" r:id="rId2413" display="https://finance.yahoo.com/quote/AMZN260327P00180000/" xr:uid="{A713CD94-0C4E-4131-8BCE-5F1297874F42}"/>
    <hyperlink ref="F1278" r:id="rId2414" display="https://finance.yahoo.com/quote/AMZN/options/?straddle=false&amp;strike=180&amp;type=all" xr:uid="{567188DC-50B3-4031-BD77-70CF4F7DE04A}"/>
    <hyperlink ref="A1279" r:id="rId2415" display="https://finance.yahoo.com/quote/AMZN260327P00182500/" xr:uid="{B5A7BF82-7C15-4C7D-AD04-FC39A66F9A74}"/>
    <hyperlink ref="F1279" r:id="rId2416" display="https://finance.yahoo.com/quote/AMZN/options/?straddle=false&amp;strike=182.5&amp;type=all" xr:uid="{F4F3A241-D07E-4458-BFAB-4B464D7305F2}"/>
    <hyperlink ref="A1280" r:id="rId2417" display="https://finance.yahoo.com/quote/AMZN260327P00185000/" xr:uid="{90AFA541-A35A-4A32-B0AA-E1A5B97B9CBD}"/>
    <hyperlink ref="F1280" r:id="rId2418" display="https://finance.yahoo.com/quote/AMZN/options/?straddle=false&amp;strike=185&amp;type=all" xr:uid="{7C6F6198-C336-4F92-90F2-FFAE96DA21EB}"/>
    <hyperlink ref="A1281" r:id="rId2419" display="https://finance.yahoo.com/quote/AMZN260327P00187500/" xr:uid="{01CA2542-7108-4019-9290-FE974A22499F}"/>
    <hyperlink ref="F1281" r:id="rId2420" display="https://finance.yahoo.com/quote/AMZN/options/?straddle=false&amp;strike=187.5&amp;type=all" xr:uid="{BC3FE711-BDD9-4BBE-9D59-0E1173BFFAF9}"/>
    <hyperlink ref="A1282" r:id="rId2421" display="https://finance.yahoo.com/quote/AMZN260327P00190000/" xr:uid="{FDE8A6C9-E182-413F-8C5A-E6DCBD17E460}"/>
    <hyperlink ref="F1282" r:id="rId2422" display="https://finance.yahoo.com/quote/AMZN/options/?straddle=false&amp;strike=190&amp;type=all" xr:uid="{76B9FAAD-373C-46F0-B546-B90AA0982332}"/>
    <hyperlink ref="A1283" r:id="rId2423" display="https://finance.yahoo.com/quote/AMZN260327P00192500/" xr:uid="{3B36ECB5-8F4D-4894-BDA4-0A122279FFF1}"/>
    <hyperlink ref="F1283" r:id="rId2424" display="https://finance.yahoo.com/quote/AMZN/options/?straddle=false&amp;strike=192.5&amp;type=all" xr:uid="{13F2A2B3-760B-4C5E-B7EE-614B43086F92}"/>
    <hyperlink ref="A1284" r:id="rId2425" display="https://finance.yahoo.com/quote/AMZN260327P00195000/" xr:uid="{14925614-1345-4FD5-A4D4-F9F70EA01383}"/>
    <hyperlink ref="F1284" r:id="rId2426" display="https://finance.yahoo.com/quote/AMZN/options/?straddle=false&amp;strike=195&amp;type=all" xr:uid="{100278CE-D453-4A7C-9D07-F71A03A6ED4A}"/>
    <hyperlink ref="A1285" r:id="rId2427" display="https://finance.yahoo.com/quote/AMZN260327P00197500/" xr:uid="{62D24161-16C4-4675-83E9-843971E77547}"/>
    <hyperlink ref="F1285" r:id="rId2428" display="https://finance.yahoo.com/quote/AMZN/options/?straddle=false&amp;strike=197.5&amp;type=all" xr:uid="{C9ADA280-6D77-4313-AC8C-30392839C0C7}"/>
    <hyperlink ref="A1286" r:id="rId2429" display="https://finance.yahoo.com/quote/AMZN260327P00200000/" xr:uid="{6FA17C16-E788-4E34-9A4D-D5F35B4D7272}"/>
    <hyperlink ref="F1286" r:id="rId2430" display="https://finance.yahoo.com/quote/AMZN/options/?straddle=false&amp;strike=200&amp;type=all" xr:uid="{972B0992-30D4-48E7-92A1-646D92E095A2}"/>
    <hyperlink ref="A1287" r:id="rId2431" display="https://finance.yahoo.com/quote/AMZN260327P00202500/" xr:uid="{494DB289-F5DF-4CAC-AE52-103B5BE663A3}"/>
    <hyperlink ref="F1287" r:id="rId2432" display="https://finance.yahoo.com/quote/AMZN/options/?straddle=false&amp;strike=202.5&amp;type=all" xr:uid="{120EADF8-7274-4694-98A2-8CD2A666863C}"/>
    <hyperlink ref="A1288" r:id="rId2433" display="https://finance.yahoo.com/quote/AMZN260327P00205000/" xr:uid="{D9AC6A83-6816-4D7C-9A42-BA9EF63FC9E6}"/>
    <hyperlink ref="F1288" r:id="rId2434" display="https://finance.yahoo.com/quote/AMZN/options/?straddle=false&amp;strike=205&amp;type=all" xr:uid="{B6FA1F95-45C2-427E-B029-047DED2748E8}"/>
    <hyperlink ref="A1289" r:id="rId2435" display="https://finance.yahoo.com/quote/AMZN260327P00207500/" xr:uid="{788194C5-130C-4DE7-81CD-D54906EA1D7A}"/>
    <hyperlink ref="F1289" r:id="rId2436" display="https://finance.yahoo.com/quote/AMZN/options/?straddle=false&amp;strike=207.5&amp;type=all" xr:uid="{1935B829-E5FC-4A5C-914D-C51AA70A45BB}"/>
    <hyperlink ref="A1290" r:id="rId2437" display="https://finance.yahoo.com/quote/AMZN260327P00210000/" xr:uid="{4561CA23-F0B1-4F0D-B8E8-7B70F59A7360}"/>
    <hyperlink ref="F1290" r:id="rId2438" display="https://finance.yahoo.com/quote/AMZN/options/?straddle=false&amp;strike=210&amp;type=all" xr:uid="{7EAE99C0-F4D3-4752-9CA4-D40F30B32F09}"/>
    <hyperlink ref="A1291" r:id="rId2439" display="https://finance.yahoo.com/quote/AMZN260327P00212500/" xr:uid="{25EF4BF1-9F6E-4358-8DBE-EC50EFC26270}"/>
    <hyperlink ref="F1291" r:id="rId2440" display="https://finance.yahoo.com/quote/AMZN/options/?straddle=false&amp;strike=212.5&amp;type=all" xr:uid="{76287AC7-1A3D-4D72-940A-DFC34DD90E1C}"/>
    <hyperlink ref="A1292" r:id="rId2441" display="https://finance.yahoo.com/quote/AMZN260327P00215000/" xr:uid="{44909CBF-64B7-4C94-B1C3-9079346898B3}"/>
    <hyperlink ref="F1292" r:id="rId2442" display="https://finance.yahoo.com/quote/AMZN/options/?straddle=false&amp;strike=215&amp;type=all" xr:uid="{5DC4F75C-A4E8-4EC7-87E8-11F203EA1CEE}"/>
    <hyperlink ref="A1293" r:id="rId2443" display="https://finance.yahoo.com/quote/AMZN260327P00217500/" xr:uid="{E49FCCAD-76E5-43A2-AA67-A6D6F9B2E8A4}"/>
    <hyperlink ref="F1293" r:id="rId2444" display="https://finance.yahoo.com/quote/AMZN/options/?straddle=false&amp;strike=217.5&amp;type=all" xr:uid="{ACC1D76D-D38E-455A-9212-D86E22831F24}"/>
    <hyperlink ref="A1294" r:id="rId2445" display="https://finance.yahoo.com/quote/AMZN260327P00220000/" xr:uid="{35130DFC-5554-4691-8597-196A06ECCFF3}"/>
    <hyperlink ref="F1294" r:id="rId2446" display="https://finance.yahoo.com/quote/AMZN/options/?straddle=false&amp;strike=220&amp;type=all" xr:uid="{6E5F36D6-3755-452C-8BDA-9FF687EABDE4}"/>
    <hyperlink ref="A1295" r:id="rId2447" display="https://finance.yahoo.com/quote/AMZN260327P00222500/" xr:uid="{F72BCC07-4AEB-460E-819D-28723F3DEEAC}"/>
    <hyperlink ref="F1295" r:id="rId2448" display="https://finance.yahoo.com/quote/AMZN/options/?straddle=false&amp;strike=222.5&amp;type=all" xr:uid="{63734FEC-173E-4994-9C9D-8E41730357BE}"/>
    <hyperlink ref="A1296" r:id="rId2449" display="https://finance.yahoo.com/quote/AMZN260327P00225000/" xr:uid="{4F71457F-0179-4362-A729-AE0F8ACF117C}"/>
    <hyperlink ref="F1296" r:id="rId2450" display="https://finance.yahoo.com/quote/AMZN/options/?straddle=false&amp;strike=225&amp;type=all" xr:uid="{4A8D68AF-4824-46E3-BEED-D039F654DB75}"/>
    <hyperlink ref="A1297" r:id="rId2451" display="https://finance.yahoo.com/quote/AMZN260327P00227500/" xr:uid="{B098E981-5BEB-4281-BEF2-C2C83C50642F}"/>
    <hyperlink ref="F1297" r:id="rId2452" display="https://finance.yahoo.com/quote/AMZN/options/?straddle=false&amp;strike=227.5&amp;type=all" xr:uid="{F2EA92DE-4657-448E-8A21-D08AEFC1AF8E}"/>
    <hyperlink ref="A1298" r:id="rId2453" display="https://finance.yahoo.com/quote/AMZN260327P00230000/" xr:uid="{72223BC9-B573-4DB8-A8AD-1DB8D7B07126}"/>
    <hyperlink ref="F1298" r:id="rId2454" display="https://finance.yahoo.com/quote/AMZN/options/?straddle=false&amp;strike=230&amp;type=all" xr:uid="{75958E7C-4990-4A69-BF59-3D27CB1A475A}"/>
    <hyperlink ref="A1299" r:id="rId2455" display="https://finance.yahoo.com/quote/AMZN260327P00232500/" xr:uid="{308E4B35-8495-4D70-BB1B-7A9DDF71B4A1}"/>
    <hyperlink ref="F1299" r:id="rId2456" display="https://finance.yahoo.com/quote/AMZN/options/?straddle=false&amp;strike=232.5&amp;type=all" xr:uid="{DE5A0718-C5A2-493F-8AD6-D5C8D3D7B329}"/>
    <hyperlink ref="A1300" r:id="rId2457" display="https://finance.yahoo.com/quote/AMZN260327P00235000/" xr:uid="{755745C7-12B2-49E3-9FDF-FA584CA7D2D6}"/>
    <hyperlink ref="F1300" r:id="rId2458" display="https://finance.yahoo.com/quote/AMZN/options/?straddle=false&amp;strike=235&amp;type=all" xr:uid="{F3422C79-82F7-4DAB-AA08-0E04DD417AB3}"/>
    <hyperlink ref="A1301" r:id="rId2459" display="https://finance.yahoo.com/quote/AMZN260327P00237500/" xr:uid="{01D18EC2-E051-4EF0-BB9A-6A04ADF55B22}"/>
    <hyperlink ref="F1301" r:id="rId2460" display="https://finance.yahoo.com/quote/AMZN/options/?straddle=false&amp;strike=237.5&amp;type=all" xr:uid="{0CEDDD39-96AF-4A10-9F9A-07B421585DBB}"/>
    <hyperlink ref="A1302" r:id="rId2461" display="https://finance.yahoo.com/quote/AMZN260327P00240000/" xr:uid="{9AA986BC-94BD-43DF-B7EE-23B015478D8D}"/>
    <hyperlink ref="F1302" r:id="rId2462" display="https://finance.yahoo.com/quote/AMZN/options/?straddle=false&amp;strike=240&amp;type=all" xr:uid="{B3FC95A0-3172-4374-B0F0-E08F2685C881}"/>
    <hyperlink ref="A1303" r:id="rId2463" display="https://finance.yahoo.com/quote/AMZN260327P00245000/" xr:uid="{4350048A-5F1B-449F-9134-4D1B366DC94A}"/>
    <hyperlink ref="F1303" r:id="rId2464" display="https://finance.yahoo.com/quote/AMZN/options/?straddle=false&amp;strike=245&amp;type=all" xr:uid="{EB3111D9-BD79-4C36-8C55-5F9F1135368E}"/>
    <hyperlink ref="A1304" r:id="rId2465" display="https://finance.yahoo.com/quote/AMZN260327P00250000/" xr:uid="{7BF4A9A0-010E-49A3-80D8-C5E6B76B5313}"/>
    <hyperlink ref="F1304" r:id="rId2466" display="https://finance.yahoo.com/quote/AMZN/options/?straddle=false&amp;strike=250&amp;type=all" xr:uid="{72193124-B8E4-4B2E-921C-11ED0C306A8B}"/>
    <hyperlink ref="A1305" r:id="rId2467" display="https://finance.yahoo.com/quote/AMZN260327P00255000/" xr:uid="{489B6600-FFD1-4EEE-B09D-0CD6EA41933A}"/>
    <hyperlink ref="F1305" r:id="rId2468" display="https://finance.yahoo.com/quote/AMZN/options/?straddle=false&amp;strike=255&amp;type=all" xr:uid="{0F35CC2D-070A-489C-8230-DE8604BCDA25}"/>
    <hyperlink ref="A1306" r:id="rId2469" display="https://finance.yahoo.com/quote/AMZN260327P00260000/" xr:uid="{F231AE91-62EF-4B68-8AC0-81CE77859592}"/>
    <hyperlink ref="F1306" r:id="rId2470" display="https://finance.yahoo.com/quote/AMZN/options/?straddle=false&amp;strike=260&amp;type=all" xr:uid="{69B1417C-CFE1-4F94-A758-5D1BE430A810}"/>
    <hyperlink ref="A1307" r:id="rId2471" display="https://finance.yahoo.com/quote/AMZN260327P00265000/" xr:uid="{822FDC9A-BBFA-404B-ADD6-81CB6714AB86}"/>
    <hyperlink ref="F1307" r:id="rId2472" display="https://finance.yahoo.com/quote/AMZN/options/?straddle=false&amp;strike=265&amp;type=all" xr:uid="{CCDD767A-E287-4D21-AE83-3D29A396FE65}"/>
    <hyperlink ref="A1308" r:id="rId2473" display="https://finance.yahoo.com/quote/AMZN260410C00120000/" xr:uid="{B565A8A4-00E0-E344-A251-8E4DEBA56638}"/>
    <hyperlink ref="F1308" r:id="rId2474" display="https://finance.yahoo.com/quote/AMZN/options/?straddle=false&amp;strike=120&amp;type=all" xr:uid="{91F77550-C37F-7E41-8EA1-E1162C2FFDD5}"/>
    <hyperlink ref="A1309" r:id="rId2475" display="https://finance.yahoo.com/quote/AMZN260410C00125000/" xr:uid="{07862801-A3B3-1247-89AB-06DD15C1711E}"/>
    <hyperlink ref="F1309" r:id="rId2476" display="https://finance.yahoo.com/quote/AMZN/options/?straddle=false&amp;strike=125&amp;type=all" xr:uid="{EDB09131-10AA-D942-B490-C515DE0172DF}"/>
    <hyperlink ref="A1310" r:id="rId2477" display="https://finance.yahoo.com/quote/AMZN260410C00130000/" xr:uid="{F2F2E5BA-25DC-B940-99B7-5E32BA8E8715}"/>
    <hyperlink ref="F1310" r:id="rId2478" display="https://finance.yahoo.com/quote/AMZN/options/?straddle=false&amp;strike=130&amp;type=all" xr:uid="{2C2D684D-9B40-A148-8D6A-62667DFC8A96}"/>
    <hyperlink ref="A1311" r:id="rId2479" display="https://finance.yahoo.com/quote/AMZN260410C00135000/" xr:uid="{793F731D-C7C1-BC49-AF6F-89DB0E37981E}"/>
    <hyperlink ref="F1311" r:id="rId2480" display="https://finance.yahoo.com/quote/AMZN/options/?straddle=false&amp;strike=135&amp;type=all" xr:uid="{B6B2C7A1-79F8-414B-BB53-82E1A4E28C80}"/>
    <hyperlink ref="A1312" r:id="rId2481" display="https://finance.yahoo.com/quote/AMZN260410C00140000/" xr:uid="{EE566929-DEDA-334F-B5CE-D091C751A1A7}"/>
    <hyperlink ref="F1312" r:id="rId2482" display="https://finance.yahoo.com/quote/AMZN/options/?straddle=false&amp;strike=140&amp;type=all" xr:uid="{F74599A0-53CF-694B-97AD-42AFD7A899D7}"/>
    <hyperlink ref="A1313" r:id="rId2483" display="https://finance.yahoo.com/quote/AMZN260410C00145000/" xr:uid="{F9FAF823-EED2-FB41-A3AB-961DF8B3CFCB}"/>
    <hyperlink ref="F1313" r:id="rId2484" display="https://finance.yahoo.com/quote/AMZN/options/?straddle=false&amp;strike=145&amp;type=all" xr:uid="{894D1D53-B159-9346-BFF3-6E4BDFA241C2}"/>
    <hyperlink ref="A1314" r:id="rId2485" display="https://finance.yahoo.com/quote/AMZN260410C00150000/" xr:uid="{54312D44-AF03-824F-92F8-70C740DEC7B0}"/>
    <hyperlink ref="F1314" r:id="rId2486" display="https://finance.yahoo.com/quote/AMZN/options/?straddle=false&amp;strike=150&amp;type=all" xr:uid="{F515FE88-B2DE-1046-B11A-8A02D00661AF}"/>
    <hyperlink ref="A1315" r:id="rId2487" display="https://finance.yahoo.com/quote/AMZN260410C00155000/" xr:uid="{29554705-79AB-6C45-98F5-05F9E53AB97D}"/>
    <hyperlink ref="F1315" r:id="rId2488" display="https://finance.yahoo.com/quote/AMZN/options/?straddle=false&amp;strike=155&amp;type=all" xr:uid="{9CC9EEB9-2C9F-D84F-B41B-C28F4865D6EB}"/>
    <hyperlink ref="A1316" r:id="rId2489" display="https://finance.yahoo.com/quote/AMZN260410C00160000/" xr:uid="{0422D83A-45C7-B043-A902-BC9E5160DA47}"/>
    <hyperlink ref="F1316" r:id="rId2490" display="https://finance.yahoo.com/quote/AMZN/options/?straddle=false&amp;strike=160&amp;type=all" xr:uid="{BD032991-68F3-C042-96A0-44BF2D487843}"/>
    <hyperlink ref="A1317" r:id="rId2491" display="https://finance.yahoo.com/quote/AMZN260410C00165000/" xr:uid="{97FD7DCD-1320-724B-AE43-54C0CB7090D9}"/>
    <hyperlink ref="F1317" r:id="rId2492" display="https://finance.yahoo.com/quote/AMZN/options/?straddle=false&amp;strike=165&amp;type=all" xr:uid="{25AA15FC-A5FC-0A46-B894-DABA14FE18DF}"/>
    <hyperlink ref="A1318" r:id="rId2493" display="https://finance.yahoo.com/quote/AMZN260410C00170000/" xr:uid="{CB876E83-8C26-0948-A7E2-D85221555DE9}"/>
    <hyperlink ref="F1318" r:id="rId2494" display="https://finance.yahoo.com/quote/AMZN/options/?straddle=false&amp;strike=170&amp;type=all" xr:uid="{CA2C96BA-0241-E94D-9F0F-104AF5ECA502}"/>
    <hyperlink ref="A1319" r:id="rId2495" display="https://finance.yahoo.com/quote/AMZN260410C00172500/" xr:uid="{B4FF4D33-EE86-284D-845B-E2712D17E2D5}"/>
    <hyperlink ref="F1319" r:id="rId2496" display="https://finance.yahoo.com/quote/AMZN/options/?straddle=false&amp;strike=172.5&amp;type=all" xr:uid="{1D793545-DFFB-FE41-85A5-D208F56156F6}"/>
    <hyperlink ref="A1320" r:id="rId2497" display="https://finance.yahoo.com/quote/AMZN260410C00175000/" xr:uid="{7A6DFAD0-D695-DB4B-9956-367A9BF9B31A}"/>
    <hyperlink ref="F1320" r:id="rId2498" display="https://finance.yahoo.com/quote/AMZN/options/?straddle=false&amp;strike=175&amp;type=all" xr:uid="{591ED3D2-F36B-6341-B324-DEA449CBB410}"/>
    <hyperlink ref="A1321" r:id="rId2499" display="https://finance.yahoo.com/quote/AMZN260410C00177500/" xr:uid="{E0A69ACC-1573-EF48-9EB1-2D0169FA0477}"/>
    <hyperlink ref="F1321" r:id="rId2500" display="https://finance.yahoo.com/quote/AMZN/options/?straddle=false&amp;strike=177.5&amp;type=all" xr:uid="{7093BD89-A0D7-E745-9CB0-170D28441DDF}"/>
    <hyperlink ref="A1322" r:id="rId2501" display="https://finance.yahoo.com/quote/AMZN260410C00180000/" xr:uid="{4516B076-2EDE-2642-A078-E98A7DF3D262}"/>
    <hyperlink ref="F1322" r:id="rId2502" display="https://finance.yahoo.com/quote/AMZN/options/?straddle=false&amp;strike=180&amp;type=all" xr:uid="{6FBFD5B8-A37C-764D-91B7-F8F70436113C}"/>
    <hyperlink ref="A1323" r:id="rId2503" display="https://finance.yahoo.com/quote/AMZN260410C00182500/" xr:uid="{89C48FCE-DF0D-2042-A6CD-DBB2161C2143}"/>
    <hyperlink ref="F1323" r:id="rId2504" display="https://finance.yahoo.com/quote/AMZN/options/?straddle=false&amp;strike=182.5&amp;type=all" xr:uid="{05C39739-2529-BB47-873C-FF9316069700}"/>
    <hyperlink ref="A1324" r:id="rId2505" display="https://finance.yahoo.com/quote/AMZN260410C00185000/" xr:uid="{4648FEFD-F33D-9B41-8587-EAFA4E579376}"/>
    <hyperlink ref="F1324" r:id="rId2506" display="https://finance.yahoo.com/quote/AMZN/options/?straddle=false&amp;strike=185&amp;type=all" xr:uid="{BBB5508F-6CC2-A046-8CAE-B45B30C3885C}"/>
    <hyperlink ref="A1325" r:id="rId2507" display="https://finance.yahoo.com/quote/AMZN260410C00187500/" xr:uid="{9F3F9D9A-079F-A347-991D-5D547AAB69E3}"/>
    <hyperlink ref="F1325" r:id="rId2508" display="https://finance.yahoo.com/quote/AMZN/options/?straddle=false&amp;strike=187.5&amp;type=all" xr:uid="{CE6C4F25-AFC6-8A4E-BA73-E883EA592F40}"/>
    <hyperlink ref="A1326" r:id="rId2509" display="https://finance.yahoo.com/quote/AMZN260410C00190000/" xr:uid="{60D13F2C-01DF-5442-84E8-53C98CB249D2}"/>
    <hyperlink ref="F1326" r:id="rId2510" display="https://finance.yahoo.com/quote/AMZN/options/?straddle=false&amp;strike=190&amp;type=all" xr:uid="{DA67A87F-C4A2-304E-894F-79BF5179FE17}"/>
    <hyperlink ref="A1327" r:id="rId2511" display="https://finance.yahoo.com/quote/AMZN260410C00192500/" xr:uid="{3F006B88-B6E2-E84D-BA0E-5C95EE011EBD}"/>
    <hyperlink ref="F1327" r:id="rId2512" display="https://finance.yahoo.com/quote/AMZN/options/?straddle=false&amp;strike=192.5&amp;type=all" xr:uid="{F8188655-F5AB-E049-B952-E195E2F9F3ED}"/>
    <hyperlink ref="A1328" r:id="rId2513" display="https://finance.yahoo.com/quote/AMZN260410C00195000/" xr:uid="{942AD3B3-5F93-C348-9644-EE146098EBEF}"/>
    <hyperlink ref="F1328" r:id="rId2514" display="https://finance.yahoo.com/quote/AMZN/options/?straddle=false&amp;strike=195&amp;type=all" xr:uid="{C9EDAFC1-A07E-044A-9035-A6E69C298236}"/>
    <hyperlink ref="A1329" r:id="rId2515" display="https://finance.yahoo.com/quote/AMZN260410C00197500/" xr:uid="{8726C5CF-CB78-BD43-991E-B822C715943E}"/>
    <hyperlink ref="F1329" r:id="rId2516" display="https://finance.yahoo.com/quote/AMZN/options/?straddle=false&amp;strike=197.5&amp;type=all" xr:uid="{B2474301-415E-7141-A5DE-8A8E08A47627}"/>
    <hyperlink ref="A1330" r:id="rId2517" display="https://finance.yahoo.com/quote/AMZN260410C00200000/" xr:uid="{3C44AF70-FF10-7847-9EE0-E41BCB4BD827}"/>
    <hyperlink ref="F1330" r:id="rId2518" display="https://finance.yahoo.com/quote/AMZN/options/?straddle=false&amp;strike=200&amp;type=all" xr:uid="{AC578732-925C-3B44-861F-1EBB6EB3685B}"/>
    <hyperlink ref="A1331" r:id="rId2519" display="https://finance.yahoo.com/quote/AMZN260410C00202500/" xr:uid="{B09541B1-E63B-8849-8DAD-9F7121691B60}"/>
    <hyperlink ref="F1331" r:id="rId2520" display="https://finance.yahoo.com/quote/AMZN/options/?straddle=false&amp;strike=202.5&amp;type=all" xr:uid="{920D3EF9-41F5-334A-9DCB-61A417946D29}"/>
    <hyperlink ref="A1332" r:id="rId2521" display="https://finance.yahoo.com/quote/AMZN260410C00205000/" xr:uid="{ACA29E98-E7BF-FF4D-951F-8A9E6267A6A2}"/>
    <hyperlink ref="F1332" r:id="rId2522" display="https://finance.yahoo.com/quote/AMZN/options/?straddle=false&amp;strike=205&amp;type=all" xr:uid="{0F588881-6FD5-2345-B5C4-9E03E0B74CAF}"/>
    <hyperlink ref="A1333" r:id="rId2523" display="https://finance.yahoo.com/quote/AMZN260410C00207500/" xr:uid="{9A08AB21-958E-ED4E-AC10-CD636A807C5D}"/>
    <hyperlink ref="F1333" r:id="rId2524" display="https://finance.yahoo.com/quote/AMZN/options/?straddle=false&amp;strike=207.5&amp;type=all" xr:uid="{B2609090-6B9A-2A4B-90B7-C12A02D255A9}"/>
    <hyperlink ref="A1334" r:id="rId2525" display="https://finance.yahoo.com/quote/AMZN260410C00210000/" xr:uid="{9938A7F6-E2A4-5847-9B23-3337A6FFDA5E}"/>
    <hyperlink ref="F1334" r:id="rId2526" display="https://finance.yahoo.com/quote/AMZN/options/?straddle=false&amp;strike=210&amp;type=all" xr:uid="{3A2562E2-830E-C943-868F-CDFAD03435F0}"/>
    <hyperlink ref="A1335" r:id="rId2527" display="https://finance.yahoo.com/quote/AMZN260410C00212500/" xr:uid="{9E5DC741-2A14-4F4D-BEE1-D66EF2D8B2C3}"/>
    <hyperlink ref="F1335" r:id="rId2528" display="https://finance.yahoo.com/quote/AMZN/options/?straddle=false&amp;strike=212.5&amp;type=all" xr:uid="{A97DCB2B-4865-3B4F-A19A-3CA4ACA04E63}"/>
    <hyperlink ref="A1336" r:id="rId2529" display="https://finance.yahoo.com/quote/AMZN260410C00215000/" xr:uid="{3DCD4919-5202-CF48-AD51-CB0B1AD1076D}"/>
    <hyperlink ref="F1336" r:id="rId2530" display="https://finance.yahoo.com/quote/AMZN/options/?straddle=false&amp;strike=215&amp;type=all" xr:uid="{9E750810-F645-9A41-A292-7B62235A4F84}"/>
    <hyperlink ref="A1337" r:id="rId2531" display="https://finance.yahoo.com/quote/AMZN260410C00217500/" xr:uid="{770B560F-A611-0D47-962B-A9EF6B89858D}"/>
    <hyperlink ref="F1337" r:id="rId2532" display="https://finance.yahoo.com/quote/AMZN/options/?straddle=false&amp;strike=217.5&amp;type=all" xr:uid="{F40A0167-A281-8B4F-B7C6-840C1AD05E14}"/>
    <hyperlink ref="A1338" r:id="rId2533" display="https://finance.yahoo.com/quote/AMZN260410C00220000/" xr:uid="{0CE125FB-0331-4648-8087-10F498DCC8EC}"/>
    <hyperlink ref="F1338" r:id="rId2534" display="https://finance.yahoo.com/quote/AMZN/options/?straddle=false&amp;strike=220&amp;type=all" xr:uid="{BF77C2B4-13D8-B34B-955B-3DFA8B208962}"/>
    <hyperlink ref="A1339" r:id="rId2535" display="https://finance.yahoo.com/quote/AMZN260410C00222500/" xr:uid="{32822B98-AADC-9B45-97C2-F654267E7A40}"/>
    <hyperlink ref="F1339" r:id="rId2536" display="https://finance.yahoo.com/quote/AMZN/options/?straddle=false&amp;strike=222.5&amp;type=all" xr:uid="{57436502-39AC-7B4F-9514-D74A642FE264}"/>
    <hyperlink ref="A1340" r:id="rId2537" display="https://finance.yahoo.com/quote/AMZN260410C00225000/" xr:uid="{C88E8B06-D84B-1F4E-B05B-AF3B2635EBDD}"/>
    <hyperlink ref="F1340" r:id="rId2538" display="https://finance.yahoo.com/quote/AMZN/options/?straddle=false&amp;strike=225&amp;type=all" xr:uid="{CA87DF76-F27A-414F-9BCB-4A40EAE2C10B}"/>
    <hyperlink ref="A1341" r:id="rId2539" display="https://finance.yahoo.com/quote/AMZN260410C00227500/" xr:uid="{01601E59-60EB-C446-91E1-D504CE033F27}"/>
    <hyperlink ref="F1341" r:id="rId2540" display="https://finance.yahoo.com/quote/AMZN/options/?straddle=false&amp;strike=227.5&amp;type=all" xr:uid="{3AEB18B7-529D-3A41-BC4C-C472F7F6B717}"/>
    <hyperlink ref="A1342" r:id="rId2541" display="https://finance.yahoo.com/quote/AMZN260410C00230000/" xr:uid="{CF6C2EFA-DCB1-1B49-AC0C-4FA51927B00F}"/>
    <hyperlink ref="F1342" r:id="rId2542" display="https://finance.yahoo.com/quote/AMZN/options/?straddle=false&amp;strike=230&amp;type=all" xr:uid="{1C40461D-9F8C-1B4C-B76C-4CC86198E1BD}"/>
    <hyperlink ref="A1343" r:id="rId2543" display="https://finance.yahoo.com/quote/AMZN260410C00232500/" xr:uid="{34D9BBA0-0959-2148-984D-5A9629C2E6FB}"/>
    <hyperlink ref="F1343" r:id="rId2544" display="https://finance.yahoo.com/quote/AMZN/options/?straddle=false&amp;strike=232.5&amp;type=all" xr:uid="{7960D1FF-4879-9C49-8088-AFB3A7DEC901}"/>
    <hyperlink ref="A1344" r:id="rId2545" display="https://finance.yahoo.com/quote/AMZN260410C00235000/" xr:uid="{D43AF197-7538-B641-8D6F-72716DC758E5}"/>
    <hyperlink ref="F1344" r:id="rId2546" display="https://finance.yahoo.com/quote/AMZN/options/?straddle=false&amp;strike=235&amp;type=all" xr:uid="{166B469E-F27C-D042-B372-EDFD016804DA}"/>
    <hyperlink ref="A1345" r:id="rId2547" display="https://finance.yahoo.com/quote/AMZN260410C00240000/" xr:uid="{3A9DE240-0E93-404D-BD3C-01A5F2D8AAB0}"/>
    <hyperlink ref="F1345" r:id="rId2548" display="https://finance.yahoo.com/quote/AMZN/options/?straddle=false&amp;strike=240&amp;type=all" xr:uid="{AEBB333E-E871-D14C-9D85-62DF683CC62C}"/>
    <hyperlink ref="A1346" r:id="rId2549" display="https://finance.yahoo.com/quote/AMZN260410C00245000/" xr:uid="{B68FF98B-14BA-F642-8334-3488A911DF9B}"/>
    <hyperlink ref="F1346" r:id="rId2550" display="https://finance.yahoo.com/quote/AMZN/options/?straddle=false&amp;strike=245&amp;type=all" xr:uid="{5AAC7473-CACC-FB4E-9017-103CEF3B7C2A}"/>
    <hyperlink ref="A1347" r:id="rId2551" display="https://finance.yahoo.com/quote/AMZN260410C00250000/" xr:uid="{4938181F-E767-AE43-998D-7AC1A811F529}"/>
    <hyperlink ref="F1347" r:id="rId2552" display="https://finance.yahoo.com/quote/AMZN/options/?straddle=false&amp;strike=250&amp;type=all" xr:uid="{E7A96DA9-64C7-C943-8744-D8353B8D8A94}"/>
    <hyperlink ref="A1348" r:id="rId2553" display="https://finance.yahoo.com/quote/AMZN260410C00255000/" xr:uid="{305D02F6-847B-E948-B8C1-F251F3C444CE}"/>
    <hyperlink ref="F1348" r:id="rId2554" display="https://finance.yahoo.com/quote/AMZN/options/?straddle=false&amp;strike=255&amp;type=all" xr:uid="{1E6D5C2D-99F8-CF4D-BE74-E86E57924823}"/>
    <hyperlink ref="A1349" r:id="rId2555" display="https://finance.yahoo.com/quote/AMZN260410C00260000/" xr:uid="{5C51B51E-E41D-EB43-A5C6-4B690A41BFE9}"/>
    <hyperlink ref="F1349" r:id="rId2556" display="https://finance.yahoo.com/quote/AMZN/options/?straddle=false&amp;strike=260&amp;type=all" xr:uid="{D8A05FC2-24EF-3D48-AAEA-7B4904881751}"/>
    <hyperlink ref="A1350" r:id="rId2557" display="https://finance.yahoo.com/quote/AMZN260410C00265000/" xr:uid="{C2B8410F-A7F8-534D-84B0-C5D639A4ADC3}"/>
    <hyperlink ref="F1350" r:id="rId2558" display="https://finance.yahoo.com/quote/AMZN/options/?straddle=false&amp;strike=265&amp;type=all" xr:uid="{453F02A5-5597-4047-839E-549C6235BFDE}"/>
    <hyperlink ref="A1351" r:id="rId2559" display="https://finance.yahoo.com/quote/AMZN260410C00270000/" xr:uid="{CE2866E4-2E2F-9647-BB00-63D230090A52}"/>
    <hyperlink ref="F1351" r:id="rId2560" display="https://finance.yahoo.com/quote/AMZN/options/?straddle=false&amp;strike=270&amp;type=all" xr:uid="{2A306619-4A9B-304E-AF14-3BE7EF9C793D}"/>
    <hyperlink ref="A1352" r:id="rId2561" display="https://finance.yahoo.com/quote/AMZN260410C00275000/" xr:uid="{C654B1E2-1A60-EE40-B33D-60718F826DB6}"/>
    <hyperlink ref="F1352" r:id="rId2562" display="https://finance.yahoo.com/quote/AMZN/options/?straddle=false&amp;strike=275&amp;type=all" xr:uid="{CD7B68AD-129F-5546-B859-E4412636AB2A}"/>
    <hyperlink ref="A1353" r:id="rId2563" display="https://finance.yahoo.com/quote/AMZN260410C00280000/" xr:uid="{1B6AF6FA-0F0D-9C4A-8BCA-AAF7F0758CCB}"/>
    <hyperlink ref="F1353" r:id="rId2564" display="https://finance.yahoo.com/quote/AMZN/options/?straddle=false&amp;strike=280&amp;type=all" xr:uid="{C39528F7-4761-E849-8B96-2976D8A921B5}"/>
    <hyperlink ref="A1354" r:id="rId2565" display="https://finance.yahoo.com/quote/AMZN260410C00285000/" xr:uid="{DE3E7C15-D86F-3444-B587-953DEA9382F9}"/>
    <hyperlink ref="F1354" r:id="rId2566" display="https://finance.yahoo.com/quote/AMZN/options/?straddle=false&amp;strike=285&amp;type=all" xr:uid="{5CEFCBAA-E4F5-6449-B1FF-3D5E481F099B}"/>
    <hyperlink ref="A1355" r:id="rId2567" display="https://finance.yahoo.com/quote/AMZN260410C00290000/" xr:uid="{528D7D91-BA73-1A41-8E94-29F10ACC19E2}"/>
    <hyperlink ref="F1355" r:id="rId2568" display="https://finance.yahoo.com/quote/AMZN/options/?straddle=false&amp;strike=290&amp;type=all" xr:uid="{90A22532-BCA1-B74C-9BCE-78039C3D90E9}"/>
    <hyperlink ref="A1356" r:id="rId2569" display="https://finance.yahoo.com/quote/AMZN260410C00295000/" xr:uid="{41CA7836-F6F4-1148-BAA1-38EC45620537}"/>
    <hyperlink ref="F1356" r:id="rId2570" display="https://finance.yahoo.com/quote/AMZN/options/?straddle=false&amp;strike=295&amp;type=all" xr:uid="{AB78C890-2612-374B-8FF6-DCD5E8816293}"/>
    <hyperlink ref="A1357" r:id="rId2571" display="https://finance.yahoo.com/quote/AMZN260410C00300000/" xr:uid="{597CACD5-1906-1F47-9B48-00E12681E24F}"/>
    <hyperlink ref="F1357" r:id="rId2572" display="https://finance.yahoo.com/quote/AMZN/options/?straddle=false&amp;strike=300&amp;type=all" xr:uid="{F13FDF17-0208-EF4C-BDB7-A53627B7E298}"/>
    <hyperlink ref="A1358" r:id="rId2573" display="https://finance.yahoo.com/quote/AMZN260410C00305000/" xr:uid="{D665E5E6-5D19-434E-BC8F-ECAD41038FEA}"/>
    <hyperlink ref="F1358" r:id="rId2574" display="https://finance.yahoo.com/quote/AMZN/options/?straddle=false&amp;strike=305&amp;type=all" xr:uid="{5A6AE5E3-1C74-2E4B-9FBD-8FA58B5392D6}"/>
    <hyperlink ref="A1359" r:id="rId2575" display="https://finance.yahoo.com/quote/AMZN260410P00120000/" xr:uid="{F08D692B-2A0E-084B-BE8F-A655D2247C94}"/>
    <hyperlink ref="F1359" r:id="rId2576" display="https://finance.yahoo.com/quote/AMZN/options/?straddle=false&amp;strike=120&amp;type=all" xr:uid="{59B2BED1-5A1C-464A-B4CD-93EBF31B70A6}"/>
    <hyperlink ref="A1360" r:id="rId2577" display="https://finance.yahoo.com/quote/AMZN260410P00125000/" xr:uid="{53B4F419-8341-A04B-9EDA-FDA0899148BE}"/>
    <hyperlink ref="F1360" r:id="rId2578" display="https://finance.yahoo.com/quote/AMZN/options/?straddle=false&amp;strike=125&amp;type=all" xr:uid="{4816CE59-A7FC-8A47-988D-2613CFC303A8}"/>
    <hyperlink ref="A1361" r:id="rId2579" display="https://finance.yahoo.com/quote/AMZN260410P00130000/" xr:uid="{B29442C6-F143-1046-89BE-41665005C9A4}"/>
    <hyperlink ref="F1361" r:id="rId2580" display="https://finance.yahoo.com/quote/AMZN/options/?straddle=false&amp;strike=130&amp;type=all" xr:uid="{0E3FDB75-6D46-4E48-9FF1-43438FE6C256}"/>
    <hyperlink ref="A1362" r:id="rId2581" display="https://finance.yahoo.com/quote/AMZN260410P00135000/" xr:uid="{8600307C-3BCC-2949-BFEF-60E3B5212C2E}"/>
    <hyperlink ref="F1362" r:id="rId2582" display="https://finance.yahoo.com/quote/AMZN/options/?straddle=false&amp;strike=135&amp;type=all" xr:uid="{A61AE724-DD3F-9748-A524-036D60E85B1E}"/>
    <hyperlink ref="A1363" r:id="rId2583" display="https://finance.yahoo.com/quote/AMZN260410P00140000/" xr:uid="{C655B84E-EBEA-7D43-B924-FF53712C3C2E}"/>
    <hyperlink ref="F1363" r:id="rId2584" display="https://finance.yahoo.com/quote/AMZN/options/?straddle=false&amp;strike=140&amp;type=all" xr:uid="{72F9F763-5099-3745-9249-8C206E8744CC}"/>
    <hyperlink ref="A1364" r:id="rId2585" display="https://finance.yahoo.com/quote/AMZN260410P00145000/" xr:uid="{0D345585-5E81-DF4A-91C7-69B64D99FD62}"/>
    <hyperlink ref="F1364" r:id="rId2586" display="https://finance.yahoo.com/quote/AMZN/options/?straddle=false&amp;strike=145&amp;type=all" xr:uid="{66EA6695-4660-3B42-9D5B-713D27592BB6}"/>
    <hyperlink ref="A1365" r:id="rId2587" display="https://finance.yahoo.com/quote/AMZN260410P00150000/" xr:uid="{F4565E37-91B9-8943-8137-18801CE248B5}"/>
    <hyperlink ref="F1365" r:id="rId2588" display="https://finance.yahoo.com/quote/AMZN/options/?straddle=false&amp;strike=150&amp;type=all" xr:uid="{C190EC50-0734-7A45-9C1B-3181863E402E}"/>
    <hyperlink ref="A1366" r:id="rId2589" display="https://finance.yahoo.com/quote/AMZN260410P00155000/" xr:uid="{467EB73A-C85B-7F4C-9600-C3BE24B7883C}"/>
    <hyperlink ref="F1366" r:id="rId2590" display="https://finance.yahoo.com/quote/AMZN/options/?straddle=false&amp;strike=155&amp;type=all" xr:uid="{684EAFE3-7BB4-DA41-968E-DD9864EED12E}"/>
    <hyperlink ref="A1367" r:id="rId2591" display="https://finance.yahoo.com/quote/AMZN260410P00160000/" xr:uid="{4BE80D84-31BA-134A-9614-987155B64923}"/>
    <hyperlink ref="F1367" r:id="rId2592" display="https://finance.yahoo.com/quote/AMZN/options/?straddle=false&amp;strike=160&amp;type=all" xr:uid="{0197E572-2550-314B-A272-68D4C549B083}"/>
    <hyperlink ref="A1368" r:id="rId2593" display="https://finance.yahoo.com/quote/AMZN260410P00165000/" xr:uid="{DC705965-08B8-E54B-A40C-AD6AD5666A02}"/>
    <hyperlink ref="F1368" r:id="rId2594" display="https://finance.yahoo.com/quote/AMZN/options/?straddle=false&amp;strike=165&amp;type=all" xr:uid="{78B639A8-24CA-4B49-8896-436654B5DD11}"/>
    <hyperlink ref="A1369" r:id="rId2595" display="https://finance.yahoo.com/quote/AMZN260410P00170000/" xr:uid="{4ED28CE6-535F-EC4C-8219-BF62B958B4C3}"/>
    <hyperlink ref="F1369" r:id="rId2596" display="https://finance.yahoo.com/quote/AMZN/options/?straddle=false&amp;strike=170&amp;type=all" xr:uid="{95BF9AB8-B2CD-894C-BDEA-AB6CE25D23C8}"/>
    <hyperlink ref="A1370" r:id="rId2597" display="https://finance.yahoo.com/quote/AMZN260410P00172500/" xr:uid="{BC11EB81-A66B-3F40-87CB-087E87FAF1E6}"/>
    <hyperlink ref="F1370" r:id="rId2598" display="https://finance.yahoo.com/quote/AMZN/options/?straddle=false&amp;strike=172.5&amp;type=all" xr:uid="{5096CE09-ABD9-A64D-AD0D-BC9BD65A44C1}"/>
    <hyperlink ref="A1371" r:id="rId2599" display="https://finance.yahoo.com/quote/AMZN260410P00175000/" xr:uid="{A7ADDC22-3A9A-084B-8B26-D3203DCD5C37}"/>
    <hyperlink ref="F1371" r:id="rId2600" display="https://finance.yahoo.com/quote/AMZN/options/?straddle=false&amp;strike=175&amp;type=all" xr:uid="{D6A05403-1367-B648-8BA3-7DD06673A6AC}"/>
    <hyperlink ref="A1372" r:id="rId2601" display="https://finance.yahoo.com/quote/AMZN260410P00177500/" xr:uid="{1A482059-6143-604C-984E-FAF99E10A89C}"/>
    <hyperlink ref="F1372" r:id="rId2602" display="https://finance.yahoo.com/quote/AMZN/options/?straddle=false&amp;strike=177.5&amp;type=all" xr:uid="{306302B1-3E9F-8C47-AF37-9966106E7FA0}"/>
    <hyperlink ref="A1373" r:id="rId2603" display="https://finance.yahoo.com/quote/AMZN260410P00180000/" xr:uid="{B69C522D-4644-DE48-A14C-E80D872B1365}"/>
    <hyperlink ref="F1373" r:id="rId2604" display="https://finance.yahoo.com/quote/AMZN/options/?straddle=false&amp;strike=180&amp;type=all" xr:uid="{F26893F4-DB95-F940-9497-2353C87F2EA7}"/>
    <hyperlink ref="A1374" r:id="rId2605" display="https://finance.yahoo.com/quote/AMZN260410P00182500/" xr:uid="{AC8AE6A5-2D8E-BF43-B5CB-FC5CDC6B37A9}"/>
    <hyperlink ref="F1374" r:id="rId2606" display="https://finance.yahoo.com/quote/AMZN/options/?straddle=false&amp;strike=182.5&amp;type=all" xr:uid="{94A4A868-EBB7-944A-AC72-0D250C0B0B89}"/>
    <hyperlink ref="A1375" r:id="rId2607" display="https://finance.yahoo.com/quote/AMZN260410P00185000/" xr:uid="{AFB1512C-E420-C64D-961C-54387B3FF318}"/>
    <hyperlink ref="F1375" r:id="rId2608" display="https://finance.yahoo.com/quote/AMZN/options/?straddle=false&amp;strike=185&amp;type=all" xr:uid="{2469519C-1A47-3748-AFA3-9F44375651A5}"/>
    <hyperlink ref="A1376" r:id="rId2609" display="https://finance.yahoo.com/quote/AMZN260410P00187500/" xr:uid="{D746C992-E411-9844-8242-E994B588EAAE}"/>
    <hyperlink ref="F1376" r:id="rId2610" display="https://finance.yahoo.com/quote/AMZN/options/?straddle=false&amp;strike=187.5&amp;type=all" xr:uid="{B035C649-1AFB-9748-88D0-43C93EE68CF2}"/>
    <hyperlink ref="A1377" r:id="rId2611" display="https://finance.yahoo.com/quote/AMZN260410P00190000/" xr:uid="{B88147B0-CA30-DD42-8255-46784C95F71C}"/>
    <hyperlink ref="F1377" r:id="rId2612" display="https://finance.yahoo.com/quote/AMZN/options/?straddle=false&amp;strike=190&amp;type=all" xr:uid="{A9138F33-6D4E-6F42-8505-D9DA2F23DD2A}"/>
    <hyperlink ref="A1378" r:id="rId2613" display="https://finance.yahoo.com/quote/AMZN260410P00192500/" xr:uid="{44EA504D-5C3A-9A47-9272-50DB60C38BB5}"/>
    <hyperlink ref="F1378" r:id="rId2614" display="https://finance.yahoo.com/quote/AMZN/options/?straddle=false&amp;strike=192.5&amp;type=all" xr:uid="{34FADF04-54C3-1342-8374-6DE7CBEE967F}"/>
    <hyperlink ref="A1379" r:id="rId2615" display="https://finance.yahoo.com/quote/AMZN260410P00195000/" xr:uid="{CED82E01-A9CB-234A-B6A8-0E99A4E5137F}"/>
    <hyperlink ref="F1379" r:id="rId2616" display="https://finance.yahoo.com/quote/AMZN/options/?straddle=false&amp;strike=195&amp;type=all" xr:uid="{5443F444-8FA9-4A42-BA9E-539E697E82B9}"/>
    <hyperlink ref="A1380" r:id="rId2617" display="https://finance.yahoo.com/quote/AMZN260410P00197500/" xr:uid="{3B51042E-8A39-774C-97F6-345C1973D823}"/>
    <hyperlink ref="F1380" r:id="rId2618" display="https://finance.yahoo.com/quote/AMZN/options/?straddle=false&amp;strike=197.5&amp;type=all" xr:uid="{B74B4821-7E77-2345-8DED-EE7B367DA618}"/>
    <hyperlink ref="A1381" r:id="rId2619" display="https://finance.yahoo.com/quote/AMZN260410P00200000/" xr:uid="{C020F176-E588-1048-87E4-3911FD7316E4}"/>
    <hyperlink ref="F1381" r:id="rId2620" display="https://finance.yahoo.com/quote/AMZN/options/?straddle=false&amp;strike=200&amp;type=all" xr:uid="{25F43425-ECD6-7747-92FC-7E7ACA830B29}"/>
    <hyperlink ref="A1382" r:id="rId2621" display="https://finance.yahoo.com/quote/AMZN260410P00202500/" xr:uid="{3053F3FD-9BE3-284E-8274-71134E0A0286}"/>
    <hyperlink ref="F1382" r:id="rId2622" display="https://finance.yahoo.com/quote/AMZN/options/?straddle=false&amp;strike=202.5&amp;type=all" xr:uid="{C61341D6-DA75-814D-8D62-EC6DD2717F2B}"/>
    <hyperlink ref="A1383" r:id="rId2623" display="https://finance.yahoo.com/quote/AMZN260410P00205000/" xr:uid="{E9A479D6-9994-7D48-9F48-8232ED07B1AF}"/>
    <hyperlink ref="F1383" r:id="rId2624" display="https://finance.yahoo.com/quote/AMZN/options/?straddle=false&amp;strike=205&amp;type=all" xr:uid="{D2593A13-14A7-8E47-ACB3-31FAF8032047}"/>
    <hyperlink ref="A1384" r:id="rId2625" display="https://finance.yahoo.com/quote/AMZN260410P00207500/" xr:uid="{EE3B7DF2-60DE-2046-8A19-CC4911097B1C}"/>
    <hyperlink ref="F1384" r:id="rId2626" display="https://finance.yahoo.com/quote/AMZN/options/?straddle=false&amp;strike=207.5&amp;type=all" xr:uid="{9706B3E3-D0BE-1747-B6ED-A867BB0DF062}"/>
    <hyperlink ref="A1385" r:id="rId2627" display="https://finance.yahoo.com/quote/AMZN260410P00210000/" xr:uid="{F4064856-2662-D248-910E-12BF98BE5F74}"/>
    <hyperlink ref="F1385" r:id="rId2628" display="https://finance.yahoo.com/quote/AMZN/options/?straddle=false&amp;strike=210&amp;type=all" xr:uid="{A18D2BD4-B594-264E-9B88-19F7CB85473C}"/>
    <hyperlink ref="A1386" r:id="rId2629" display="https://finance.yahoo.com/quote/AMZN260410P00212500/" xr:uid="{667F113C-A20D-D642-BDF7-5E919E0E484B}"/>
    <hyperlink ref="F1386" r:id="rId2630" display="https://finance.yahoo.com/quote/AMZN/options/?straddle=false&amp;strike=212.5&amp;type=all" xr:uid="{0D6B2A68-3A1D-3140-91F7-58D009C76D54}"/>
    <hyperlink ref="A1387" r:id="rId2631" display="https://finance.yahoo.com/quote/AMZN260410P00215000/" xr:uid="{CB4CD077-810F-924F-8C90-241688BE87D2}"/>
    <hyperlink ref="F1387" r:id="rId2632" display="https://finance.yahoo.com/quote/AMZN/options/?straddle=false&amp;strike=215&amp;type=all" xr:uid="{A4C51A7D-8035-E04B-996C-A194A8BC706C}"/>
    <hyperlink ref="A1388" r:id="rId2633" display="https://finance.yahoo.com/quote/AMZN260410P00217500/" xr:uid="{E99E4B50-DB69-6348-984F-D725B922FBA7}"/>
    <hyperlink ref="F1388" r:id="rId2634" display="https://finance.yahoo.com/quote/AMZN/options/?straddle=false&amp;strike=217.5&amp;type=all" xr:uid="{16590139-5B74-5D41-931B-CF63E24E5498}"/>
    <hyperlink ref="A1389" r:id="rId2635" display="https://finance.yahoo.com/quote/AMZN260410P00220000/" xr:uid="{75788C12-A395-8D4E-87C0-66D640F4BEEE}"/>
    <hyperlink ref="F1389" r:id="rId2636" display="https://finance.yahoo.com/quote/AMZN/options/?straddle=false&amp;strike=220&amp;type=all" xr:uid="{6CC3BCE3-861C-8D48-A324-BAB667E4297A}"/>
    <hyperlink ref="A1390" r:id="rId2637" display="https://finance.yahoo.com/quote/AMZN260410P00222500/" xr:uid="{6638962F-459B-D644-BF7B-24E085B9C4F6}"/>
    <hyperlink ref="F1390" r:id="rId2638" display="https://finance.yahoo.com/quote/AMZN/options/?straddle=false&amp;strike=222.5&amp;type=all" xr:uid="{A4B9DBFA-F3EC-B24D-B941-BEACD211B5F8}"/>
    <hyperlink ref="A1391" r:id="rId2639" display="https://finance.yahoo.com/quote/AMZN260410P00225000/" xr:uid="{C98BCDE9-0C92-714C-828C-2FE28AE7C42B}"/>
    <hyperlink ref="F1391" r:id="rId2640" display="https://finance.yahoo.com/quote/AMZN/options/?straddle=false&amp;strike=225&amp;type=all" xr:uid="{06740200-960D-8942-99F4-6428EB3CF029}"/>
    <hyperlink ref="A1392" r:id="rId2641" display="https://finance.yahoo.com/quote/AMZN260410P00227500/" xr:uid="{C4248420-32DE-E448-B986-D6E98EFEF7EC}"/>
    <hyperlink ref="F1392" r:id="rId2642" display="https://finance.yahoo.com/quote/AMZN/options/?straddle=false&amp;strike=227.5&amp;type=all" xr:uid="{BF21C698-4FC2-F245-9A2D-15C0E44AF0FA}"/>
    <hyperlink ref="A1393" r:id="rId2643" display="https://finance.yahoo.com/quote/AMZN260410P00230000/" xr:uid="{529DC153-6EB3-3A41-A96B-08C570AE5932}"/>
    <hyperlink ref="F1393" r:id="rId2644" display="https://finance.yahoo.com/quote/AMZN/options/?straddle=false&amp;strike=230&amp;type=all" xr:uid="{F427A3F0-0B20-C14F-9683-A97902256B5A}"/>
    <hyperlink ref="A1394" r:id="rId2645" display="https://finance.yahoo.com/quote/AMZN260410P00232500/" xr:uid="{61DCC0C5-E573-674E-8970-6CD897BD3C17}"/>
    <hyperlink ref="F1394" r:id="rId2646" display="https://finance.yahoo.com/quote/AMZN/options/?straddle=false&amp;strike=232.5&amp;type=all" xr:uid="{2CAE4D8F-B037-4C43-A065-F356B0C7A918}"/>
    <hyperlink ref="A1395" r:id="rId2647" display="https://finance.yahoo.com/quote/AMZN260410P00235000/" xr:uid="{78788523-5932-0D4E-BC8B-5C3FC60E72B0}"/>
    <hyperlink ref="F1395" r:id="rId2648" display="https://finance.yahoo.com/quote/AMZN/options/?straddle=false&amp;strike=235&amp;type=all" xr:uid="{EC46FB70-6D97-0548-B1AE-3122BA49DF86}"/>
    <hyperlink ref="A1396" r:id="rId2649" display="https://finance.yahoo.com/quote/AMZN260410P00240000/" xr:uid="{AF01584F-4358-F143-8899-9CB0D417B545}"/>
    <hyperlink ref="F1396" r:id="rId2650" display="https://finance.yahoo.com/quote/AMZN/options/?straddle=false&amp;strike=240&amp;type=all" xr:uid="{C1699563-8232-1F4F-B7B4-A47C0A953CC0}"/>
    <hyperlink ref="A1397" r:id="rId2651" display="https://finance.yahoo.com/quote/AMZN260410P00245000/" xr:uid="{A6E488AE-A470-8746-A4C0-D0E558B7FC79}"/>
    <hyperlink ref="F1397" r:id="rId2652" display="https://finance.yahoo.com/quote/AMZN/options/?straddle=false&amp;strike=245&amp;type=all" xr:uid="{10BDFAA0-5C3B-8C4F-9F21-018C3D4FCF1F}"/>
    <hyperlink ref="A1398" r:id="rId2653" display="https://finance.yahoo.com/quote/AMZN260410P00250000/" xr:uid="{6574FFDF-8D13-C44B-ABD3-9A81C65605CB}"/>
    <hyperlink ref="F1398" r:id="rId2654" display="https://finance.yahoo.com/quote/AMZN/options/?straddle=false&amp;strike=250&amp;type=all" xr:uid="{141FA5F2-7828-6547-A7BE-327CA0658332}"/>
    <hyperlink ref="A1399" r:id="rId2655" display="https://finance.yahoo.com/quote/AMZN260410P00275000/" xr:uid="{FF416DB5-4467-3B40-9442-4A4472510C60}"/>
    <hyperlink ref="F1399" r:id="rId2656" display="https://finance.yahoo.com/quote/AMZN/options/?straddle=false&amp;strike=275&amp;type=all" xr:uid="{03507B26-A096-F849-8F93-9FD2FAC7A1C8}"/>
    <hyperlink ref="A1400" r:id="rId2657" display="https://finance.yahoo.com/quote/AMZN260410P00280000/" xr:uid="{192F5EFA-0244-614A-946D-0D562A2AEB45}"/>
    <hyperlink ref="F1400" r:id="rId2658" display="https://finance.yahoo.com/quote/AMZN/options/?straddle=false&amp;strike=280&amp;type=all" xr:uid="{D21F7DEF-5F58-1B40-B1AF-28EBB6F2BB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VALDERRAMA DEL TORO, EMILIANO</dc:creator>
  <cp:lastModifiedBy>MARTINEZ MADRIZ, RIGOBERTO JACIEL</cp:lastModifiedBy>
  <dcterms:created xsi:type="dcterms:W3CDTF">2026-01-23T02:59:23Z</dcterms:created>
  <dcterms:modified xsi:type="dcterms:W3CDTF">2026-05-10T18:42:43Z</dcterms:modified>
</cp:coreProperties>
</file>